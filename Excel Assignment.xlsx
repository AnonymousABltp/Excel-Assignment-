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6889e66bf2e1943/Desktop/Assignment/"/>
    </mc:Choice>
  </mc:AlternateContent>
  <xr:revisionPtr revIDLastSave="0" documentId="8_{0BB9C30D-AE34-4298-9CC9-40680C38B042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Sales_data" sheetId="1" r:id="rId1"/>
    <sheet name="Product_master" sheetId="2" r:id="rId2"/>
    <sheet name="Customer_master" sheetId="3" r:id="rId3"/>
    <sheet name="Q2 Customer Standardization" sheetId="4" r:id="rId4"/>
    <sheet name="Q3 Order Delivery Analysis" sheetId="5" r:id="rId5"/>
    <sheet name="Product Lookup Report" sheetId="6" r:id="rId6"/>
    <sheet name="Sales Summary Report" sheetId="7" r:id="rId7"/>
    <sheet name="Sales Statistics Report" sheetId="8" r:id="rId8"/>
    <sheet name="Product Performance Report" sheetId="9" r:id="rId9"/>
    <sheet name="Financial Analysis Report" sheetId="10" r:id="rId10"/>
    <sheet name="Cleaned_Data" sheetId="11" r:id="rId11"/>
    <sheet name="Dashboard Data" sheetId="12" state="hidden" r:id="rId12"/>
    <sheet name="Sales Dashboard" sheetId="14" r:id="rId13"/>
  </sheets>
  <definedNames>
    <definedName name="_xlnm._FilterDatabase" localSheetId="10" hidden="1">Cleaned_Data!$A$1:$V$499</definedName>
    <definedName name="_xlnm._FilterDatabase" localSheetId="2" hidden="1">Customer_master!$A$1:$D$11</definedName>
    <definedName name="_xlnm._FilterDatabase" localSheetId="1" hidden="1">Product_master!$A$1:$F$11</definedName>
    <definedName name="_xlnm._FilterDatabase" localSheetId="0" hidden="1">Sales_data!$A$1:$V$501</definedName>
    <definedName name="_xlchart.v1.0" hidden="1">'Sales Dashboard'!$H$16:$H$27</definedName>
    <definedName name="_xlchart.v1.1" hidden="1">'Sales Dashboard'!$I$16:$I$27</definedName>
  </definedNames>
  <calcPr calcId="191029" iterateDelta="1E-4"/>
  <pivotCaches>
    <pivotCache cacheId="1" r:id="rId14"/>
  </pivotCaches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14" l="1"/>
  <c r="E9" i="14"/>
  <c r="I9" i="14"/>
  <c r="L16" i="14"/>
  <c r="O16" i="14"/>
  <c r="I16" i="14"/>
  <c r="L17" i="14"/>
  <c r="O17" i="14"/>
  <c r="I17" i="14"/>
  <c r="L18" i="14"/>
  <c r="O18" i="14"/>
  <c r="I18" i="14"/>
  <c r="L19" i="14"/>
  <c r="I19" i="14"/>
  <c r="I20" i="14"/>
  <c r="I21" i="14"/>
  <c r="I22" i="14"/>
  <c r="I23" i="14"/>
  <c r="I24" i="14"/>
  <c r="I25" i="14"/>
  <c r="I26" i="14"/>
  <c r="I27" i="14"/>
  <c r="B5" i="10"/>
  <c r="B6" i="10" s="1"/>
  <c r="B4" i="10"/>
  <c r="H27" i="12"/>
  <c r="H26" i="12"/>
  <c r="H25" i="12"/>
  <c r="K5" i="12"/>
  <c r="K4" i="12"/>
  <c r="B3" i="10"/>
  <c r="B7" i="10" s="1"/>
  <c r="B7" i="9"/>
  <c r="B5" i="9"/>
  <c r="B4" i="9"/>
  <c r="B3" i="9"/>
  <c r="B6" i="9" s="1"/>
  <c r="B8" i="8"/>
  <c r="B7" i="8"/>
  <c r="B6" i="8"/>
  <c r="B5" i="8"/>
  <c r="B4" i="8"/>
  <c r="B3" i="8"/>
  <c r="B7" i="7"/>
  <c r="B6" i="7"/>
  <c r="B5" i="7"/>
  <c r="B4" i="7"/>
  <c r="B3" i="7"/>
  <c r="B8" i="6"/>
  <c r="B7" i="6"/>
  <c r="B6" i="6"/>
  <c r="B5" i="6"/>
  <c r="B4" i="6"/>
  <c r="E503" i="5"/>
  <c r="F503" i="5" s="1"/>
  <c r="G503" i="5" s="1"/>
  <c r="D503" i="5"/>
  <c r="C503" i="5"/>
  <c r="B503" i="5"/>
  <c r="A503" i="5"/>
  <c r="E502" i="5"/>
  <c r="D502" i="5"/>
  <c r="B502" i="5"/>
  <c r="C502" i="5" s="1"/>
  <c r="A502" i="5"/>
  <c r="E501" i="5"/>
  <c r="D501" i="5"/>
  <c r="C501" i="5"/>
  <c r="B501" i="5"/>
  <c r="A501" i="5"/>
  <c r="E500" i="5"/>
  <c r="D500" i="5"/>
  <c r="F500" i="5" s="1"/>
  <c r="G500" i="5" s="1"/>
  <c r="B500" i="5"/>
  <c r="C500" i="5" s="1"/>
  <c r="A500" i="5"/>
  <c r="E499" i="5"/>
  <c r="D499" i="5"/>
  <c r="C499" i="5"/>
  <c r="B499" i="5"/>
  <c r="A499" i="5"/>
  <c r="F498" i="5"/>
  <c r="E498" i="5"/>
  <c r="D498" i="5"/>
  <c r="B498" i="5"/>
  <c r="C498" i="5" s="1"/>
  <c r="A498" i="5"/>
  <c r="E497" i="5"/>
  <c r="D497" i="5"/>
  <c r="C497" i="5"/>
  <c r="B497" i="5"/>
  <c r="A497" i="5"/>
  <c r="F496" i="5"/>
  <c r="G496" i="5" s="1"/>
  <c r="E496" i="5"/>
  <c r="D496" i="5"/>
  <c r="B496" i="5"/>
  <c r="C496" i="5" s="1"/>
  <c r="A496" i="5"/>
  <c r="F495" i="5"/>
  <c r="E495" i="5"/>
  <c r="D495" i="5"/>
  <c r="B495" i="5"/>
  <c r="C495" i="5" s="1"/>
  <c r="A495" i="5"/>
  <c r="E494" i="5"/>
  <c r="D494" i="5"/>
  <c r="F494" i="5" s="1"/>
  <c r="B494" i="5"/>
  <c r="C494" i="5" s="1"/>
  <c r="A494" i="5"/>
  <c r="E493" i="5"/>
  <c r="D493" i="5"/>
  <c r="C493" i="5"/>
  <c r="B493" i="5"/>
  <c r="A493" i="5"/>
  <c r="G492" i="5"/>
  <c r="E492" i="5"/>
  <c r="D492" i="5"/>
  <c r="F492" i="5" s="1"/>
  <c r="C492" i="5"/>
  <c r="B492" i="5"/>
  <c r="A492" i="5"/>
  <c r="G491" i="5"/>
  <c r="F491" i="5"/>
  <c r="E491" i="5"/>
  <c r="D491" i="5"/>
  <c r="C491" i="5"/>
  <c r="B491" i="5"/>
  <c r="A491" i="5"/>
  <c r="E490" i="5"/>
  <c r="D490" i="5"/>
  <c r="B490" i="5"/>
  <c r="C490" i="5" s="1"/>
  <c r="A490" i="5"/>
  <c r="E489" i="5"/>
  <c r="F489" i="5" s="1"/>
  <c r="D489" i="5"/>
  <c r="C489" i="5"/>
  <c r="B489" i="5"/>
  <c r="A489" i="5"/>
  <c r="E488" i="5"/>
  <c r="D488" i="5"/>
  <c r="F488" i="5" s="1"/>
  <c r="G488" i="5" s="1"/>
  <c r="C488" i="5"/>
  <c r="B488" i="5"/>
  <c r="A488" i="5"/>
  <c r="G487" i="5"/>
  <c r="F487" i="5"/>
  <c r="E487" i="5"/>
  <c r="D487" i="5"/>
  <c r="C487" i="5"/>
  <c r="B487" i="5"/>
  <c r="A487" i="5"/>
  <c r="E486" i="5"/>
  <c r="D486" i="5"/>
  <c r="B486" i="5"/>
  <c r="C486" i="5" s="1"/>
  <c r="A486" i="5"/>
  <c r="G485" i="5"/>
  <c r="E485" i="5"/>
  <c r="F485" i="5" s="1"/>
  <c r="D485" i="5"/>
  <c r="C485" i="5"/>
  <c r="B485" i="5"/>
  <c r="A485" i="5"/>
  <c r="F484" i="5"/>
  <c r="G484" i="5" s="1"/>
  <c r="E484" i="5"/>
  <c r="D484" i="5"/>
  <c r="B484" i="5"/>
  <c r="C484" i="5" s="1"/>
  <c r="A484" i="5"/>
  <c r="E483" i="5"/>
  <c r="D483" i="5"/>
  <c r="C483" i="5"/>
  <c r="B483" i="5"/>
  <c r="A483" i="5"/>
  <c r="F482" i="5"/>
  <c r="E482" i="5"/>
  <c r="D482" i="5"/>
  <c r="B482" i="5"/>
  <c r="C482" i="5" s="1"/>
  <c r="A482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F479" i="5"/>
  <c r="E479" i="5"/>
  <c r="D479" i="5"/>
  <c r="B479" i="5"/>
  <c r="C479" i="5" s="1"/>
  <c r="A479" i="5"/>
  <c r="E478" i="5"/>
  <c r="D478" i="5"/>
  <c r="F478" i="5" s="1"/>
  <c r="B478" i="5"/>
  <c r="C478" i="5" s="1"/>
  <c r="A478" i="5"/>
  <c r="E477" i="5"/>
  <c r="D477" i="5"/>
  <c r="C477" i="5"/>
  <c r="B477" i="5"/>
  <c r="A477" i="5"/>
  <c r="E476" i="5"/>
  <c r="D476" i="5"/>
  <c r="F476" i="5" s="1"/>
  <c r="G476" i="5" s="1"/>
  <c r="C476" i="5"/>
  <c r="B476" i="5"/>
  <c r="A476" i="5"/>
  <c r="F475" i="5"/>
  <c r="G475" i="5" s="1"/>
  <c r="E475" i="5"/>
  <c r="D475" i="5"/>
  <c r="B475" i="5"/>
  <c r="C475" i="5" s="1"/>
  <c r="A475" i="5"/>
  <c r="E474" i="5"/>
  <c r="D474" i="5"/>
  <c r="B474" i="5"/>
  <c r="C474" i="5" s="1"/>
  <c r="A474" i="5"/>
  <c r="E473" i="5"/>
  <c r="D473" i="5"/>
  <c r="C473" i="5"/>
  <c r="B473" i="5"/>
  <c r="A473" i="5"/>
  <c r="E472" i="5"/>
  <c r="D472" i="5"/>
  <c r="F472" i="5" s="1"/>
  <c r="G472" i="5" s="1"/>
  <c r="C472" i="5"/>
  <c r="B472" i="5"/>
  <c r="A472" i="5"/>
  <c r="G471" i="5"/>
  <c r="F471" i="5"/>
  <c r="E471" i="5"/>
  <c r="D471" i="5"/>
  <c r="C471" i="5"/>
  <c r="B471" i="5"/>
  <c r="A471" i="5"/>
  <c r="F470" i="5"/>
  <c r="E470" i="5"/>
  <c r="D470" i="5"/>
  <c r="B470" i="5"/>
  <c r="C470" i="5" s="1"/>
  <c r="A470" i="5"/>
  <c r="G469" i="5"/>
  <c r="E469" i="5"/>
  <c r="F469" i="5" s="1"/>
  <c r="D469" i="5"/>
  <c r="C469" i="5"/>
  <c r="B469" i="5"/>
  <c r="A469" i="5"/>
  <c r="F468" i="5"/>
  <c r="G468" i="5" s="1"/>
  <c r="E468" i="5"/>
  <c r="D468" i="5"/>
  <c r="B468" i="5"/>
  <c r="C468" i="5" s="1"/>
  <c r="A468" i="5"/>
  <c r="E467" i="5"/>
  <c r="D467" i="5"/>
  <c r="C467" i="5"/>
  <c r="B467" i="5"/>
  <c r="A467" i="5"/>
  <c r="F466" i="5"/>
  <c r="E466" i="5"/>
  <c r="D466" i="5"/>
  <c r="B466" i="5"/>
  <c r="C466" i="5" s="1"/>
  <c r="A466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E463" i="5"/>
  <c r="D463" i="5"/>
  <c r="B463" i="5"/>
  <c r="C463" i="5" s="1"/>
  <c r="A463" i="5"/>
  <c r="E462" i="5"/>
  <c r="D462" i="5"/>
  <c r="F462" i="5" s="1"/>
  <c r="B462" i="5"/>
  <c r="C462" i="5" s="1"/>
  <c r="A462" i="5"/>
  <c r="E461" i="5"/>
  <c r="D461" i="5"/>
  <c r="C461" i="5"/>
  <c r="B461" i="5"/>
  <c r="A461" i="5"/>
  <c r="G460" i="5"/>
  <c r="E460" i="5"/>
  <c r="D460" i="5"/>
  <c r="F460" i="5" s="1"/>
  <c r="C460" i="5"/>
  <c r="B460" i="5"/>
  <c r="A460" i="5"/>
  <c r="F459" i="5"/>
  <c r="G459" i="5" s="1"/>
  <c r="E459" i="5"/>
  <c r="D459" i="5"/>
  <c r="B459" i="5"/>
  <c r="C459" i="5" s="1"/>
  <c r="A459" i="5"/>
  <c r="E458" i="5"/>
  <c r="D458" i="5"/>
  <c r="B458" i="5"/>
  <c r="C458" i="5" s="1"/>
  <c r="A458" i="5"/>
  <c r="E457" i="5"/>
  <c r="D457" i="5"/>
  <c r="C457" i="5"/>
  <c r="B457" i="5"/>
  <c r="A457" i="5"/>
  <c r="E456" i="5"/>
  <c r="D456" i="5"/>
  <c r="F456" i="5" s="1"/>
  <c r="G456" i="5" s="1"/>
  <c r="C456" i="5"/>
  <c r="B456" i="5"/>
  <c r="A456" i="5"/>
  <c r="G455" i="5"/>
  <c r="F455" i="5"/>
  <c r="E455" i="5"/>
  <c r="D455" i="5"/>
  <c r="C455" i="5"/>
  <c r="B455" i="5"/>
  <c r="A455" i="5"/>
  <c r="E454" i="5"/>
  <c r="D454" i="5"/>
  <c r="B454" i="5"/>
  <c r="C454" i="5" s="1"/>
  <c r="A454" i="5"/>
  <c r="G453" i="5"/>
  <c r="E453" i="5"/>
  <c r="F453" i="5" s="1"/>
  <c r="D453" i="5"/>
  <c r="C453" i="5"/>
  <c r="B453" i="5"/>
  <c r="A453" i="5"/>
  <c r="F452" i="5"/>
  <c r="G452" i="5" s="1"/>
  <c r="E452" i="5"/>
  <c r="D452" i="5"/>
  <c r="B452" i="5"/>
  <c r="C452" i="5" s="1"/>
  <c r="A452" i="5"/>
  <c r="E451" i="5"/>
  <c r="D451" i="5"/>
  <c r="C451" i="5"/>
  <c r="B451" i="5"/>
  <c r="A451" i="5"/>
  <c r="F450" i="5"/>
  <c r="E450" i="5"/>
  <c r="D450" i="5"/>
  <c r="B450" i="5"/>
  <c r="C450" i="5" s="1"/>
  <c r="A450" i="5"/>
  <c r="E449" i="5"/>
  <c r="D449" i="5"/>
  <c r="C449" i="5"/>
  <c r="B449" i="5"/>
  <c r="A449" i="5"/>
  <c r="F448" i="5"/>
  <c r="G448" i="5" s="1"/>
  <c r="E448" i="5"/>
  <c r="D448" i="5"/>
  <c r="B448" i="5"/>
  <c r="C448" i="5" s="1"/>
  <c r="A448" i="5"/>
  <c r="E447" i="5"/>
  <c r="D447" i="5"/>
  <c r="B447" i="5"/>
  <c r="C447" i="5" s="1"/>
  <c r="A447" i="5"/>
  <c r="E446" i="5"/>
  <c r="D446" i="5"/>
  <c r="F446" i="5" s="1"/>
  <c r="B446" i="5"/>
  <c r="C446" i="5" s="1"/>
  <c r="A446" i="5"/>
  <c r="E445" i="5"/>
  <c r="D445" i="5"/>
  <c r="C445" i="5"/>
  <c r="B445" i="5"/>
  <c r="A445" i="5"/>
  <c r="G444" i="5"/>
  <c r="E444" i="5"/>
  <c r="D444" i="5"/>
  <c r="F444" i="5" s="1"/>
  <c r="C444" i="5"/>
  <c r="B444" i="5"/>
  <c r="A444" i="5"/>
  <c r="F443" i="5"/>
  <c r="G443" i="5" s="1"/>
  <c r="E443" i="5"/>
  <c r="D443" i="5"/>
  <c r="B443" i="5"/>
  <c r="C443" i="5" s="1"/>
  <c r="A443" i="5"/>
  <c r="E442" i="5"/>
  <c r="D442" i="5"/>
  <c r="B442" i="5"/>
  <c r="C442" i="5" s="1"/>
  <c r="A442" i="5"/>
  <c r="G441" i="5"/>
  <c r="E441" i="5"/>
  <c r="F441" i="5" s="1"/>
  <c r="D441" i="5"/>
  <c r="C441" i="5"/>
  <c r="B441" i="5"/>
  <c r="A441" i="5"/>
  <c r="E440" i="5"/>
  <c r="D440" i="5"/>
  <c r="F440" i="5" s="1"/>
  <c r="G440" i="5" s="1"/>
  <c r="C440" i="5"/>
  <c r="B440" i="5"/>
  <c r="A440" i="5"/>
  <c r="G439" i="5"/>
  <c r="F439" i="5"/>
  <c r="E439" i="5"/>
  <c r="D439" i="5"/>
  <c r="C439" i="5"/>
  <c r="B439" i="5"/>
  <c r="A439" i="5"/>
  <c r="E438" i="5"/>
  <c r="D438" i="5"/>
  <c r="B438" i="5"/>
  <c r="C438" i="5" s="1"/>
  <c r="A438" i="5"/>
  <c r="G437" i="5"/>
  <c r="E437" i="5"/>
  <c r="F437" i="5" s="1"/>
  <c r="D437" i="5"/>
  <c r="C437" i="5"/>
  <c r="B437" i="5"/>
  <c r="A437" i="5"/>
  <c r="E436" i="5"/>
  <c r="D436" i="5"/>
  <c r="F436" i="5" s="1"/>
  <c r="G436" i="5" s="1"/>
  <c r="B436" i="5"/>
  <c r="C436" i="5" s="1"/>
  <c r="A436" i="5"/>
  <c r="E435" i="5"/>
  <c r="F435" i="5" s="1"/>
  <c r="D435" i="5"/>
  <c r="C435" i="5"/>
  <c r="B435" i="5"/>
  <c r="A435" i="5"/>
  <c r="F434" i="5"/>
  <c r="E434" i="5"/>
  <c r="D434" i="5"/>
  <c r="B434" i="5"/>
  <c r="C434" i="5" s="1"/>
  <c r="A434" i="5"/>
  <c r="E433" i="5"/>
  <c r="D433" i="5"/>
  <c r="C433" i="5"/>
  <c r="B433" i="5"/>
  <c r="A433" i="5"/>
  <c r="F432" i="5"/>
  <c r="G432" i="5" s="1"/>
  <c r="E432" i="5"/>
  <c r="D432" i="5"/>
  <c r="B432" i="5"/>
  <c r="C432" i="5" s="1"/>
  <c r="A432" i="5"/>
  <c r="F431" i="5"/>
  <c r="E431" i="5"/>
  <c r="D431" i="5"/>
  <c r="B431" i="5"/>
  <c r="C431" i="5" s="1"/>
  <c r="A431" i="5"/>
  <c r="F430" i="5"/>
  <c r="E430" i="5"/>
  <c r="D430" i="5"/>
  <c r="B430" i="5"/>
  <c r="C430" i="5" s="1"/>
  <c r="A430" i="5"/>
  <c r="E429" i="5"/>
  <c r="D429" i="5"/>
  <c r="C429" i="5"/>
  <c r="B429" i="5"/>
  <c r="A429" i="5"/>
  <c r="F428" i="5"/>
  <c r="G428" i="5" s="1"/>
  <c r="E428" i="5"/>
  <c r="D428" i="5"/>
  <c r="B428" i="5"/>
  <c r="C428" i="5" s="1"/>
  <c r="A428" i="5"/>
  <c r="G427" i="5"/>
  <c r="E427" i="5"/>
  <c r="F427" i="5" s="1"/>
  <c r="D427" i="5"/>
  <c r="C427" i="5"/>
  <c r="B427" i="5"/>
  <c r="A427" i="5"/>
  <c r="E426" i="5"/>
  <c r="D426" i="5"/>
  <c r="B426" i="5"/>
  <c r="C426" i="5" s="1"/>
  <c r="A426" i="5"/>
  <c r="E425" i="5"/>
  <c r="D425" i="5"/>
  <c r="C425" i="5"/>
  <c r="B425" i="5"/>
  <c r="A425" i="5"/>
  <c r="E424" i="5"/>
  <c r="D424" i="5"/>
  <c r="F424" i="5" s="1"/>
  <c r="G424" i="5" s="1"/>
  <c r="C424" i="5"/>
  <c r="B424" i="5"/>
  <c r="A424" i="5"/>
  <c r="F423" i="5"/>
  <c r="G423" i="5" s="1"/>
  <c r="E423" i="5"/>
  <c r="D423" i="5"/>
  <c r="B423" i="5"/>
  <c r="C423" i="5" s="1"/>
  <c r="A423" i="5"/>
  <c r="F422" i="5"/>
  <c r="E422" i="5"/>
  <c r="D422" i="5"/>
  <c r="B422" i="5"/>
  <c r="C422" i="5" s="1"/>
  <c r="A422" i="5"/>
  <c r="E421" i="5"/>
  <c r="F421" i="5" s="1"/>
  <c r="D421" i="5"/>
  <c r="C421" i="5"/>
  <c r="B421" i="5"/>
  <c r="A421" i="5"/>
  <c r="E420" i="5"/>
  <c r="D420" i="5"/>
  <c r="F420" i="5" s="1"/>
  <c r="G420" i="5" s="1"/>
  <c r="B420" i="5"/>
  <c r="C420" i="5" s="1"/>
  <c r="A420" i="5"/>
  <c r="E419" i="5"/>
  <c r="D419" i="5"/>
  <c r="C419" i="5"/>
  <c r="B419" i="5"/>
  <c r="A419" i="5"/>
  <c r="F418" i="5"/>
  <c r="E418" i="5"/>
  <c r="D418" i="5"/>
  <c r="B418" i="5"/>
  <c r="C418" i="5" s="1"/>
  <c r="A418" i="5"/>
  <c r="E417" i="5"/>
  <c r="D417" i="5"/>
  <c r="C417" i="5"/>
  <c r="B417" i="5"/>
  <c r="A417" i="5"/>
  <c r="F416" i="5"/>
  <c r="G416" i="5" s="1"/>
  <c r="E416" i="5"/>
  <c r="D416" i="5"/>
  <c r="B416" i="5"/>
  <c r="C416" i="5" s="1"/>
  <c r="A416" i="5"/>
  <c r="F415" i="5"/>
  <c r="E415" i="5"/>
  <c r="D415" i="5"/>
  <c r="B415" i="5"/>
  <c r="C415" i="5" s="1"/>
  <c r="A415" i="5"/>
  <c r="F414" i="5"/>
  <c r="E414" i="5"/>
  <c r="D414" i="5"/>
  <c r="B414" i="5"/>
  <c r="C414" i="5" s="1"/>
  <c r="A414" i="5"/>
  <c r="E413" i="5"/>
  <c r="D413" i="5"/>
  <c r="C413" i="5"/>
  <c r="B413" i="5"/>
  <c r="A413" i="5"/>
  <c r="E412" i="5"/>
  <c r="D412" i="5"/>
  <c r="F412" i="5" s="1"/>
  <c r="G412" i="5" s="1"/>
  <c r="B412" i="5"/>
  <c r="C412" i="5" s="1"/>
  <c r="A412" i="5"/>
  <c r="G411" i="5"/>
  <c r="E411" i="5"/>
  <c r="F411" i="5" s="1"/>
  <c r="D411" i="5"/>
  <c r="C411" i="5"/>
  <c r="B411" i="5"/>
  <c r="A411" i="5"/>
  <c r="E410" i="5"/>
  <c r="D410" i="5"/>
  <c r="B410" i="5"/>
  <c r="C410" i="5" s="1"/>
  <c r="A410" i="5"/>
  <c r="G409" i="5"/>
  <c r="E409" i="5"/>
  <c r="F409" i="5" s="1"/>
  <c r="D409" i="5"/>
  <c r="C409" i="5"/>
  <c r="B409" i="5"/>
  <c r="A409" i="5"/>
  <c r="E408" i="5"/>
  <c r="D408" i="5"/>
  <c r="F408" i="5" s="1"/>
  <c r="G408" i="5" s="1"/>
  <c r="C408" i="5"/>
  <c r="B408" i="5"/>
  <c r="A408" i="5"/>
  <c r="G407" i="5"/>
  <c r="F407" i="5"/>
  <c r="E407" i="5"/>
  <c r="D407" i="5"/>
  <c r="C407" i="5"/>
  <c r="B407" i="5"/>
  <c r="A407" i="5"/>
  <c r="E406" i="5"/>
  <c r="D406" i="5"/>
  <c r="B406" i="5"/>
  <c r="C406" i="5" s="1"/>
  <c r="A406" i="5"/>
  <c r="G405" i="5"/>
  <c r="E405" i="5"/>
  <c r="F405" i="5" s="1"/>
  <c r="D405" i="5"/>
  <c r="C405" i="5"/>
  <c r="B405" i="5"/>
  <c r="A405" i="5"/>
  <c r="E404" i="5"/>
  <c r="D404" i="5"/>
  <c r="F404" i="5" s="1"/>
  <c r="G404" i="5" s="1"/>
  <c r="B404" i="5"/>
  <c r="C404" i="5" s="1"/>
  <c r="A404" i="5"/>
  <c r="E403" i="5"/>
  <c r="D403" i="5"/>
  <c r="C403" i="5"/>
  <c r="B403" i="5"/>
  <c r="A403" i="5"/>
  <c r="F402" i="5"/>
  <c r="E402" i="5"/>
  <c r="D402" i="5"/>
  <c r="B402" i="5"/>
  <c r="C402" i="5" s="1"/>
  <c r="A402" i="5"/>
  <c r="E401" i="5"/>
  <c r="D401" i="5"/>
  <c r="C401" i="5"/>
  <c r="B401" i="5"/>
  <c r="A401" i="5"/>
  <c r="F400" i="5"/>
  <c r="G400" i="5" s="1"/>
  <c r="E400" i="5"/>
  <c r="D400" i="5"/>
  <c r="B400" i="5"/>
  <c r="C400" i="5" s="1"/>
  <c r="A400" i="5"/>
  <c r="F399" i="5"/>
  <c r="E399" i="5"/>
  <c r="D399" i="5"/>
  <c r="B399" i="5"/>
  <c r="C399" i="5" s="1"/>
  <c r="A399" i="5"/>
  <c r="F398" i="5"/>
  <c r="E398" i="5"/>
  <c r="D398" i="5"/>
  <c r="B398" i="5"/>
  <c r="C398" i="5" s="1"/>
  <c r="A398" i="5"/>
  <c r="E397" i="5"/>
  <c r="D397" i="5"/>
  <c r="C397" i="5"/>
  <c r="B397" i="5"/>
  <c r="A397" i="5"/>
  <c r="F396" i="5"/>
  <c r="G396" i="5" s="1"/>
  <c r="E396" i="5"/>
  <c r="D396" i="5"/>
  <c r="B396" i="5"/>
  <c r="C396" i="5" s="1"/>
  <c r="A396" i="5"/>
  <c r="G395" i="5"/>
  <c r="E395" i="5"/>
  <c r="F395" i="5" s="1"/>
  <c r="D395" i="5"/>
  <c r="C395" i="5"/>
  <c r="B395" i="5"/>
  <c r="A395" i="5"/>
  <c r="E394" i="5"/>
  <c r="D394" i="5"/>
  <c r="C394" i="5"/>
  <c r="B394" i="5"/>
  <c r="A394" i="5"/>
  <c r="G393" i="5"/>
  <c r="E393" i="5"/>
  <c r="D393" i="5"/>
  <c r="F393" i="5" s="1"/>
  <c r="C393" i="5"/>
  <c r="B393" i="5"/>
  <c r="A393" i="5"/>
  <c r="F392" i="5"/>
  <c r="G392" i="5" s="1"/>
  <c r="E392" i="5"/>
  <c r="D392" i="5"/>
  <c r="B392" i="5"/>
  <c r="C392" i="5" s="1"/>
  <c r="A392" i="5"/>
  <c r="F391" i="5"/>
  <c r="E391" i="5"/>
  <c r="D391" i="5"/>
  <c r="B391" i="5"/>
  <c r="C391" i="5" s="1"/>
  <c r="A391" i="5"/>
  <c r="E390" i="5"/>
  <c r="D390" i="5"/>
  <c r="C390" i="5"/>
  <c r="B390" i="5"/>
  <c r="A390" i="5"/>
  <c r="F389" i="5"/>
  <c r="G389" i="5" s="1"/>
  <c r="E389" i="5"/>
  <c r="D389" i="5"/>
  <c r="B389" i="5"/>
  <c r="C389" i="5" s="1"/>
  <c r="A389" i="5"/>
  <c r="G388" i="5"/>
  <c r="E388" i="5"/>
  <c r="F388" i="5" s="1"/>
  <c r="D388" i="5"/>
  <c r="C388" i="5"/>
  <c r="B388" i="5"/>
  <c r="A388" i="5"/>
  <c r="E387" i="5"/>
  <c r="D387" i="5"/>
  <c r="B387" i="5"/>
  <c r="C387" i="5" s="1"/>
  <c r="A387" i="5"/>
  <c r="E386" i="5"/>
  <c r="D386" i="5"/>
  <c r="C386" i="5"/>
  <c r="B386" i="5"/>
  <c r="A386" i="5"/>
  <c r="F385" i="5"/>
  <c r="G385" i="5" s="1"/>
  <c r="E385" i="5"/>
  <c r="D385" i="5"/>
  <c r="B385" i="5"/>
  <c r="C385" i="5" s="1"/>
  <c r="A385" i="5"/>
  <c r="F384" i="5"/>
  <c r="E384" i="5"/>
  <c r="D384" i="5"/>
  <c r="B384" i="5"/>
  <c r="C384" i="5" s="1"/>
  <c r="A384" i="5"/>
  <c r="E383" i="5"/>
  <c r="D383" i="5"/>
  <c r="F383" i="5" s="1"/>
  <c r="B383" i="5"/>
  <c r="C383" i="5" s="1"/>
  <c r="A383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F380" i="5"/>
  <c r="E380" i="5"/>
  <c r="G380" i="5" s="1"/>
  <c r="D380" i="5"/>
  <c r="B380" i="5"/>
  <c r="C380" i="5" s="1"/>
  <c r="A380" i="5"/>
  <c r="E379" i="5"/>
  <c r="D379" i="5"/>
  <c r="B379" i="5"/>
  <c r="C379" i="5" s="1"/>
  <c r="A379" i="5"/>
  <c r="E378" i="5"/>
  <c r="D378" i="5"/>
  <c r="C378" i="5"/>
  <c r="B378" i="5"/>
  <c r="A378" i="5"/>
  <c r="G377" i="5"/>
  <c r="E377" i="5"/>
  <c r="D377" i="5"/>
  <c r="F377" i="5" s="1"/>
  <c r="C377" i="5"/>
  <c r="B377" i="5"/>
  <c r="A377" i="5"/>
  <c r="F376" i="5"/>
  <c r="G376" i="5" s="1"/>
  <c r="E376" i="5"/>
  <c r="D376" i="5"/>
  <c r="B376" i="5"/>
  <c r="C376" i="5" s="1"/>
  <c r="A376" i="5"/>
  <c r="E375" i="5"/>
  <c r="D375" i="5"/>
  <c r="F375" i="5" s="1"/>
  <c r="B375" i="5"/>
  <c r="C375" i="5" s="1"/>
  <c r="A375" i="5"/>
  <c r="E374" i="5"/>
  <c r="D374" i="5"/>
  <c r="C374" i="5"/>
  <c r="B374" i="5"/>
  <c r="A374" i="5"/>
  <c r="F373" i="5"/>
  <c r="G373" i="5" s="1"/>
  <c r="E373" i="5"/>
  <c r="D373" i="5"/>
  <c r="B373" i="5"/>
  <c r="C373" i="5" s="1"/>
  <c r="A373" i="5"/>
  <c r="G372" i="5"/>
  <c r="E372" i="5"/>
  <c r="F372" i="5" s="1"/>
  <c r="D372" i="5"/>
  <c r="C372" i="5"/>
  <c r="B372" i="5"/>
  <c r="A372" i="5"/>
  <c r="F371" i="5"/>
  <c r="E371" i="5"/>
  <c r="D371" i="5"/>
  <c r="B371" i="5"/>
  <c r="C371" i="5" s="1"/>
  <c r="A371" i="5"/>
  <c r="F370" i="5"/>
  <c r="E370" i="5"/>
  <c r="D370" i="5"/>
  <c r="B370" i="5"/>
  <c r="C370" i="5" s="1"/>
  <c r="A370" i="5"/>
  <c r="E369" i="5"/>
  <c r="D369" i="5"/>
  <c r="C369" i="5"/>
  <c r="B369" i="5"/>
  <c r="A369" i="5"/>
  <c r="F368" i="5"/>
  <c r="G368" i="5" s="1"/>
  <c r="E368" i="5"/>
  <c r="D368" i="5"/>
  <c r="B368" i="5"/>
  <c r="C368" i="5" s="1"/>
  <c r="A368" i="5"/>
  <c r="G367" i="5"/>
  <c r="E367" i="5"/>
  <c r="F367" i="5" s="1"/>
  <c r="D367" i="5"/>
  <c r="C367" i="5"/>
  <c r="B367" i="5"/>
  <c r="A367" i="5"/>
  <c r="E366" i="5"/>
  <c r="D366" i="5"/>
  <c r="B366" i="5"/>
  <c r="C366" i="5" s="1"/>
  <c r="A366" i="5"/>
  <c r="G365" i="5"/>
  <c r="E365" i="5"/>
  <c r="F365" i="5" s="1"/>
  <c r="D365" i="5"/>
  <c r="C365" i="5"/>
  <c r="B365" i="5"/>
  <c r="A365" i="5"/>
  <c r="E364" i="5"/>
  <c r="D364" i="5"/>
  <c r="F364" i="5" s="1"/>
  <c r="G364" i="5" s="1"/>
  <c r="C364" i="5"/>
  <c r="B364" i="5"/>
  <c r="A364" i="5"/>
  <c r="F363" i="5"/>
  <c r="G363" i="5" s="1"/>
  <c r="E363" i="5"/>
  <c r="D363" i="5"/>
  <c r="B363" i="5"/>
  <c r="C363" i="5" s="1"/>
  <c r="A363" i="5"/>
  <c r="F362" i="5"/>
  <c r="E362" i="5"/>
  <c r="D362" i="5"/>
  <c r="B362" i="5"/>
  <c r="C362" i="5" s="1"/>
  <c r="A362" i="5"/>
  <c r="E361" i="5"/>
  <c r="F361" i="5" s="1"/>
  <c r="D361" i="5"/>
  <c r="C361" i="5"/>
  <c r="B361" i="5"/>
  <c r="A361" i="5"/>
  <c r="E360" i="5"/>
  <c r="D360" i="5"/>
  <c r="F360" i="5" s="1"/>
  <c r="G360" i="5" s="1"/>
  <c r="B360" i="5"/>
  <c r="C360" i="5" s="1"/>
  <c r="A360" i="5"/>
  <c r="E359" i="5"/>
  <c r="D359" i="5"/>
  <c r="C359" i="5"/>
  <c r="B359" i="5"/>
  <c r="A359" i="5"/>
  <c r="F358" i="5"/>
  <c r="E358" i="5"/>
  <c r="D358" i="5"/>
  <c r="B358" i="5"/>
  <c r="C358" i="5" s="1"/>
  <c r="A358" i="5"/>
  <c r="E357" i="5"/>
  <c r="D357" i="5"/>
  <c r="C357" i="5"/>
  <c r="B357" i="5"/>
  <c r="A357" i="5"/>
  <c r="F356" i="5"/>
  <c r="G356" i="5" s="1"/>
  <c r="E356" i="5"/>
  <c r="D356" i="5"/>
  <c r="B356" i="5"/>
  <c r="C356" i="5" s="1"/>
  <c r="A356" i="5"/>
  <c r="F355" i="5"/>
  <c r="E355" i="5"/>
  <c r="D355" i="5"/>
  <c r="B355" i="5"/>
  <c r="C355" i="5" s="1"/>
  <c r="A355" i="5"/>
  <c r="F354" i="5"/>
  <c r="E354" i="5"/>
  <c r="D354" i="5"/>
  <c r="B354" i="5"/>
  <c r="C354" i="5" s="1"/>
  <c r="A354" i="5"/>
  <c r="E353" i="5"/>
  <c r="D353" i="5"/>
  <c r="C353" i="5"/>
  <c r="B353" i="5"/>
  <c r="A353" i="5"/>
  <c r="E352" i="5"/>
  <c r="D352" i="5"/>
  <c r="F352" i="5" s="1"/>
  <c r="G352" i="5" s="1"/>
  <c r="B352" i="5"/>
  <c r="C352" i="5" s="1"/>
  <c r="A352" i="5"/>
  <c r="G351" i="5"/>
  <c r="E351" i="5"/>
  <c r="F351" i="5" s="1"/>
  <c r="D351" i="5"/>
  <c r="C351" i="5"/>
  <c r="B351" i="5"/>
  <c r="A351" i="5"/>
  <c r="E350" i="5"/>
  <c r="D350" i="5"/>
  <c r="B350" i="5"/>
  <c r="C350" i="5" s="1"/>
  <c r="A350" i="5"/>
  <c r="G349" i="5"/>
  <c r="E349" i="5"/>
  <c r="F349" i="5" s="1"/>
  <c r="D349" i="5"/>
  <c r="C349" i="5"/>
  <c r="B349" i="5"/>
  <c r="A349" i="5"/>
  <c r="E348" i="5"/>
  <c r="D348" i="5"/>
  <c r="F348" i="5" s="1"/>
  <c r="G348" i="5" s="1"/>
  <c r="C348" i="5"/>
  <c r="B348" i="5"/>
  <c r="A348" i="5"/>
  <c r="F347" i="5"/>
  <c r="G347" i="5" s="1"/>
  <c r="E347" i="5"/>
  <c r="D347" i="5"/>
  <c r="B347" i="5"/>
  <c r="C347" i="5" s="1"/>
  <c r="A347" i="5"/>
  <c r="E346" i="5"/>
  <c r="D346" i="5"/>
  <c r="F346" i="5" s="1"/>
  <c r="B346" i="5"/>
  <c r="C346" i="5" s="1"/>
  <c r="A346" i="5"/>
  <c r="E345" i="5"/>
  <c r="D345" i="5"/>
  <c r="C345" i="5"/>
  <c r="B345" i="5"/>
  <c r="A345" i="5"/>
  <c r="E344" i="5"/>
  <c r="D344" i="5"/>
  <c r="F344" i="5" s="1"/>
  <c r="G344" i="5" s="1"/>
  <c r="B344" i="5"/>
  <c r="C344" i="5" s="1"/>
  <c r="A344" i="5"/>
  <c r="E343" i="5"/>
  <c r="F343" i="5" s="1"/>
  <c r="D343" i="5"/>
  <c r="C343" i="5"/>
  <c r="B343" i="5"/>
  <c r="A343" i="5"/>
  <c r="F342" i="5"/>
  <c r="E342" i="5"/>
  <c r="D342" i="5"/>
  <c r="B342" i="5"/>
  <c r="C342" i="5" s="1"/>
  <c r="A342" i="5"/>
  <c r="E341" i="5"/>
  <c r="D341" i="5"/>
  <c r="C341" i="5"/>
  <c r="B341" i="5"/>
  <c r="A341" i="5"/>
  <c r="F340" i="5"/>
  <c r="G340" i="5" s="1"/>
  <c r="E340" i="5"/>
  <c r="D340" i="5"/>
  <c r="B340" i="5"/>
  <c r="C340" i="5" s="1"/>
  <c r="A340" i="5"/>
  <c r="F339" i="5"/>
  <c r="E339" i="5"/>
  <c r="D339" i="5"/>
  <c r="B339" i="5"/>
  <c r="C339" i="5" s="1"/>
  <c r="A339" i="5"/>
  <c r="F338" i="5"/>
  <c r="E338" i="5"/>
  <c r="D338" i="5"/>
  <c r="B338" i="5"/>
  <c r="C338" i="5" s="1"/>
  <c r="A338" i="5"/>
  <c r="E337" i="5"/>
  <c r="D337" i="5"/>
  <c r="C337" i="5"/>
  <c r="B337" i="5"/>
  <c r="A337" i="5"/>
  <c r="F336" i="5"/>
  <c r="G336" i="5" s="1"/>
  <c r="E336" i="5"/>
  <c r="D336" i="5"/>
  <c r="B336" i="5"/>
  <c r="C336" i="5" s="1"/>
  <c r="A336" i="5"/>
  <c r="G335" i="5"/>
  <c r="E335" i="5"/>
  <c r="F335" i="5" s="1"/>
  <c r="D335" i="5"/>
  <c r="C335" i="5"/>
  <c r="B335" i="5"/>
  <c r="A335" i="5"/>
  <c r="E334" i="5"/>
  <c r="D334" i="5"/>
  <c r="B334" i="5"/>
  <c r="C334" i="5" s="1"/>
  <c r="A334" i="5"/>
  <c r="G333" i="5"/>
  <c r="E333" i="5"/>
  <c r="F333" i="5" s="1"/>
  <c r="D333" i="5"/>
  <c r="C333" i="5"/>
  <c r="B333" i="5"/>
  <c r="A333" i="5"/>
  <c r="E332" i="5"/>
  <c r="D332" i="5"/>
  <c r="F332" i="5" s="1"/>
  <c r="G332" i="5" s="1"/>
  <c r="C332" i="5"/>
  <c r="B332" i="5"/>
  <c r="A332" i="5"/>
  <c r="F331" i="5"/>
  <c r="G331" i="5" s="1"/>
  <c r="E331" i="5"/>
  <c r="D331" i="5"/>
  <c r="B331" i="5"/>
  <c r="C331" i="5" s="1"/>
  <c r="A331" i="5"/>
  <c r="F330" i="5"/>
  <c r="E330" i="5"/>
  <c r="D330" i="5"/>
  <c r="B330" i="5"/>
  <c r="C330" i="5" s="1"/>
  <c r="A330" i="5"/>
  <c r="E329" i="5"/>
  <c r="F329" i="5" s="1"/>
  <c r="D329" i="5"/>
  <c r="C329" i="5"/>
  <c r="B329" i="5"/>
  <c r="A329" i="5"/>
  <c r="E328" i="5"/>
  <c r="D328" i="5"/>
  <c r="F328" i="5" s="1"/>
  <c r="G328" i="5" s="1"/>
  <c r="B328" i="5"/>
  <c r="C328" i="5" s="1"/>
  <c r="A328" i="5"/>
  <c r="E327" i="5"/>
  <c r="D327" i="5"/>
  <c r="C327" i="5"/>
  <c r="B327" i="5"/>
  <c r="A327" i="5"/>
  <c r="F326" i="5"/>
  <c r="E326" i="5"/>
  <c r="D326" i="5"/>
  <c r="B326" i="5"/>
  <c r="C326" i="5" s="1"/>
  <c r="A326" i="5"/>
  <c r="E325" i="5"/>
  <c r="D325" i="5"/>
  <c r="C325" i="5"/>
  <c r="B325" i="5"/>
  <c r="A325" i="5"/>
  <c r="F324" i="5"/>
  <c r="G324" i="5" s="1"/>
  <c r="E324" i="5"/>
  <c r="D324" i="5"/>
  <c r="B324" i="5"/>
  <c r="C324" i="5" s="1"/>
  <c r="A324" i="5"/>
  <c r="F323" i="5"/>
  <c r="E323" i="5"/>
  <c r="D323" i="5"/>
  <c r="B323" i="5"/>
  <c r="C323" i="5" s="1"/>
  <c r="A323" i="5"/>
  <c r="F322" i="5"/>
  <c r="E322" i="5"/>
  <c r="D322" i="5"/>
  <c r="B322" i="5"/>
  <c r="C322" i="5" s="1"/>
  <c r="A322" i="5"/>
  <c r="E321" i="5"/>
  <c r="D321" i="5"/>
  <c r="C321" i="5"/>
  <c r="B321" i="5"/>
  <c r="A321" i="5"/>
  <c r="E320" i="5"/>
  <c r="D320" i="5"/>
  <c r="F320" i="5" s="1"/>
  <c r="G320" i="5" s="1"/>
  <c r="B320" i="5"/>
  <c r="C320" i="5" s="1"/>
  <c r="A320" i="5"/>
  <c r="G319" i="5"/>
  <c r="E319" i="5"/>
  <c r="F319" i="5" s="1"/>
  <c r="D319" i="5"/>
  <c r="C319" i="5"/>
  <c r="B319" i="5"/>
  <c r="A319" i="5"/>
  <c r="E318" i="5"/>
  <c r="D318" i="5"/>
  <c r="C318" i="5"/>
  <c r="B318" i="5"/>
  <c r="A318" i="5"/>
  <c r="E317" i="5"/>
  <c r="D317" i="5"/>
  <c r="F317" i="5" s="1"/>
  <c r="G317" i="5" s="1"/>
  <c r="C317" i="5"/>
  <c r="B317" i="5"/>
  <c r="A317" i="5"/>
  <c r="F316" i="5"/>
  <c r="G316" i="5" s="1"/>
  <c r="E316" i="5"/>
  <c r="D316" i="5"/>
  <c r="B316" i="5"/>
  <c r="C316" i="5" s="1"/>
  <c r="A316" i="5"/>
  <c r="E315" i="5"/>
  <c r="D315" i="5"/>
  <c r="F315" i="5" s="1"/>
  <c r="B315" i="5"/>
  <c r="C315" i="5" s="1"/>
  <c r="A315" i="5"/>
  <c r="E314" i="5"/>
  <c r="D314" i="5"/>
  <c r="C314" i="5"/>
  <c r="B314" i="5"/>
  <c r="A314" i="5"/>
  <c r="E313" i="5"/>
  <c r="D313" i="5"/>
  <c r="F313" i="5" s="1"/>
  <c r="G313" i="5" s="1"/>
  <c r="B313" i="5"/>
  <c r="C313" i="5" s="1"/>
  <c r="A313" i="5"/>
  <c r="G312" i="5"/>
  <c r="E312" i="5"/>
  <c r="F312" i="5" s="1"/>
  <c r="D312" i="5"/>
  <c r="C312" i="5"/>
  <c r="B312" i="5"/>
  <c r="A312" i="5"/>
  <c r="F311" i="5"/>
  <c r="E311" i="5"/>
  <c r="D311" i="5"/>
  <c r="B311" i="5"/>
  <c r="C311" i="5" s="1"/>
  <c r="A311" i="5"/>
  <c r="E310" i="5"/>
  <c r="D310" i="5"/>
  <c r="C310" i="5"/>
  <c r="B310" i="5"/>
  <c r="A310" i="5"/>
  <c r="F309" i="5"/>
  <c r="G309" i="5" s="1"/>
  <c r="E309" i="5"/>
  <c r="D309" i="5"/>
  <c r="B309" i="5"/>
  <c r="C309" i="5" s="1"/>
  <c r="A309" i="5"/>
  <c r="F308" i="5"/>
  <c r="E308" i="5"/>
  <c r="D308" i="5"/>
  <c r="B308" i="5"/>
  <c r="C308" i="5" s="1"/>
  <c r="A308" i="5"/>
  <c r="F307" i="5"/>
  <c r="E307" i="5"/>
  <c r="D307" i="5"/>
  <c r="B307" i="5"/>
  <c r="C307" i="5" s="1"/>
  <c r="A307" i="5"/>
  <c r="E306" i="5"/>
  <c r="D306" i="5"/>
  <c r="C306" i="5"/>
  <c r="B306" i="5"/>
  <c r="A306" i="5"/>
  <c r="F305" i="5"/>
  <c r="G305" i="5" s="1"/>
  <c r="E305" i="5"/>
  <c r="D305" i="5"/>
  <c r="B305" i="5"/>
  <c r="C305" i="5" s="1"/>
  <c r="A305" i="5"/>
  <c r="G304" i="5"/>
  <c r="E304" i="5"/>
  <c r="F304" i="5" s="1"/>
  <c r="D304" i="5"/>
  <c r="C304" i="5"/>
  <c r="B304" i="5"/>
  <c r="A304" i="5"/>
  <c r="E303" i="5"/>
  <c r="D303" i="5"/>
  <c r="B303" i="5"/>
  <c r="C303" i="5" s="1"/>
  <c r="A303" i="5"/>
  <c r="E302" i="5"/>
  <c r="D302" i="5"/>
  <c r="C302" i="5"/>
  <c r="B302" i="5"/>
  <c r="A302" i="5"/>
  <c r="E301" i="5"/>
  <c r="D301" i="5"/>
  <c r="F301" i="5" s="1"/>
  <c r="G301" i="5" s="1"/>
  <c r="C301" i="5"/>
  <c r="B301" i="5"/>
  <c r="A301" i="5"/>
  <c r="F300" i="5"/>
  <c r="G300" i="5" s="1"/>
  <c r="E300" i="5"/>
  <c r="D300" i="5"/>
  <c r="B300" i="5"/>
  <c r="C300" i="5" s="1"/>
  <c r="A300" i="5"/>
  <c r="E299" i="5"/>
  <c r="D299" i="5"/>
  <c r="F299" i="5" s="1"/>
  <c r="B299" i="5"/>
  <c r="C299" i="5" s="1"/>
  <c r="A299" i="5"/>
  <c r="E298" i="5"/>
  <c r="D298" i="5"/>
  <c r="C298" i="5"/>
  <c r="B298" i="5"/>
  <c r="A298" i="5"/>
  <c r="E297" i="5"/>
  <c r="D297" i="5"/>
  <c r="F297" i="5" s="1"/>
  <c r="G297" i="5" s="1"/>
  <c r="B297" i="5"/>
  <c r="C297" i="5" s="1"/>
  <c r="A297" i="5"/>
  <c r="G296" i="5"/>
  <c r="E296" i="5"/>
  <c r="F296" i="5" s="1"/>
  <c r="D296" i="5"/>
  <c r="C296" i="5"/>
  <c r="B296" i="5"/>
  <c r="A296" i="5"/>
  <c r="F295" i="5"/>
  <c r="E295" i="5"/>
  <c r="D295" i="5"/>
  <c r="B295" i="5"/>
  <c r="C295" i="5" s="1"/>
  <c r="A295" i="5"/>
  <c r="E294" i="5"/>
  <c r="D294" i="5"/>
  <c r="C294" i="5"/>
  <c r="B294" i="5"/>
  <c r="A294" i="5"/>
  <c r="F293" i="5"/>
  <c r="G293" i="5" s="1"/>
  <c r="E293" i="5"/>
  <c r="D293" i="5"/>
  <c r="B293" i="5"/>
  <c r="C293" i="5" s="1"/>
  <c r="A293" i="5"/>
  <c r="F292" i="5"/>
  <c r="E292" i="5"/>
  <c r="D292" i="5"/>
  <c r="B292" i="5"/>
  <c r="C292" i="5" s="1"/>
  <c r="A292" i="5"/>
  <c r="F291" i="5"/>
  <c r="E291" i="5"/>
  <c r="D291" i="5"/>
  <c r="B291" i="5"/>
  <c r="C291" i="5" s="1"/>
  <c r="A291" i="5"/>
  <c r="E290" i="5"/>
  <c r="D290" i="5"/>
  <c r="C290" i="5"/>
  <c r="B290" i="5"/>
  <c r="A290" i="5"/>
  <c r="F289" i="5"/>
  <c r="G289" i="5" s="1"/>
  <c r="E289" i="5"/>
  <c r="D289" i="5"/>
  <c r="B289" i="5"/>
  <c r="C289" i="5" s="1"/>
  <c r="A289" i="5"/>
  <c r="G288" i="5"/>
  <c r="E288" i="5"/>
  <c r="F288" i="5" s="1"/>
  <c r="D288" i="5"/>
  <c r="C288" i="5"/>
  <c r="B288" i="5"/>
  <c r="A288" i="5"/>
  <c r="E287" i="5"/>
  <c r="D287" i="5"/>
  <c r="B287" i="5"/>
  <c r="C287" i="5" s="1"/>
  <c r="A287" i="5"/>
  <c r="E286" i="5"/>
  <c r="D286" i="5"/>
  <c r="C286" i="5"/>
  <c r="B286" i="5"/>
  <c r="A286" i="5"/>
  <c r="E285" i="5"/>
  <c r="D285" i="5"/>
  <c r="F285" i="5" s="1"/>
  <c r="G285" i="5" s="1"/>
  <c r="C285" i="5"/>
  <c r="B285" i="5"/>
  <c r="A285" i="5"/>
  <c r="F284" i="5"/>
  <c r="G284" i="5" s="1"/>
  <c r="E284" i="5"/>
  <c r="D284" i="5"/>
  <c r="B284" i="5"/>
  <c r="C284" i="5" s="1"/>
  <c r="A284" i="5"/>
  <c r="E283" i="5"/>
  <c r="D283" i="5"/>
  <c r="F283" i="5" s="1"/>
  <c r="B283" i="5"/>
  <c r="C283" i="5" s="1"/>
  <c r="A283" i="5"/>
  <c r="E282" i="5"/>
  <c r="D282" i="5"/>
  <c r="C282" i="5"/>
  <c r="B282" i="5"/>
  <c r="A282" i="5"/>
  <c r="E281" i="5"/>
  <c r="D281" i="5"/>
  <c r="F281" i="5" s="1"/>
  <c r="G281" i="5" s="1"/>
  <c r="B281" i="5"/>
  <c r="C281" i="5" s="1"/>
  <c r="A281" i="5"/>
  <c r="G280" i="5"/>
  <c r="E280" i="5"/>
  <c r="F280" i="5" s="1"/>
  <c r="D280" i="5"/>
  <c r="C280" i="5"/>
  <c r="B280" i="5"/>
  <c r="A280" i="5"/>
  <c r="F279" i="5"/>
  <c r="E279" i="5"/>
  <c r="D279" i="5"/>
  <c r="B279" i="5"/>
  <c r="C279" i="5" s="1"/>
  <c r="A279" i="5"/>
  <c r="E278" i="5"/>
  <c r="D278" i="5"/>
  <c r="C278" i="5"/>
  <c r="B278" i="5"/>
  <c r="A278" i="5"/>
  <c r="F277" i="5"/>
  <c r="G277" i="5" s="1"/>
  <c r="E277" i="5"/>
  <c r="D277" i="5"/>
  <c r="B277" i="5"/>
  <c r="C277" i="5" s="1"/>
  <c r="A277" i="5"/>
  <c r="F276" i="5"/>
  <c r="E276" i="5"/>
  <c r="D276" i="5"/>
  <c r="B276" i="5"/>
  <c r="C276" i="5" s="1"/>
  <c r="A276" i="5"/>
  <c r="F275" i="5"/>
  <c r="E275" i="5"/>
  <c r="D275" i="5"/>
  <c r="B275" i="5"/>
  <c r="C275" i="5" s="1"/>
  <c r="A275" i="5"/>
  <c r="E274" i="5"/>
  <c r="D274" i="5"/>
  <c r="C274" i="5"/>
  <c r="B274" i="5"/>
  <c r="A274" i="5"/>
  <c r="F273" i="5"/>
  <c r="G273" i="5" s="1"/>
  <c r="E273" i="5"/>
  <c r="D273" i="5"/>
  <c r="B273" i="5"/>
  <c r="C273" i="5" s="1"/>
  <c r="A273" i="5"/>
  <c r="G272" i="5"/>
  <c r="E272" i="5"/>
  <c r="F272" i="5" s="1"/>
  <c r="D272" i="5"/>
  <c r="C272" i="5"/>
  <c r="B272" i="5"/>
  <c r="A272" i="5"/>
  <c r="E271" i="5"/>
  <c r="D271" i="5"/>
  <c r="B271" i="5"/>
  <c r="C271" i="5" s="1"/>
  <c r="A271" i="5"/>
  <c r="E270" i="5"/>
  <c r="D270" i="5"/>
  <c r="C270" i="5"/>
  <c r="B270" i="5"/>
  <c r="A270" i="5"/>
  <c r="E269" i="5"/>
  <c r="D269" i="5"/>
  <c r="F269" i="5" s="1"/>
  <c r="G269" i="5" s="1"/>
  <c r="C269" i="5"/>
  <c r="B269" i="5"/>
  <c r="A269" i="5"/>
  <c r="F268" i="5"/>
  <c r="G268" i="5" s="1"/>
  <c r="E268" i="5"/>
  <c r="D268" i="5"/>
  <c r="B268" i="5"/>
  <c r="C268" i="5" s="1"/>
  <c r="A268" i="5"/>
  <c r="E267" i="5"/>
  <c r="D267" i="5"/>
  <c r="F267" i="5" s="1"/>
  <c r="B267" i="5"/>
  <c r="C267" i="5" s="1"/>
  <c r="A267" i="5"/>
  <c r="E266" i="5"/>
  <c r="D266" i="5"/>
  <c r="C266" i="5"/>
  <c r="B266" i="5"/>
  <c r="A266" i="5"/>
  <c r="E265" i="5"/>
  <c r="D265" i="5"/>
  <c r="F265" i="5" s="1"/>
  <c r="G265" i="5" s="1"/>
  <c r="B265" i="5"/>
  <c r="C265" i="5" s="1"/>
  <c r="A265" i="5"/>
  <c r="G264" i="5"/>
  <c r="E264" i="5"/>
  <c r="F264" i="5" s="1"/>
  <c r="D264" i="5"/>
  <c r="C264" i="5"/>
  <c r="B264" i="5"/>
  <c r="A264" i="5"/>
  <c r="F263" i="5"/>
  <c r="E263" i="5"/>
  <c r="D263" i="5"/>
  <c r="B263" i="5"/>
  <c r="C263" i="5" s="1"/>
  <c r="A263" i="5"/>
  <c r="E262" i="5"/>
  <c r="D262" i="5"/>
  <c r="C262" i="5"/>
  <c r="B262" i="5"/>
  <c r="A262" i="5"/>
  <c r="F261" i="5"/>
  <c r="G261" i="5" s="1"/>
  <c r="E261" i="5"/>
  <c r="D261" i="5"/>
  <c r="B261" i="5"/>
  <c r="C261" i="5" s="1"/>
  <c r="A261" i="5"/>
  <c r="F260" i="5"/>
  <c r="E260" i="5"/>
  <c r="D260" i="5"/>
  <c r="B260" i="5"/>
  <c r="C260" i="5" s="1"/>
  <c r="A260" i="5"/>
  <c r="F259" i="5"/>
  <c r="E259" i="5"/>
  <c r="D259" i="5"/>
  <c r="B259" i="5"/>
  <c r="C259" i="5" s="1"/>
  <c r="A259" i="5"/>
  <c r="E258" i="5"/>
  <c r="D258" i="5"/>
  <c r="C258" i="5"/>
  <c r="B258" i="5"/>
  <c r="A258" i="5"/>
  <c r="F257" i="5"/>
  <c r="G257" i="5" s="1"/>
  <c r="E257" i="5"/>
  <c r="D257" i="5"/>
  <c r="B257" i="5"/>
  <c r="C257" i="5" s="1"/>
  <c r="A257" i="5"/>
  <c r="G256" i="5"/>
  <c r="E256" i="5"/>
  <c r="F256" i="5" s="1"/>
  <c r="D256" i="5"/>
  <c r="C256" i="5"/>
  <c r="B256" i="5"/>
  <c r="A256" i="5"/>
  <c r="E255" i="5"/>
  <c r="D255" i="5"/>
  <c r="B255" i="5"/>
  <c r="C255" i="5" s="1"/>
  <c r="A255" i="5"/>
  <c r="E254" i="5"/>
  <c r="D254" i="5"/>
  <c r="C254" i="5"/>
  <c r="B254" i="5"/>
  <c r="A254" i="5"/>
  <c r="E253" i="5"/>
  <c r="D253" i="5"/>
  <c r="F253" i="5" s="1"/>
  <c r="G253" i="5" s="1"/>
  <c r="C253" i="5"/>
  <c r="B253" i="5"/>
  <c r="A253" i="5"/>
  <c r="F252" i="5"/>
  <c r="G252" i="5" s="1"/>
  <c r="E252" i="5"/>
  <c r="D252" i="5"/>
  <c r="B252" i="5"/>
  <c r="C252" i="5" s="1"/>
  <c r="A252" i="5"/>
  <c r="E251" i="5"/>
  <c r="D251" i="5"/>
  <c r="F251" i="5" s="1"/>
  <c r="B251" i="5"/>
  <c r="C251" i="5" s="1"/>
  <c r="A251" i="5"/>
  <c r="E250" i="5"/>
  <c r="D250" i="5"/>
  <c r="C250" i="5"/>
  <c r="B250" i="5"/>
  <c r="A250" i="5"/>
  <c r="E249" i="5"/>
  <c r="D249" i="5"/>
  <c r="F249" i="5" s="1"/>
  <c r="G249" i="5" s="1"/>
  <c r="B249" i="5"/>
  <c r="C249" i="5" s="1"/>
  <c r="A249" i="5"/>
  <c r="G248" i="5"/>
  <c r="E248" i="5"/>
  <c r="F248" i="5" s="1"/>
  <c r="D248" i="5"/>
  <c r="C248" i="5"/>
  <c r="B248" i="5"/>
  <c r="A248" i="5"/>
  <c r="F247" i="5"/>
  <c r="E247" i="5"/>
  <c r="D247" i="5"/>
  <c r="B247" i="5"/>
  <c r="C247" i="5" s="1"/>
  <c r="A247" i="5"/>
  <c r="E246" i="5"/>
  <c r="D246" i="5"/>
  <c r="C246" i="5"/>
  <c r="B246" i="5"/>
  <c r="A246" i="5"/>
  <c r="F245" i="5"/>
  <c r="G245" i="5" s="1"/>
  <c r="E245" i="5"/>
  <c r="D245" i="5"/>
  <c r="B245" i="5"/>
  <c r="C245" i="5" s="1"/>
  <c r="A245" i="5"/>
  <c r="F244" i="5"/>
  <c r="E244" i="5"/>
  <c r="D244" i="5"/>
  <c r="B244" i="5"/>
  <c r="C244" i="5" s="1"/>
  <c r="A244" i="5"/>
  <c r="F243" i="5"/>
  <c r="E243" i="5"/>
  <c r="D243" i="5"/>
  <c r="B243" i="5"/>
  <c r="C243" i="5" s="1"/>
  <c r="A243" i="5"/>
  <c r="E242" i="5"/>
  <c r="D242" i="5"/>
  <c r="C242" i="5"/>
  <c r="B242" i="5"/>
  <c r="A242" i="5"/>
  <c r="F241" i="5"/>
  <c r="G241" i="5" s="1"/>
  <c r="E241" i="5"/>
  <c r="D241" i="5"/>
  <c r="B241" i="5"/>
  <c r="C241" i="5" s="1"/>
  <c r="A241" i="5"/>
  <c r="G240" i="5"/>
  <c r="E240" i="5"/>
  <c r="F240" i="5" s="1"/>
  <c r="D240" i="5"/>
  <c r="C240" i="5"/>
  <c r="B240" i="5"/>
  <c r="A240" i="5"/>
  <c r="E239" i="5"/>
  <c r="D239" i="5"/>
  <c r="B239" i="5"/>
  <c r="C239" i="5" s="1"/>
  <c r="A239" i="5"/>
  <c r="E238" i="5"/>
  <c r="D238" i="5"/>
  <c r="C238" i="5"/>
  <c r="B238" i="5"/>
  <c r="A238" i="5"/>
  <c r="E237" i="5"/>
  <c r="D237" i="5"/>
  <c r="F237" i="5" s="1"/>
  <c r="G237" i="5" s="1"/>
  <c r="C237" i="5"/>
  <c r="B237" i="5"/>
  <c r="A237" i="5"/>
  <c r="F236" i="5"/>
  <c r="G236" i="5" s="1"/>
  <c r="E236" i="5"/>
  <c r="D236" i="5"/>
  <c r="B236" i="5"/>
  <c r="C236" i="5" s="1"/>
  <c r="A236" i="5"/>
  <c r="E235" i="5"/>
  <c r="D235" i="5"/>
  <c r="F235" i="5" s="1"/>
  <c r="B235" i="5"/>
  <c r="C235" i="5" s="1"/>
  <c r="A235" i="5"/>
  <c r="E234" i="5"/>
  <c r="D234" i="5"/>
  <c r="C234" i="5"/>
  <c r="B234" i="5"/>
  <c r="A234" i="5"/>
  <c r="E233" i="5"/>
  <c r="D233" i="5"/>
  <c r="F233" i="5" s="1"/>
  <c r="G233" i="5" s="1"/>
  <c r="B233" i="5"/>
  <c r="C233" i="5" s="1"/>
  <c r="A233" i="5"/>
  <c r="G232" i="5"/>
  <c r="E232" i="5"/>
  <c r="F232" i="5" s="1"/>
  <c r="D232" i="5"/>
  <c r="B232" i="5"/>
  <c r="C232" i="5" s="1"/>
  <c r="A232" i="5"/>
  <c r="F231" i="5"/>
  <c r="E231" i="5"/>
  <c r="D231" i="5"/>
  <c r="B231" i="5"/>
  <c r="C231" i="5" s="1"/>
  <c r="A231" i="5"/>
  <c r="E230" i="5"/>
  <c r="D230" i="5"/>
  <c r="C230" i="5"/>
  <c r="B230" i="5"/>
  <c r="A230" i="5"/>
  <c r="E229" i="5"/>
  <c r="D229" i="5"/>
  <c r="F229" i="5" s="1"/>
  <c r="G229" i="5" s="1"/>
  <c r="B229" i="5"/>
  <c r="C229" i="5" s="1"/>
  <c r="A229" i="5"/>
  <c r="E228" i="5"/>
  <c r="F228" i="5" s="1"/>
  <c r="D228" i="5"/>
  <c r="C228" i="5"/>
  <c r="B228" i="5"/>
  <c r="A228" i="5"/>
  <c r="E227" i="5"/>
  <c r="D227" i="5"/>
  <c r="B227" i="5"/>
  <c r="C227" i="5" s="1"/>
  <c r="A227" i="5"/>
  <c r="E226" i="5"/>
  <c r="D226" i="5"/>
  <c r="C226" i="5"/>
  <c r="B226" i="5"/>
  <c r="A226" i="5"/>
  <c r="G225" i="5"/>
  <c r="E225" i="5"/>
  <c r="D225" i="5"/>
  <c r="F225" i="5" s="1"/>
  <c r="C225" i="5"/>
  <c r="B225" i="5"/>
  <c r="A225" i="5"/>
  <c r="F224" i="5"/>
  <c r="G224" i="5" s="1"/>
  <c r="E224" i="5"/>
  <c r="D224" i="5"/>
  <c r="B224" i="5"/>
  <c r="C224" i="5" s="1"/>
  <c r="A224" i="5"/>
  <c r="E223" i="5"/>
  <c r="D223" i="5"/>
  <c r="F223" i="5" s="1"/>
  <c r="B223" i="5"/>
  <c r="C223" i="5" s="1"/>
  <c r="A223" i="5"/>
  <c r="E222" i="5"/>
  <c r="D222" i="5"/>
  <c r="C222" i="5"/>
  <c r="B222" i="5"/>
  <c r="A222" i="5"/>
  <c r="F221" i="5"/>
  <c r="G221" i="5" s="1"/>
  <c r="E221" i="5"/>
  <c r="D221" i="5"/>
  <c r="B221" i="5"/>
  <c r="C221" i="5" s="1"/>
  <c r="A221" i="5"/>
  <c r="E220" i="5"/>
  <c r="F220" i="5" s="1"/>
  <c r="D220" i="5"/>
  <c r="C220" i="5"/>
  <c r="B220" i="5"/>
  <c r="A220" i="5"/>
  <c r="E219" i="5"/>
  <c r="D219" i="5"/>
  <c r="B219" i="5"/>
  <c r="C219" i="5" s="1"/>
  <c r="A219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F216" i="5"/>
  <c r="E216" i="5"/>
  <c r="D216" i="5"/>
  <c r="B216" i="5"/>
  <c r="C216" i="5" s="1"/>
  <c r="A216" i="5"/>
  <c r="E215" i="5"/>
  <c r="D215" i="5"/>
  <c r="F215" i="5" s="1"/>
  <c r="B215" i="5"/>
  <c r="C215" i="5" s="1"/>
  <c r="A215" i="5"/>
  <c r="E214" i="5"/>
  <c r="D214" i="5"/>
  <c r="C214" i="5"/>
  <c r="B214" i="5"/>
  <c r="A214" i="5"/>
  <c r="F213" i="5"/>
  <c r="G213" i="5" s="1"/>
  <c r="E213" i="5"/>
  <c r="D213" i="5"/>
  <c r="B213" i="5"/>
  <c r="C213" i="5" s="1"/>
  <c r="A213" i="5"/>
  <c r="G212" i="5"/>
  <c r="E212" i="5"/>
  <c r="F212" i="5" s="1"/>
  <c r="D212" i="5"/>
  <c r="C212" i="5"/>
  <c r="B212" i="5"/>
  <c r="A212" i="5"/>
  <c r="E211" i="5"/>
  <c r="D211" i="5"/>
  <c r="B211" i="5"/>
  <c r="C211" i="5" s="1"/>
  <c r="A211" i="5"/>
  <c r="E210" i="5"/>
  <c r="D210" i="5"/>
  <c r="C210" i="5"/>
  <c r="B210" i="5"/>
  <c r="A210" i="5"/>
  <c r="G209" i="5"/>
  <c r="E209" i="5"/>
  <c r="D209" i="5"/>
  <c r="F209" i="5" s="1"/>
  <c r="C209" i="5"/>
  <c r="B209" i="5"/>
  <c r="A209" i="5"/>
  <c r="F208" i="5"/>
  <c r="G208" i="5" s="1"/>
  <c r="E208" i="5"/>
  <c r="D208" i="5"/>
  <c r="B208" i="5"/>
  <c r="C208" i="5" s="1"/>
  <c r="A208" i="5"/>
  <c r="F207" i="5"/>
  <c r="E207" i="5"/>
  <c r="D207" i="5"/>
  <c r="B207" i="5"/>
  <c r="C207" i="5" s="1"/>
  <c r="A207" i="5"/>
  <c r="E206" i="5"/>
  <c r="D206" i="5"/>
  <c r="C206" i="5"/>
  <c r="B206" i="5"/>
  <c r="A206" i="5"/>
  <c r="E205" i="5"/>
  <c r="D205" i="5"/>
  <c r="F205" i="5" s="1"/>
  <c r="G205" i="5" s="1"/>
  <c r="B205" i="5"/>
  <c r="C205" i="5" s="1"/>
  <c r="A205" i="5"/>
  <c r="G204" i="5"/>
  <c r="E204" i="5"/>
  <c r="F204" i="5" s="1"/>
  <c r="D204" i="5"/>
  <c r="C204" i="5"/>
  <c r="B204" i="5"/>
  <c r="A204" i="5"/>
  <c r="E203" i="5"/>
  <c r="D203" i="5"/>
  <c r="B203" i="5"/>
  <c r="C203" i="5" s="1"/>
  <c r="A203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F200" i="5"/>
  <c r="E200" i="5"/>
  <c r="G200" i="5" s="1"/>
  <c r="D200" i="5"/>
  <c r="B200" i="5"/>
  <c r="C200" i="5" s="1"/>
  <c r="A200" i="5"/>
  <c r="E199" i="5"/>
  <c r="D199" i="5"/>
  <c r="F199" i="5" s="1"/>
  <c r="B199" i="5"/>
  <c r="C199" i="5" s="1"/>
  <c r="A199" i="5"/>
  <c r="E198" i="5"/>
  <c r="D198" i="5"/>
  <c r="C198" i="5"/>
  <c r="B198" i="5"/>
  <c r="A198" i="5"/>
  <c r="F197" i="5"/>
  <c r="G197" i="5" s="1"/>
  <c r="E197" i="5"/>
  <c r="D197" i="5"/>
  <c r="B197" i="5"/>
  <c r="C197" i="5" s="1"/>
  <c r="A197" i="5"/>
  <c r="E196" i="5"/>
  <c r="F196" i="5" s="1"/>
  <c r="D196" i="5"/>
  <c r="C196" i="5"/>
  <c r="B196" i="5"/>
  <c r="A196" i="5"/>
  <c r="E195" i="5"/>
  <c r="D195" i="5"/>
  <c r="B195" i="5"/>
  <c r="C195" i="5" s="1"/>
  <c r="A195" i="5"/>
  <c r="E194" i="5"/>
  <c r="D194" i="5"/>
  <c r="C194" i="5"/>
  <c r="B194" i="5"/>
  <c r="A194" i="5"/>
  <c r="E193" i="5"/>
  <c r="D193" i="5"/>
  <c r="F193" i="5" s="1"/>
  <c r="G193" i="5" s="1"/>
  <c r="C193" i="5"/>
  <c r="B193" i="5"/>
  <c r="A193" i="5"/>
  <c r="F192" i="5"/>
  <c r="G192" i="5" s="1"/>
  <c r="E192" i="5"/>
  <c r="D192" i="5"/>
  <c r="B192" i="5"/>
  <c r="C192" i="5" s="1"/>
  <c r="A192" i="5"/>
  <c r="F191" i="5"/>
  <c r="E191" i="5"/>
  <c r="D191" i="5"/>
  <c r="B191" i="5"/>
  <c r="C191" i="5" s="1"/>
  <c r="A191" i="5"/>
  <c r="E190" i="5"/>
  <c r="D190" i="5"/>
  <c r="C190" i="5"/>
  <c r="B190" i="5"/>
  <c r="A190" i="5"/>
  <c r="E189" i="5"/>
  <c r="D189" i="5"/>
  <c r="F189" i="5" s="1"/>
  <c r="G189" i="5" s="1"/>
  <c r="B189" i="5"/>
  <c r="C189" i="5" s="1"/>
  <c r="A189" i="5"/>
  <c r="E188" i="5"/>
  <c r="F188" i="5" s="1"/>
  <c r="D188" i="5"/>
  <c r="C188" i="5"/>
  <c r="B188" i="5"/>
  <c r="A188" i="5"/>
  <c r="E187" i="5"/>
  <c r="D187" i="5"/>
  <c r="B187" i="5"/>
  <c r="C187" i="5" s="1"/>
  <c r="A187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F184" i="5"/>
  <c r="E184" i="5"/>
  <c r="D184" i="5"/>
  <c r="B184" i="5"/>
  <c r="C184" i="5" s="1"/>
  <c r="A184" i="5"/>
  <c r="F183" i="5"/>
  <c r="E183" i="5"/>
  <c r="D183" i="5"/>
  <c r="B183" i="5"/>
  <c r="C183" i="5" s="1"/>
  <c r="A183" i="5"/>
  <c r="E182" i="5"/>
  <c r="D182" i="5"/>
  <c r="C182" i="5"/>
  <c r="B182" i="5"/>
  <c r="A182" i="5"/>
  <c r="E181" i="5"/>
  <c r="D181" i="5"/>
  <c r="F181" i="5" s="1"/>
  <c r="G181" i="5" s="1"/>
  <c r="B181" i="5"/>
  <c r="C181" i="5" s="1"/>
  <c r="A181" i="5"/>
  <c r="G180" i="5"/>
  <c r="E180" i="5"/>
  <c r="F180" i="5" s="1"/>
  <c r="D180" i="5"/>
  <c r="C180" i="5"/>
  <c r="B180" i="5"/>
  <c r="A180" i="5"/>
  <c r="E179" i="5"/>
  <c r="D179" i="5"/>
  <c r="B179" i="5"/>
  <c r="C179" i="5" s="1"/>
  <c r="A179" i="5"/>
  <c r="E178" i="5"/>
  <c r="D178" i="5"/>
  <c r="B178" i="5"/>
  <c r="C178" i="5" s="1"/>
  <c r="A178" i="5"/>
  <c r="E177" i="5"/>
  <c r="F177" i="5" s="1"/>
  <c r="D177" i="5"/>
  <c r="C177" i="5"/>
  <c r="B177" i="5"/>
  <c r="A177" i="5"/>
  <c r="F176" i="5"/>
  <c r="G176" i="5" s="1"/>
  <c r="E176" i="5"/>
  <c r="D176" i="5"/>
  <c r="B176" i="5"/>
  <c r="C176" i="5" s="1"/>
  <c r="A176" i="5"/>
  <c r="G175" i="5"/>
  <c r="E175" i="5"/>
  <c r="F175" i="5" s="1"/>
  <c r="D175" i="5"/>
  <c r="C175" i="5"/>
  <c r="B175" i="5"/>
  <c r="A175" i="5"/>
  <c r="E174" i="5"/>
  <c r="D174" i="5"/>
  <c r="F174" i="5" s="1"/>
  <c r="B174" i="5"/>
  <c r="C174" i="5" s="1"/>
  <c r="A174" i="5"/>
  <c r="E173" i="5"/>
  <c r="F173" i="5" s="1"/>
  <c r="D173" i="5"/>
  <c r="C173" i="5"/>
  <c r="B173" i="5"/>
  <c r="A173" i="5"/>
  <c r="E172" i="5"/>
  <c r="D172" i="5"/>
  <c r="F172" i="5" s="1"/>
  <c r="G172" i="5" s="1"/>
  <c r="B172" i="5"/>
  <c r="C172" i="5" s="1"/>
  <c r="A172" i="5"/>
  <c r="G171" i="5"/>
  <c r="E171" i="5"/>
  <c r="F171" i="5" s="1"/>
  <c r="D171" i="5"/>
  <c r="C171" i="5"/>
  <c r="B171" i="5"/>
  <c r="A171" i="5"/>
  <c r="F170" i="5"/>
  <c r="E170" i="5"/>
  <c r="D170" i="5"/>
  <c r="B170" i="5"/>
  <c r="C170" i="5" s="1"/>
  <c r="A170" i="5"/>
  <c r="E169" i="5"/>
  <c r="F169" i="5" s="1"/>
  <c r="D169" i="5"/>
  <c r="C169" i="5"/>
  <c r="B169" i="5"/>
  <c r="A169" i="5"/>
  <c r="F168" i="5"/>
  <c r="G168" i="5" s="1"/>
  <c r="E168" i="5"/>
  <c r="D168" i="5"/>
  <c r="B168" i="5"/>
  <c r="C168" i="5" s="1"/>
  <c r="A168" i="5"/>
  <c r="G167" i="5"/>
  <c r="E167" i="5"/>
  <c r="F167" i="5" s="1"/>
  <c r="D167" i="5"/>
  <c r="C167" i="5"/>
  <c r="B167" i="5"/>
  <c r="A167" i="5"/>
  <c r="E166" i="5"/>
  <c r="D166" i="5"/>
  <c r="F166" i="5" s="1"/>
  <c r="B166" i="5"/>
  <c r="C166" i="5" s="1"/>
  <c r="A166" i="5"/>
  <c r="E165" i="5"/>
  <c r="F165" i="5" s="1"/>
  <c r="D165" i="5"/>
  <c r="C165" i="5"/>
  <c r="B165" i="5"/>
  <c r="A165" i="5"/>
  <c r="E164" i="5"/>
  <c r="D164" i="5"/>
  <c r="F164" i="5" s="1"/>
  <c r="G164" i="5" s="1"/>
  <c r="B164" i="5"/>
  <c r="C164" i="5" s="1"/>
  <c r="A164" i="5"/>
  <c r="G163" i="5"/>
  <c r="E163" i="5"/>
  <c r="F163" i="5" s="1"/>
  <c r="D163" i="5"/>
  <c r="C163" i="5"/>
  <c r="B163" i="5"/>
  <c r="A163" i="5"/>
  <c r="F162" i="5"/>
  <c r="E162" i="5"/>
  <c r="D162" i="5"/>
  <c r="B162" i="5"/>
  <c r="C162" i="5" s="1"/>
  <c r="A162" i="5"/>
  <c r="E161" i="5"/>
  <c r="F161" i="5" s="1"/>
  <c r="D161" i="5"/>
  <c r="C161" i="5"/>
  <c r="B161" i="5"/>
  <c r="A161" i="5"/>
  <c r="F160" i="5"/>
  <c r="G160" i="5" s="1"/>
  <c r="E160" i="5"/>
  <c r="D160" i="5"/>
  <c r="B160" i="5"/>
  <c r="C160" i="5" s="1"/>
  <c r="A160" i="5"/>
  <c r="G159" i="5"/>
  <c r="E159" i="5"/>
  <c r="F159" i="5" s="1"/>
  <c r="D159" i="5"/>
  <c r="C159" i="5"/>
  <c r="B159" i="5"/>
  <c r="A159" i="5"/>
  <c r="E158" i="5"/>
  <c r="D158" i="5"/>
  <c r="F158" i="5" s="1"/>
  <c r="B158" i="5"/>
  <c r="C158" i="5" s="1"/>
  <c r="A158" i="5"/>
  <c r="E157" i="5"/>
  <c r="F157" i="5" s="1"/>
  <c r="D157" i="5"/>
  <c r="C157" i="5"/>
  <c r="B157" i="5"/>
  <c r="A157" i="5"/>
  <c r="E156" i="5"/>
  <c r="D156" i="5"/>
  <c r="F156" i="5" s="1"/>
  <c r="G156" i="5" s="1"/>
  <c r="B156" i="5"/>
  <c r="C156" i="5" s="1"/>
  <c r="A156" i="5"/>
  <c r="G155" i="5"/>
  <c r="E155" i="5"/>
  <c r="F155" i="5" s="1"/>
  <c r="D155" i="5"/>
  <c r="C155" i="5"/>
  <c r="B155" i="5"/>
  <c r="A155" i="5"/>
  <c r="F154" i="5"/>
  <c r="E154" i="5"/>
  <c r="D154" i="5"/>
  <c r="B154" i="5"/>
  <c r="C154" i="5" s="1"/>
  <c r="A154" i="5"/>
  <c r="E153" i="5"/>
  <c r="F153" i="5" s="1"/>
  <c r="D153" i="5"/>
  <c r="C153" i="5"/>
  <c r="B153" i="5"/>
  <c r="A153" i="5"/>
  <c r="F152" i="5"/>
  <c r="G152" i="5" s="1"/>
  <c r="E152" i="5"/>
  <c r="D152" i="5"/>
  <c r="B152" i="5"/>
  <c r="C152" i="5" s="1"/>
  <c r="A152" i="5"/>
  <c r="G151" i="5"/>
  <c r="E151" i="5"/>
  <c r="F151" i="5" s="1"/>
  <c r="D151" i="5"/>
  <c r="C151" i="5"/>
  <c r="B151" i="5"/>
  <c r="A151" i="5"/>
  <c r="E150" i="5"/>
  <c r="D150" i="5"/>
  <c r="F150" i="5" s="1"/>
  <c r="B150" i="5"/>
  <c r="C150" i="5" s="1"/>
  <c r="A150" i="5"/>
  <c r="E149" i="5"/>
  <c r="F149" i="5" s="1"/>
  <c r="D149" i="5"/>
  <c r="C149" i="5"/>
  <c r="B149" i="5"/>
  <c r="A149" i="5"/>
  <c r="E148" i="5"/>
  <c r="D148" i="5"/>
  <c r="F148" i="5" s="1"/>
  <c r="G148" i="5" s="1"/>
  <c r="B148" i="5"/>
  <c r="C148" i="5" s="1"/>
  <c r="A148" i="5"/>
  <c r="G147" i="5"/>
  <c r="E147" i="5"/>
  <c r="F147" i="5" s="1"/>
  <c r="D147" i="5"/>
  <c r="C147" i="5"/>
  <c r="B147" i="5"/>
  <c r="A147" i="5"/>
  <c r="F146" i="5"/>
  <c r="E146" i="5"/>
  <c r="D146" i="5"/>
  <c r="B146" i="5"/>
  <c r="C146" i="5" s="1"/>
  <c r="A146" i="5"/>
  <c r="E145" i="5"/>
  <c r="F145" i="5" s="1"/>
  <c r="D145" i="5"/>
  <c r="C145" i="5"/>
  <c r="B145" i="5"/>
  <c r="A145" i="5"/>
  <c r="F144" i="5"/>
  <c r="G144" i="5" s="1"/>
  <c r="E144" i="5"/>
  <c r="D144" i="5"/>
  <c r="B144" i="5"/>
  <c r="C144" i="5" s="1"/>
  <c r="A144" i="5"/>
  <c r="G143" i="5"/>
  <c r="E143" i="5"/>
  <c r="F143" i="5" s="1"/>
  <c r="D143" i="5"/>
  <c r="C143" i="5"/>
  <c r="B143" i="5"/>
  <c r="A143" i="5"/>
  <c r="E142" i="5"/>
  <c r="D142" i="5"/>
  <c r="F142" i="5" s="1"/>
  <c r="B142" i="5"/>
  <c r="C142" i="5" s="1"/>
  <c r="A142" i="5"/>
  <c r="E141" i="5"/>
  <c r="F141" i="5" s="1"/>
  <c r="D141" i="5"/>
  <c r="C141" i="5"/>
  <c r="B141" i="5"/>
  <c r="A141" i="5"/>
  <c r="E140" i="5"/>
  <c r="D140" i="5"/>
  <c r="F140" i="5" s="1"/>
  <c r="G140" i="5" s="1"/>
  <c r="B140" i="5"/>
  <c r="C140" i="5" s="1"/>
  <c r="A140" i="5"/>
  <c r="G139" i="5"/>
  <c r="E139" i="5"/>
  <c r="F139" i="5" s="1"/>
  <c r="D139" i="5"/>
  <c r="C139" i="5"/>
  <c r="B139" i="5"/>
  <c r="A139" i="5"/>
  <c r="F138" i="5"/>
  <c r="E138" i="5"/>
  <c r="D138" i="5"/>
  <c r="B138" i="5"/>
  <c r="C138" i="5" s="1"/>
  <c r="A138" i="5"/>
  <c r="E137" i="5"/>
  <c r="F137" i="5" s="1"/>
  <c r="D137" i="5"/>
  <c r="C137" i="5"/>
  <c r="B137" i="5"/>
  <c r="A137" i="5"/>
  <c r="F136" i="5"/>
  <c r="G136" i="5" s="1"/>
  <c r="E136" i="5"/>
  <c r="D136" i="5"/>
  <c r="B136" i="5"/>
  <c r="C136" i="5" s="1"/>
  <c r="A136" i="5"/>
  <c r="G135" i="5"/>
  <c r="E135" i="5"/>
  <c r="F135" i="5" s="1"/>
  <c r="D135" i="5"/>
  <c r="C135" i="5"/>
  <c r="B135" i="5"/>
  <c r="A135" i="5"/>
  <c r="E134" i="5"/>
  <c r="D134" i="5"/>
  <c r="F134" i="5" s="1"/>
  <c r="B134" i="5"/>
  <c r="C134" i="5" s="1"/>
  <c r="A134" i="5"/>
  <c r="E133" i="5"/>
  <c r="F133" i="5" s="1"/>
  <c r="D133" i="5"/>
  <c r="C133" i="5"/>
  <c r="B133" i="5"/>
  <c r="A133" i="5"/>
  <c r="E132" i="5"/>
  <c r="D132" i="5"/>
  <c r="F132" i="5" s="1"/>
  <c r="G132" i="5" s="1"/>
  <c r="B132" i="5"/>
  <c r="C132" i="5" s="1"/>
  <c r="A132" i="5"/>
  <c r="G131" i="5"/>
  <c r="E131" i="5"/>
  <c r="F131" i="5" s="1"/>
  <c r="D131" i="5"/>
  <c r="C131" i="5"/>
  <c r="B131" i="5"/>
  <c r="A131" i="5"/>
  <c r="F130" i="5"/>
  <c r="E130" i="5"/>
  <c r="D130" i="5"/>
  <c r="B130" i="5"/>
  <c r="C130" i="5" s="1"/>
  <c r="A130" i="5"/>
  <c r="E129" i="5"/>
  <c r="F129" i="5" s="1"/>
  <c r="D129" i="5"/>
  <c r="C129" i="5"/>
  <c r="B129" i="5"/>
  <c r="A129" i="5"/>
  <c r="F128" i="5"/>
  <c r="G128" i="5" s="1"/>
  <c r="E128" i="5"/>
  <c r="D128" i="5"/>
  <c r="B128" i="5"/>
  <c r="C128" i="5" s="1"/>
  <c r="A128" i="5"/>
  <c r="G127" i="5"/>
  <c r="E127" i="5"/>
  <c r="F127" i="5" s="1"/>
  <c r="D127" i="5"/>
  <c r="C127" i="5"/>
  <c r="B127" i="5"/>
  <c r="A127" i="5"/>
  <c r="E126" i="5"/>
  <c r="D126" i="5"/>
  <c r="F126" i="5" s="1"/>
  <c r="B126" i="5"/>
  <c r="C126" i="5" s="1"/>
  <c r="A126" i="5"/>
  <c r="E125" i="5"/>
  <c r="F125" i="5" s="1"/>
  <c r="D125" i="5"/>
  <c r="C125" i="5"/>
  <c r="B125" i="5"/>
  <c r="A125" i="5"/>
  <c r="E124" i="5"/>
  <c r="D124" i="5"/>
  <c r="F124" i="5" s="1"/>
  <c r="G124" i="5" s="1"/>
  <c r="B124" i="5"/>
  <c r="C124" i="5" s="1"/>
  <c r="A124" i="5"/>
  <c r="G123" i="5"/>
  <c r="E123" i="5"/>
  <c r="F123" i="5" s="1"/>
  <c r="D123" i="5"/>
  <c r="C123" i="5"/>
  <c r="B123" i="5"/>
  <c r="A123" i="5"/>
  <c r="F122" i="5"/>
  <c r="E122" i="5"/>
  <c r="D122" i="5"/>
  <c r="B122" i="5"/>
  <c r="C122" i="5" s="1"/>
  <c r="A122" i="5"/>
  <c r="E121" i="5"/>
  <c r="F121" i="5" s="1"/>
  <c r="D121" i="5"/>
  <c r="C121" i="5"/>
  <c r="B121" i="5"/>
  <c r="A121" i="5"/>
  <c r="F120" i="5"/>
  <c r="G120" i="5" s="1"/>
  <c r="E120" i="5"/>
  <c r="D120" i="5"/>
  <c r="B120" i="5"/>
  <c r="C120" i="5" s="1"/>
  <c r="A120" i="5"/>
  <c r="G119" i="5"/>
  <c r="E119" i="5"/>
  <c r="F119" i="5" s="1"/>
  <c r="D119" i="5"/>
  <c r="C119" i="5"/>
  <c r="B119" i="5"/>
  <c r="A119" i="5"/>
  <c r="E118" i="5"/>
  <c r="D118" i="5"/>
  <c r="F118" i="5" s="1"/>
  <c r="B118" i="5"/>
  <c r="C118" i="5" s="1"/>
  <c r="A118" i="5"/>
  <c r="E117" i="5"/>
  <c r="F117" i="5" s="1"/>
  <c r="D117" i="5"/>
  <c r="C117" i="5"/>
  <c r="B117" i="5"/>
  <c r="A117" i="5"/>
  <c r="E116" i="5"/>
  <c r="D116" i="5"/>
  <c r="F116" i="5" s="1"/>
  <c r="G116" i="5" s="1"/>
  <c r="B116" i="5"/>
  <c r="C116" i="5" s="1"/>
  <c r="A116" i="5"/>
  <c r="G115" i="5"/>
  <c r="E115" i="5"/>
  <c r="F115" i="5" s="1"/>
  <c r="D115" i="5"/>
  <c r="C115" i="5"/>
  <c r="B115" i="5"/>
  <c r="A115" i="5"/>
  <c r="F114" i="5"/>
  <c r="E114" i="5"/>
  <c r="D114" i="5"/>
  <c r="B114" i="5"/>
  <c r="C114" i="5" s="1"/>
  <c r="A114" i="5"/>
  <c r="E113" i="5"/>
  <c r="F113" i="5" s="1"/>
  <c r="D113" i="5"/>
  <c r="C113" i="5"/>
  <c r="B113" i="5"/>
  <c r="A113" i="5"/>
  <c r="F112" i="5"/>
  <c r="G112" i="5" s="1"/>
  <c r="E112" i="5"/>
  <c r="D112" i="5"/>
  <c r="B112" i="5"/>
  <c r="C112" i="5" s="1"/>
  <c r="A112" i="5"/>
  <c r="G111" i="5"/>
  <c r="E111" i="5"/>
  <c r="F111" i="5" s="1"/>
  <c r="D111" i="5"/>
  <c r="C111" i="5"/>
  <c r="B111" i="5"/>
  <c r="A111" i="5"/>
  <c r="E110" i="5"/>
  <c r="D110" i="5"/>
  <c r="F110" i="5" s="1"/>
  <c r="B110" i="5"/>
  <c r="C110" i="5" s="1"/>
  <c r="A110" i="5"/>
  <c r="E109" i="5"/>
  <c r="F109" i="5" s="1"/>
  <c r="D109" i="5"/>
  <c r="C109" i="5"/>
  <c r="B109" i="5"/>
  <c r="A109" i="5"/>
  <c r="E108" i="5"/>
  <c r="D108" i="5"/>
  <c r="F108" i="5" s="1"/>
  <c r="G108" i="5" s="1"/>
  <c r="B108" i="5"/>
  <c r="C108" i="5" s="1"/>
  <c r="A108" i="5"/>
  <c r="G107" i="5"/>
  <c r="E107" i="5"/>
  <c r="F107" i="5" s="1"/>
  <c r="D107" i="5"/>
  <c r="C107" i="5"/>
  <c r="B107" i="5"/>
  <c r="A107" i="5"/>
  <c r="F106" i="5"/>
  <c r="E106" i="5"/>
  <c r="D106" i="5"/>
  <c r="B106" i="5"/>
  <c r="C106" i="5" s="1"/>
  <c r="A106" i="5"/>
  <c r="E105" i="5"/>
  <c r="F105" i="5" s="1"/>
  <c r="D105" i="5"/>
  <c r="C105" i="5"/>
  <c r="B105" i="5"/>
  <c r="A105" i="5"/>
  <c r="F104" i="5"/>
  <c r="G104" i="5" s="1"/>
  <c r="E104" i="5"/>
  <c r="D104" i="5"/>
  <c r="B104" i="5"/>
  <c r="C104" i="5" s="1"/>
  <c r="A104" i="5"/>
  <c r="G103" i="5"/>
  <c r="E103" i="5"/>
  <c r="F103" i="5" s="1"/>
  <c r="D103" i="5"/>
  <c r="C103" i="5"/>
  <c r="B103" i="5"/>
  <c r="A103" i="5"/>
  <c r="E102" i="5"/>
  <c r="D102" i="5"/>
  <c r="F102" i="5" s="1"/>
  <c r="B102" i="5"/>
  <c r="C102" i="5" s="1"/>
  <c r="A102" i="5"/>
  <c r="E101" i="5"/>
  <c r="F101" i="5" s="1"/>
  <c r="D101" i="5"/>
  <c r="C101" i="5"/>
  <c r="B101" i="5"/>
  <c r="A101" i="5"/>
  <c r="E100" i="5"/>
  <c r="D100" i="5"/>
  <c r="F100" i="5" s="1"/>
  <c r="G100" i="5" s="1"/>
  <c r="B100" i="5"/>
  <c r="C100" i="5" s="1"/>
  <c r="A100" i="5"/>
  <c r="G99" i="5"/>
  <c r="E99" i="5"/>
  <c r="F99" i="5" s="1"/>
  <c r="D99" i="5"/>
  <c r="C99" i="5"/>
  <c r="B99" i="5"/>
  <c r="A99" i="5"/>
  <c r="F98" i="5"/>
  <c r="E98" i="5"/>
  <c r="D98" i="5"/>
  <c r="B98" i="5"/>
  <c r="C98" i="5" s="1"/>
  <c r="A98" i="5"/>
  <c r="E97" i="5"/>
  <c r="F97" i="5" s="1"/>
  <c r="D97" i="5"/>
  <c r="C97" i="5"/>
  <c r="B97" i="5"/>
  <c r="A97" i="5"/>
  <c r="F96" i="5"/>
  <c r="G96" i="5" s="1"/>
  <c r="E96" i="5"/>
  <c r="D96" i="5"/>
  <c r="B96" i="5"/>
  <c r="C96" i="5" s="1"/>
  <c r="A96" i="5"/>
  <c r="G95" i="5"/>
  <c r="E95" i="5"/>
  <c r="F95" i="5" s="1"/>
  <c r="D95" i="5"/>
  <c r="C95" i="5"/>
  <c r="B95" i="5"/>
  <c r="A95" i="5"/>
  <c r="E94" i="5"/>
  <c r="D94" i="5"/>
  <c r="F94" i="5" s="1"/>
  <c r="B94" i="5"/>
  <c r="C94" i="5" s="1"/>
  <c r="A94" i="5"/>
  <c r="E93" i="5"/>
  <c r="F93" i="5" s="1"/>
  <c r="D93" i="5"/>
  <c r="C93" i="5"/>
  <c r="B93" i="5"/>
  <c r="A93" i="5"/>
  <c r="E92" i="5"/>
  <c r="D92" i="5"/>
  <c r="F92" i="5" s="1"/>
  <c r="G92" i="5" s="1"/>
  <c r="B92" i="5"/>
  <c r="C92" i="5" s="1"/>
  <c r="A92" i="5"/>
  <c r="G91" i="5"/>
  <c r="E91" i="5"/>
  <c r="F91" i="5" s="1"/>
  <c r="D91" i="5"/>
  <c r="C91" i="5"/>
  <c r="B91" i="5"/>
  <c r="A91" i="5"/>
  <c r="F90" i="5"/>
  <c r="E90" i="5"/>
  <c r="D90" i="5"/>
  <c r="B90" i="5"/>
  <c r="C90" i="5" s="1"/>
  <c r="A90" i="5"/>
  <c r="E89" i="5"/>
  <c r="F89" i="5" s="1"/>
  <c r="D89" i="5"/>
  <c r="C89" i="5"/>
  <c r="B89" i="5"/>
  <c r="A89" i="5"/>
  <c r="F88" i="5"/>
  <c r="G88" i="5" s="1"/>
  <c r="E88" i="5"/>
  <c r="D88" i="5"/>
  <c r="B88" i="5"/>
  <c r="C88" i="5" s="1"/>
  <c r="A88" i="5"/>
  <c r="G87" i="5"/>
  <c r="E87" i="5"/>
  <c r="F87" i="5" s="1"/>
  <c r="D87" i="5"/>
  <c r="C87" i="5"/>
  <c r="B87" i="5"/>
  <c r="A87" i="5"/>
  <c r="E86" i="5"/>
  <c r="D86" i="5"/>
  <c r="F86" i="5" s="1"/>
  <c r="B86" i="5"/>
  <c r="C86" i="5" s="1"/>
  <c r="A86" i="5"/>
  <c r="E85" i="5"/>
  <c r="F85" i="5" s="1"/>
  <c r="D85" i="5"/>
  <c r="C85" i="5"/>
  <c r="B85" i="5"/>
  <c r="A85" i="5"/>
  <c r="E84" i="5"/>
  <c r="D84" i="5"/>
  <c r="F84" i="5" s="1"/>
  <c r="G84" i="5" s="1"/>
  <c r="B84" i="5"/>
  <c r="C84" i="5" s="1"/>
  <c r="A84" i="5"/>
  <c r="G83" i="5"/>
  <c r="E83" i="5"/>
  <c r="F83" i="5" s="1"/>
  <c r="D83" i="5"/>
  <c r="C83" i="5"/>
  <c r="B83" i="5"/>
  <c r="A83" i="5"/>
  <c r="F82" i="5"/>
  <c r="E82" i="5"/>
  <c r="D82" i="5"/>
  <c r="B82" i="5"/>
  <c r="C82" i="5" s="1"/>
  <c r="A82" i="5"/>
  <c r="E81" i="5"/>
  <c r="F81" i="5" s="1"/>
  <c r="D81" i="5"/>
  <c r="C81" i="5"/>
  <c r="B81" i="5"/>
  <c r="A81" i="5"/>
  <c r="F80" i="5"/>
  <c r="G80" i="5" s="1"/>
  <c r="E80" i="5"/>
  <c r="D80" i="5"/>
  <c r="B80" i="5"/>
  <c r="C80" i="5" s="1"/>
  <c r="A80" i="5"/>
  <c r="G79" i="5"/>
  <c r="E79" i="5"/>
  <c r="F79" i="5" s="1"/>
  <c r="D79" i="5"/>
  <c r="C79" i="5"/>
  <c r="B79" i="5"/>
  <c r="A79" i="5"/>
  <c r="E78" i="5"/>
  <c r="D78" i="5"/>
  <c r="F78" i="5" s="1"/>
  <c r="B78" i="5"/>
  <c r="C78" i="5" s="1"/>
  <c r="A78" i="5"/>
  <c r="E77" i="5"/>
  <c r="F77" i="5" s="1"/>
  <c r="D77" i="5"/>
  <c r="C77" i="5"/>
  <c r="B77" i="5"/>
  <c r="A77" i="5"/>
  <c r="E76" i="5"/>
  <c r="D76" i="5"/>
  <c r="F76" i="5" s="1"/>
  <c r="G76" i="5" s="1"/>
  <c r="B76" i="5"/>
  <c r="C76" i="5" s="1"/>
  <c r="A76" i="5"/>
  <c r="G75" i="5"/>
  <c r="E75" i="5"/>
  <c r="F75" i="5" s="1"/>
  <c r="D75" i="5"/>
  <c r="C75" i="5"/>
  <c r="B75" i="5"/>
  <c r="A75" i="5"/>
  <c r="F74" i="5"/>
  <c r="E74" i="5"/>
  <c r="D74" i="5"/>
  <c r="B74" i="5"/>
  <c r="C74" i="5" s="1"/>
  <c r="A74" i="5"/>
  <c r="E73" i="5"/>
  <c r="F73" i="5" s="1"/>
  <c r="D73" i="5"/>
  <c r="C73" i="5"/>
  <c r="B73" i="5"/>
  <c r="A73" i="5"/>
  <c r="F72" i="5"/>
  <c r="G72" i="5" s="1"/>
  <c r="E72" i="5"/>
  <c r="D72" i="5"/>
  <c r="C72" i="5"/>
  <c r="B72" i="5"/>
  <c r="A72" i="5"/>
  <c r="F71" i="5"/>
  <c r="E71" i="5"/>
  <c r="G71" i="5" s="1"/>
  <c r="D71" i="5"/>
  <c r="B71" i="5"/>
  <c r="C71" i="5" s="1"/>
  <c r="A71" i="5"/>
  <c r="F70" i="5"/>
  <c r="E70" i="5"/>
  <c r="D70" i="5"/>
  <c r="B70" i="5"/>
  <c r="C70" i="5" s="1"/>
  <c r="A70" i="5"/>
  <c r="E69" i="5"/>
  <c r="F69" i="5" s="1"/>
  <c r="D69" i="5"/>
  <c r="C69" i="5"/>
  <c r="B69" i="5"/>
  <c r="A69" i="5"/>
  <c r="F68" i="5"/>
  <c r="G68" i="5" s="1"/>
  <c r="E68" i="5"/>
  <c r="D68" i="5"/>
  <c r="B68" i="5"/>
  <c r="C68" i="5" s="1"/>
  <c r="A68" i="5"/>
  <c r="E67" i="5"/>
  <c r="D67" i="5"/>
  <c r="C67" i="5"/>
  <c r="B67" i="5"/>
  <c r="A67" i="5"/>
  <c r="E66" i="5"/>
  <c r="D66" i="5"/>
  <c r="B66" i="5"/>
  <c r="C66" i="5" s="1"/>
  <c r="A66" i="5"/>
  <c r="E65" i="5"/>
  <c r="D65" i="5"/>
  <c r="C65" i="5"/>
  <c r="B65" i="5"/>
  <c r="A65" i="5"/>
  <c r="E64" i="5"/>
  <c r="D64" i="5"/>
  <c r="F64" i="5" s="1"/>
  <c r="G64" i="5" s="1"/>
  <c r="C64" i="5"/>
  <c r="B64" i="5"/>
  <c r="A64" i="5"/>
  <c r="F63" i="5"/>
  <c r="G63" i="5" s="1"/>
  <c r="E63" i="5"/>
  <c r="D63" i="5"/>
  <c r="B63" i="5"/>
  <c r="C63" i="5" s="1"/>
  <c r="A63" i="5"/>
  <c r="E62" i="5"/>
  <c r="D62" i="5"/>
  <c r="F62" i="5" s="1"/>
  <c r="B62" i="5"/>
  <c r="C62" i="5" s="1"/>
  <c r="A62" i="5"/>
  <c r="E61" i="5"/>
  <c r="F61" i="5" s="1"/>
  <c r="D61" i="5"/>
  <c r="C61" i="5"/>
  <c r="B61" i="5"/>
  <c r="A61" i="5"/>
  <c r="E60" i="5"/>
  <c r="D60" i="5"/>
  <c r="F60" i="5" s="1"/>
  <c r="G60" i="5" s="1"/>
  <c r="B60" i="5"/>
  <c r="C60" i="5" s="1"/>
  <c r="A60" i="5"/>
  <c r="E59" i="5"/>
  <c r="F59" i="5" s="1"/>
  <c r="G59" i="5" s="1"/>
  <c r="D59" i="5"/>
  <c r="C59" i="5"/>
  <c r="B59" i="5"/>
  <c r="A59" i="5"/>
  <c r="E58" i="5"/>
  <c r="D58" i="5"/>
  <c r="C58" i="5"/>
  <c r="B58" i="5"/>
  <c r="A58" i="5"/>
  <c r="E57" i="5"/>
  <c r="D57" i="5"/>
  <c r="F57" i="5" s="1"/>
  <c r="B57" i="5"/>
  <c r="C57" i="5" s="1"/>
  <c r="A57" i="5"/>
  <c r="E56" i="5"/>
  <c r="F56" i="5" s="1"/>
  <c r="G56" i="5" s="1"/>
  <c r="D56" i="5"/>
  <c r="C56" i="5"/>
  <c r="B56" i="5"/>
  <c r="A56" i="5"/>
  <c r="F55" i="5"/>
  <c r="G55" i="5" s="1"/>
  <c r="E55" i="5"/>
  <c r="D55" i="5"/>
  <c r="B55" i="5"/>
  <c r="C55" i="5" s="1"/>
  <c r="A55" i="5"/>
  <c r="E54" i="5"/>
  <c r="D54" i="5"/>
  <c r="C54" i="5"/>
  <c r="B54" i="5"/>
  <c r="A54" i="5"/>
  <c r="E53" i="5"/>
  <c r="G53" i="5" s="1"/>
  <c r="D53" i="5"/>
  <c r="F53" i="5" s="1"/>
  <c r="B53" i="5"/>
  <c r="C53" i="5" s="1"/>
  <c r="A53" i="5"/>
  <c r="E52" i="5"/>
  <c r="F52" i="5" s="1"/>
  <c r="G52" i="5" s="1"/>
  <c r="D52" i="5"/>
  <c r="C52" i="5"/>
  <c r="B52" i="5"/>
  <c r="A52" i="5"/>
  <c r="F51" i="5"/>
  <c r="G51" i="5" s="1"/>
  <c r="E51" i="5"/>
  <c r="D51" i="5"/>
  <c r="B51" i="5"/>
  <c r="C51" i="5" s="1"/>
  <c r="A51" i="5"/>
  <c r="E50" i="5"/>
  <c r="D50" i="5"/>
  <c r="C50" i="5"/>
  <c r="B50" i="5"/>
  <c r="A50" i="5"/>
  <c r="E49" i="5"/>
  <c r="G49" i="5" s="1"/>
  <c r="D49" i="5"/>
  <c r="F49" i="5" s="1"/>
  <c r="B49" i="5"/>
  <c r="C49" i="5" s="1"/>
  <c r="A49" i="5"/>
  <c r="E48" i="5"/>
  <c r="F48" i="5" s="1"/>
  <c r="G48" i="5" s="1"/>
  <c r="D48" i="5"/>
  <c r="C48" i="5"/>
  <c r="B48" i="5"/>
  <c r="A48" i="5"/>
  <c r="F47" i="5"/>
  <c r="G47" i="5" s="1"/>
  <c r="E47" i="5"/>
  <c r="D47" i="5"/>
  <c r="B47" i="5"/>
  <c r="C47" i="5" s="1"/>
  <c r="A47" i="5"/>
  <c r="E46" i="5"/>
  <c r="D46" i="5"/>
  <c r="C46" i="5"/>
  <c r="B46" i="5"/>
  <c r="A46" i="5"/>
  <c r="E45" i="5"/>
  <c r="D45" i="5"/>
  <c r="F45" i="5" s="1"/>
  <c r="B45" i="5"/>
  <c r="C45" i="5" s="1"/>
  <c r="A45" i="5"/>
  <c r="E44" i="5"/>
  <c r="F44" i="5" s="1"/>
  <c r="G44" i="5" s="1"/>
  <c r="D44" i="5"/>
  <c r="C44" i="5"/>
  <c r="B44" i="5"/>
  <c r="A44" i="5"/>
  <c r="F43" i="5"/>
  <c r="G43" i="5" s="1"/>
  <c r="E43" i="5"/>
  <c r="D43" i="5"/>
  <c r="B43" i="5"/>
  <c r="C43" i="5" s="1"/>
  <c r="A43" i="5"/>
  <c r="E42" i="5"/>
  <c r="D42" i="5"/>
  <c r="C42" i="5"/>
  <c r="B42" i="5"/>
  <c r="A42" i="5"/>
  <c r="E41" i="5"/>
  <c r="D41" i="5"/>
  <c r="F41" i="5" s="1"/>
  <c r="B41" i="5"/>
  <c r="C41" i="5" s="1"/>
  <c r="A41" i="5"/>
  <c r="E40" i="5"/>
  <c r="F40" i="5" s="1"/>
  <c r="G40" i="5" s="1"/>
  <c r="D40" i="5"/>
  <c r="C40" i="5"/>
  <c r="B40" i="5"/>
  <c r="A40" i="5"/>
  <c r="F39" i="5"/>
  <c r="G39" i="5" s="1"/>
  <c r="E39" i="5"/>
  <c r="D39" i="5"/>
  <c r="B39" i="5"/>
  <c r="C39" i="5" s="1"/>
  <c r="A39" i="5"/>
  <c r="E38" i="5"/>
  <c r="D38" i="5"/>
  <c r="C38" i="5"/>
  <c r="B38" i="5"/>
  <c r="A38" i="5"/>
  <c r="E37" i="5"/>
  <c r="G37" i="5" s="1"/>
  <c r="D37" i="5"/>
  <c r="F37" i="5" s="1"/>
  <c r="B37" i="5"/>
  <c r="C37" i="5" s="1"/>
  <c r="A37" i="5"/>
  <c r="E36" i="5"/>
  <c r="F36" i="5" s="1"/>
  <c r="G36" i="5" s="1"/>
  <c r="D36" i="5"/>
  <c r="C36" i="5"/>
  <c r="B36" i="5"/>
  <c r="A36" i="5"/>
  <c r="F35" i="5"/>
  <c r="G35" i="5" s="1"/>
  <c r="E35" i="5"/>
  <c r="D35" i="5"/>
  <c r="B35" i="5"/>
  <c r="C35" i="5" s="1"/>
  <c r="A35" i="5"/>
  <c r="E34" i="5"/>
  <c r="D34" i="5"/>
  <c r="C34" i="5"/>
  <c r="B34" i="5"/>
  <c r="A34" i="5"/>
  <c r="E33" i="5"/>
  <c r="G33" i="5" s="1"/>
  <c r="D33" i="5"/>
  <c r="F33" i="5" s="1"/>
  <c r="B33" i="5"/>
  <c r="C33" i="5" s="1"/>
  <c r="A33" i="5"/>
  <c r="E32" i="5"/>
  <c r="F32" i="5" s="1"/>
  <c r="G32" i="5" s="1"/>
  <c r="D32" i="5"/>
  <c r="C32" i="5"/>
  <c r="B32" i="5"/>
  <c r="A32" i="5"/>
  <c r="F31" i="5"/>
  <c r="G31" i="5" s="1"/>
  <c r="E31" i="5"/>
  <c r="D31" i="5"/>
  <c r="B31" i="5"/>
  <c r="C31" i="5" s="1"/>
  <c r="A31" i="5"/>
  <c r="E30" i="5"/>
  <c r="D30" i="5"/>
  <c r="C30" i="5"/>
  <c r="B30" i="5"/>
  <c r="A30" i="5"/>
  <c r="E29" i="5"/>
  <c r="D29" i="5"/>
  <c r="F29" i="5" s="1"/>
  <c r="B29" i="5"/>
  <c r="C29" i="5" s="1"/>
  <c r="A29" i="5"/>
  <c r="E28" i="5"/>
  <c r="F28" i="5" s="1"/>
  <c r="G28" i="5" s="1"/>
  <c r="D28" i="5"/>
  <c r="C28" i="5"/>
  <c r="B28" i="5"/>
  <c r="A28" i="5"/>
  <c r="F27" i="5"/>
  <c r="G27" i="5" s="1"/>
  <c r="E27" i="5"/>
  <c r="D27" i="5"/>
  <c r="B27" i="5"/>
  <c r="C27" i="5" s="1"/>
  <c r="A27" i="5"/>
  <c r="E26" i="5"/>
  <c r="D26" i="5"/>
  <c r="C26" i="5"/>
  <c r="B26" i="5"/>
  <c r="A26" i="5"/>
  <c r="E25" i="5"/>
  <c r="D25" i="5"/>
  <c r="F25" i="5" s="1"/>
  <c r="B25" i="5"/>
  <c r="C25" i="5" s="1"/>
  <c r="A25" i="5"/>
  <c r="E24" i="5"/>
  <c r="F24" i="5" s="1"/>
  <c r="G24" i="5" s="1"/>
  <c r="D24" i="5"/>
  <c r="C24" i="5"/>
  <c r="B24" i="5"/>
  <c r="A24" i="5"/>
  <c r="F23" i="5"/>
  <c r="G23" i="5" s="1"/>
  <c r="E23" i="5"/>
  <c r="D23" i="5"/>
  <c r="B23" i="5"/>
  <c r="C23" i="5" s="1"/>
  <c r="A23" i="5"/>
  <c r="E22" i="5"/>
  <c r="D22" i="5"/>
  <c r="C22" i="5"/>
  <c r="B22" i="5"/>
  <c r="A22" i="5"/>
  <c r="E21" i="5"/>
  <c r="G21" i="5" s="1"/>
  <c r="D21" i="5"/>
  <c r="F21" i="5" s="1"/>
  <c r="B21" i="5"/>
  <c r="C21" i="5" s="1"/>
  <c r="A21" i="5"/>
  <c r="E20" i="5"/>
  <c r="F20" i="5" s="1"/>
  <c r="G20" i="5" s="1"/>
  <c r="D20" i="5"/>
  <c r="C20" i="5"/>
  <c r="B20" i="5"/>
  <c r="A20" i="5"/>
  <c r="F19" i="5"/>
  <c r="G19" i="5" s="1"/>
  <c r="E19" i="5"/>
  <c r="D19" i="5"/>
  <c r="B19" i="5"/>
  <c r="C19" i="5" s="1"/>
  <c r="A19" i="5"/>
  <c r="E18" i="5"/>
  <c r="D18" i="5"/>
  <c r="C18" i="5"/>
  <c r="B18" i="5"/>
  <c r="A18" i="5"/>
  <c r="E17" i="5"/>
  <c r="G17" i="5" s="1"/>
  <c r="D17" i="5"/>
  <c r="F17" i="5" s="1"/>
  <c r="B17" i="5"/>
  <c r="C17" i="5" s="1"/>
  <c r="A17" i="5"/>
  <c r="E16" i="5"/>
  <c r="F16" i="5" s="1"/>
  <c r="G16" i="5" s="1"/>
  <c r="D16" i="5"/>
  <c r="C16" i="5"/>
  <c r="B16" i="5"/>
  <c r="A16" i="5"/>
  <c r="F15" i="5"/>
  <c r="G15" i="5" s="1"/>
  <c r="E15" i="5"/>
  <c r="D15" i="5"/>
  <c r="B15" i="5"/>
  <c r="C15" i="5" s="1"/>
  <c r="A15" i="5"/>
  <c r="E14" i="5"/>
  <c r="D14" i="5"/>
  <c r="C14" i="5"/>
  <c r="B14" i="5"/>
  <c r="A14" i="5"/>
  <c r="E13" i="5"/>
  <c r="D13" i="5"/>
  <c r="F13" i="5" s="1"/>
  <c r="B13" i="5"/>
  <c r="C13" i="5" s="1"/>
  <c r="A13" i="5"/>
  <c r="E12" i="5"/>
  <c r="F12" i="5" s="1"/>
  <c r="G12" i="5" s="1"/>
  <c r="D12" i="5"/>
  <c r="C12" i="5"/>
  <c r="B12" i="5"/>
  <c r="A12" i="5"/>
  <c r="F11" i="5"/>
  <c r="G11" i="5" s="1"/>
  <c r="E11" i="5"/>
  <c r="D11" i="5"/>
  <c r="B11" i="5"/>
  <c r="C11" i="5" s="1"/>
  <c r="A11" i="5"/>
  <c r="E10" i="5"/>
  <c r="D10" i="5"/>
  <c r="C10" i="5"/>
  <c r="B10" i="5"/>
  <c r="A10" i="5"/>
  <c r="E9" i="5"/>
  <c r="D9" i="5"/>
  <c r="F9" i="5" s="1"/>
  <c r="B9" i="5"/>
  <c r="C9" i="5" s="1"/>
  <c r="A9" i="5"/>
  <c r="E8" i="5"/>
  <c r="F8" i="5" s="1"/>
  <c r="G8" i="5" s="1"/>
  <c r="D8" i="5"/>
  <c r="C8" i="5"/>
  <c r="B8" i="5"/>
  <c r="A8" i="5"/>
  <c r="F7" i="5"/>
  <c r="G7" i="5" s="1"/>
  <c r="E7" i="5"/>
  <c r="D7" i="5"/>
  <c r="B7" i="5"/>
  <c r="C7" i="5" s="1"/>
  <c r="A7" i="5"/>
  <c r="E6" i="5"/>
  <c r="D6" i="5"/>
  <c r="C6" i="5"/>
  <c r="B6" i="5"/>
  <c r="A6" i="5"/>
  <c r="E5" i="5"/>
  <c r="G5" i="5" s="1"/>
  <c r="D5" i="5"/>
  <c r="F5" i="5" s="1"/>
  <c r="B5" i="5"/>
  <c r="C5" i="5" s="1"/>
  <c r="A5" i="5"/>
  <c r="E4" i="5"/>
  <c r="F4" i="5" s="1"/>
  <c r="G4" i="5" s="1"/>
  <c r="D4" i="5"/>
  <c r="C4" i="5"/>
  <c r="B4" i="5"/>
  <c r="A4" i="5"/>
  <c r="E503" i="4"/>
  <c r="D503" i="4"/>
  <c r="C503" i="4"/>
  <c r="B503" i="4"/>
  <c r="A503" i="4"/>
  <c r="E502" i="4"/>
  <c r="C502" i="4"/>
  <c r="D502" i="4" s="1"/>
  <c r="B502" i="4"/>
  <c r="A502" i="4"/>
  <c r="E501" i="4"/>
  <c r="D501" i="4"/>
  <c r="C501" i="4"/>
  <c r="B501" i="4"/>
  <c r="A501" i="4"/>
  <c r="E500" i="4"/>
  <c r="C500" i="4"/>
  <c r="D500" i="4" s="1"/>
  <c r="B500" i="4"/>
  <c r="A500" i="4"/>
  <c r="E499" i="4"/>
  <c r="D499" i="4"/>
  <c r="C499" i="4"/>
  <c r="B499" i="4"/>
  <c r="A499" i="4"/>
  <c r="E498" i="4"/>
  <c r="C498" i="4"/>
  <c r="D498" i="4" s="1"/>
  <c r="B498" i="4"/>
  <c r="A498" i="4"/>
  <c r="E497" i="4"/>
  <c r="D497" i="4"/>
  <c r="C497" i="4"/>
  <c r="B497" i="4"/>
  <c r="A497" i="4"/>
  <c r="E496" i="4"/>
  <c r="C496" i="4"/>
  <c r="D496" i="4" s="1"/>
  <c r="B496" i="4"/>
  <c r="A496" i="4"/>
  <c r="E495" i="4"/>
  <c r="D495" i="4"/>
  <c r="C495" i="4"/>
  <c r="B495" i="4"/>
  <c r="A495" i="4"/>
  <c r="E494" i="4"/>
  <c r="C494" i="4"/>
  <c r="D494" i="4" s="1"/>
  <c r="B494" i="4"/>
  <c r="A494" i="4"/>
  <c r="E493" i="4"/>
  <c r="D493" i="4"/>
  <c r="C493" i="4"/>
  <c r="B493" i="4"/>
  <c r="A493" i="4"/>
  <c r="E492" i="4"/>
  <c r="C492" i="4"/>
  <c r="D492" i="4" s="1"/>
  <c r="B492" i="4"/>
  <c r="A492" i="4"/>
  <c r="E491" i="4"/>
  <c r="D491" i="4"/>
  <c r="C491" i="4"/>
  <c r="B491" i="4"/>
  <c r="A491" i="4"/>
  <c r="E490" i="4"/>
  <c r="C490" i="4"/>
  <c r="D490" i="4" s="1"/>
  <c r="B490" i="4"/>
  <c r="A490" i="4"/>
  <c r="E489" i="4"/>
  <c r="D489" i="4"/>
  <c r="C489" i="4"/>
  <c r="B489" i="4"/>
  <c r="A489" i="4"/>
  <c r="E488" i="4"/>
  <c r="C488" i="4"/>
  <c r="D488" i="4" s="1"/>
  <c r="B488" i="4"/>
  <c r="A488" i="4"/>
  <c r="E487" i="4"/>
  <c r="D487" i="4"/>
  <c r="C487" i="4"/>
  <c r="B487" i="4"/>
  <c r="A487" i="4"/>
  <c r="E486" i="4"/>
  <c r="C486" i="4"/>
  <c r="D486" i="4" s="1"/>
  <c r="B486" i="4"/>
  <c r="A486" i="4"/>
  <c r="E485" i="4"/>
  <c r="D485" i="4"/>
  <c r="C485" i="4"/>
  <c r="B485" i="4"/>
  <c r="A485" i="4"/>
  <c r="E484" i="4"/>
  <c r="C484" i="4"/>
  <c r="D484" i="4" s="1"/>
  <c r="B484" i="4"/>
  <c r="A484" i="4"/>
  <c r="E483" i="4"/>
  <c r="D483" i="4"/>
  <c r="C483" i="4"/>
  <c r="B483" i="4"/>
  <c r="A483" i="4"/>
  <c r="E482" i="4"/>
  <c r="C482" i="4"/>
  <c r="D482" i="4" s="1"/>
  <c r="B482" i="4"/>
  <c r="A482" i="4"/>
  <c r="E481" i="4"/>
  <c r="D481" i="4"/>
  <c r="C481" i="4"/>
  <c r="B481" i="4"/>
  <c r="A481" i="4"/>
  <c r="E480" i="4"/>
  <c r="C480" i="4"/>
  <c r="D480" i="4" s="1"/>
  <c r="B480" i="4"/>
  <c r="A480" i="4"/>
  <c r="E479" i="4"/>
  <c r="D479" i="4"/>
  <c r="C479" i="4"/>
  <c r="B479" i="4"/>
  <c r="A479" i="4"/>
  <c r="E478" i="4"/>
  <c r="C478" i="4"/>
  <c r="D478" i="4" s="1"/>
  <c r="B478" i="4"/>
  <c r="A478" i="4"/>
  <c r="E477" i="4"/>
  <c r="D477" i="4"/>
  <c r="C477" i="4"/>
  <c r="B477" i="4"/>
  <c r="A477" i="4"/>
  <c r="E476" i="4"/>
  <c r="C476" i="4"/>
  <c r="D476" i="4" s="1"/>
  <c r="B476" i="4"/>
  <c r="A476" i="4"/>
  <c r="E475" i="4"/>
  <c r="D475" i="4"/>
  <c r="C475" i="4"/>
  <c r="B475" i="4"/>
  <c r="A475" i="4"/>
  <c r="E474" i="4"/>
  <c r="C474" i="4"/>
  <c r="D474" i="4" s="1"/>
  <c r="B474" i="4"/>
  <c r="A474" i="4"/>
  <c r="E473" i="4"/>
  <c r="D473" i="4"/>
  <c r="C473" i="4"/>
  <c r="B473" i="4"/>
  <c r="A473" i="4"/>
  <c r="E472" i="4"/>
  <c r="C472" i="4"/>
  <c r="D472" i="4" s="1"/>
  <c r="B472" i="4"/>
  <c r="A472" i="4"/>
  <c r="E471" i="4"/>
  <c r="D471" i="4"/>
  <c r="C471" i="4"/>
  <c r="B471" i="4"/>
  <c r="A471" i="4"/>
  <c r="E470" i="4"/>
  <c r="C470" i="4"/>
  <c r="D470" i="4" s="1"/>
  <c r="B470" i="4"/>
  <c r="A470" i="4"/>
  <c r="E469" i="4"/>
  <c r="D469" i="4"/>
  <c r="C469" i="4"/>
  <c r="B469" i="4"/>
  <c r="A469" i="4"/>
  <c r="E468" i="4"/>
  <c r="C468" i="4"/>
  <c r="D468" i="4" s="1"/>
  <c r="B468" i="4"/>
  <c r="A468" i="4"/>
  <c r="E467" i="4"/>
  <c r="D467" i="4"/>
  <c r="C467" i="4"/>
  <c r="B467" i="4"/>
  <c r="A467" i="4"/>
  <c r="E466" i="4"/>
  <c r="C466" i="4"/>
  <c r="D466" i="4" s="1"/>
  <c r="B466" i="4"/>
  <c r="A466" i="4"/>
  <c r="E465" i="4"/>
  <c r="D465" i="4"/>
  <c r="C465" i="4"/>
  <c r="B465" i="4"/>
  <c r="A465" i="4"/>
  <c r="E464" i="4"/>
  <c r="C464" i="4"/>
  <c r="D464" i="4" s="1"/>
  <c r="B464" i="4"/>
  <c r="A464" i="4"/>
  <c r="E463" i="4"/>
  <c r="D463" i="4"/>
  <c r="C463" i="4"/>
  <c r="B463" i="4"/>
  <c r="A463" i="4"/>
  <c r="E462" i="4"/>
  <c r="C462" i="4"/>
  <c r="D462" i="4" s="1"/>
  <c r="B462" i="4"/>
  <c r="A462" i="4"/>
  <c r="E461" i="4"/>
  <c r="D461" i="4"/>
  <c r="C461" i="4"/>
  <c r="B461" i="4"/>
  <c r="A461" i="4"/>
  <c r="E460" i="4"/>
  <c r="C460" i="4"/>
  <c r="D460" i="4" s="1"/>
  <c r="B460" i="4"/>
  <c r="A460" i="4"/>
  <c r="E459" i="4"/>
  <c r="D459" i="4"/>
  <c r="C459" i="4"/>
  <c r="B459" i="4"/>
  <c r="A459" i="4"/>
  <c r="E458" i="4"/>
  <c r="C458" i="4"/>
  <c r="D458" i="4" s="1"/>
  <c r="B458" i="4"/>
  <c r="A458" i="4"/>
  <c r="E457" i="4"/>
  <c r="D457" i="4"/>
  <c r="C457" i="4"/>
  <c r="B457" i="4"/>
  <c r="A457" i="4"/>
  <c r="E456" i="4"/>
  <c r="C456" i="4"/>
  <c r="D456" i="4" s="1"/>
  <c r="B456" i="4"/>
  <c r="A456" i="4"/>
  <c r="E455" i="4"/>
  <c r="D455" i="4"/>
  <c r="C455" i="4"/>
  <c r="B455" i="4"/>
  <c r="A455" i="4"/>
  <c r="E454" i="4"/>
  <c r="C454" i="4"/>
  <c r="D454" i="4" s="1"/>
  <c r="B454" i="4"/>
  <c r="A454" i="4"/>
  <c r="E453" i="4"/>
  <c r="D453" i="4"/>
  <c r="C453" i="4"/>
  <c r="B453" i="4"/>
  <c r="A453" i="4"/>
  <c r="E452" i="4"/>
  <c r="C452" i="4"/>
  <c r="D452" i="4" s="1"/>
  <c r="B452" i="4"/>
  <c r="A452" i="4"/>
  <c r="E451" i="4"/>
  <c r="D451" i="4"/>
  <c r="C451" i="4"/>
  <c r="B451" i="4"/>
  <c r="A451" i="4"/>
  <c r="E450" i="4"/>
  <c r="C450" i="4"/>
  <c r="D450" i="4" s="1"/>
  <c r="B450" i="4"/>
  <c r="A450" i="4"/>
  <c r="E449" i="4"/>
  <c r="D449" i="4"/>
  <c r="C449" i="4"/>
  <c r="B449" i="4"/>
  <c r="A449" i="4"/>
  <c r="E448" i="4"/>
  <c r="C448" i="4"/>
  <c r="D448" i="4" s="1"/>
  <c r="B448" i="4"/>
  <c r="A448" i="4"/>
  <c r="E447" i="4"/>
  <c r="D447" i="4"/>
  <c r="C447" i="4"/>
  <c r="B447" i="4"/>
  <c r="A447" i="4"/>
  <c r="E446" i="4"/>
  <c r="C446" i="4"/>
  <c r="D446" i="4" s="1"/>
  <c r="B446" i="4"/>
  <c r="A446" i="4"/>
  <c r="E445" i="4"/>
  <c r="D445" i="4"/>
  <c r="C445" i="4"/>
  <c r="B445" i="4"/>
  <c r="A445" i="4"/>
  <c r="E444" i="4"/>
  <c r="C444" i="4"/>
  <c r="D444" i="4" s="1"/>
  <c r="B444" i="4"/>
  <c r="A444" i="4"/>
  <c r="E443" i="4"/>
  <c r="D443" i="4"/>
  <c r="C443" i="4"/>
  <c r="B443" i="4"/>
  <c r="A443" i="4"/>
  <c r="E442" i="4"/>
  <c r="C442" i="4"/>
  <c r="D442" i="4" s="1"/>
  <c r="B442" i="4"/>
  <c r="A442" i="4"/>
  <c r="E441" i="4"/>
  <c r="D441" i="4"/>
  <c r="C441" i="4"/>
  <c r="B441" i="4"/>
  <c r="A441" i="4"/>
  <c r="E440" i="4"/>
  <c r="C440" i="4"/>
  <c r="D440" i="4" s="1"/>
  <c r="B440" i="4"/>
  <c r="A440" i="4"/>
  <c r="E439" i="4"/>
  <c r="D439" i="4"/>
  <c r="C439" i="4"/>
  <c r="B439" i="4"/>
  <c r="A439" i="4"/>
  <c r="E438" i="4"/>
  <c r="C438" i="4"/>
  <c r="D438" i="4" s="1"/>
  <c r="B438" i="4"/>
  <c r="A438" i="4"/>
  <c r="E437" i="4"/>
  <c r="D437" i="4"/>
  <c r="C437" i="4"/>
  <c r="B437" i="4"/>
  <c r="A437" i="4"/>
  <c r="E436" i="4"/>
  <c r="C436" i="4"/>
  <c r="D436" i="4" s="1"/>
  <c r="B436" i="4"/>
  <c r="A436" i="4"/>
  <c r="E435" i="4"/>
  <c r="D435" i="4"/>
  <c r="C435" i="4"/>
  <c r="B435" i="4"/>
  <c r="A435" i="4"/>
  <c r="E434" i="4"/>
  <c r="C434" i="4"/>
  <c r="D434" i="4" s="1"/>
  <c r="B434" i="4"/>
  <c r="A434" i="4"/>
  <c r="E433" i="4"/>
  <c r="D433" i="4"/>
  <c r="C433" i="4"/>
  <c r="B433" i="4"/>
  <c r="A433" i="4"/>
  <c r="E432" i="4"/>
  <c r="C432" i="4"/>
  <c r="D432" i="4" s="1"/>
  <c r="B432" i="4"/>
  <c r="A432" i="4"/>
  <c r="E431" i="4"/>
  <c r="D431" i="4"/>
  <c r="C431" i="4"/>
  <c r="B431" i="4"/>
  <c r="A431" i="4"/>
  <c r="E430" i="4"/>
  <c r="C430" i="4"/>
  <c r="D430" i="4" s="1"/>
  <c r="B430" i="4"/>
  <c r="A430" i="4"/>
  <c r="E429" i="4"/>
  <c r="D429" i="4"/>
  <c r="C429" i="4"/>
  <c r="B429" i="4"/>
  <c r="A429" i="4"/>
  <c r="E428" i="4"/>
  <c r="C428" i="4"/>
  <c r="D428" i="4" s="1"/>
  <c r="B428" i="4"/>
  <c r="A428" i="4"/>
  <c r="E427" i="4"/>
  <c r="D427" i="4"/>
  <c r="C427" i="4"/>
  <c r="B427" i="4"/>
  <c r="A427" i="4"/>
  <c r="E426" i="4"/>
  <c r="C426" i="4"/>
  <c r="D426" i="4" s="1"/>
  <c r="B426" i="4"/>
  <c r="A426" i="4"/>
  <c r="E425" i="4"/>
  <c r="D425" i="4"/>
  <c r="C425" i="4"/>
  <c r="B425" i="4"/>
  <c r="A425" i="4"/>
  <c r="E424" i="4"/>
  <c r="C424" i="4"/>
  <c r="D424" i="4" s="1"/>
  <c r="B424" i="4"/>
  <c r="A424" i="4"/>
  <c r="E423" i="4"/>
  <c r="D423" i="4"/>
  <c r="C423" i="4"/>
  <c r="B423" i="4"/>
  <c r="A423" i="4"/>
  <c r="E422" i="4"/>
  <c r="C422" i="4"/>
  <c r="D422" i="4" s="1"/>
  <c r="B422" i="4"/>
  <c r="A422" i="4"/>
  <c r="E421" i="4"/>
  <c r="D421" i="4"/>
  <c r="C421" i="4"/>
  <c r="B421" i="4"/>
  <c r="A421" i="4"/>
  <c r="E420" i="4"/>
  <c r="C420" i="4"/>
  <c r="D420" i="4" s="1"/>
  <c r="B420" i="4"/>
  <c r="A420" i="4"/>
  <c r="E419" i="4"/>
  <c r="D419" i="4"/>
  <c r="C419" i="4"/>
  <c r="B419" i="4"/>
  <c r="A419" i="4"/>
  <c r="E418" i="4"/>
  <c r="C418" i="4"/>
  <c r="D418" i="4" s="1"/>
  <c r="B418" i="4"/>
  <c r="A418" i="4"/>
  <c r="E417" i="4"/>
  <c r="D417" i="4"/>
  <c r="C417" i="4"/>
  <c r="B417" i="4"/>
  <c r="A417" i="4"/>
  <c r="E416" i="4"/>
  <c r="C416" i="4"/>
  <c r="D416" i="4" s="1"/>
  <c r="B416" i="4"/>
  <c r="A416" i="4"/>
  <c r="E415" i="4"/>
  <c r="D415" i="4"/>
  <c r="C415" i="4"/>
  <c r="B415" i="4"/>
  <c r="A415" i="4"/>
  <c r="E414" i="4"/>
  <c r="C414" i="4"/>
  <c r="D414" i="4" s="1"/>
  <c r="B414" i="4"/>
  <c r="A414" i="4"/>
  <c r="E413" i="4"/>
  <c r="D413" i="4"/>
  <c r="C413" i="4"/>
  <c r="B413" i="4"/>
  <c r="A413" i="4"/>
  <c r="E412" i="4"/>
  <c r="C412" i="4"/>
  <c r="D412" i="4" s="1"/>
  <c r="B412" i="4"/>
  <c r="A412" i="4"/>
  <c r="E411" i="4"/>
  <c r="D411" i="4"/>
  <c r="C411" i="4"/>
  <c r="B411" i="4"/>
  <c r="A411" i="4"/>
  <c r="E410" i="4"/>
  <c r="C410" i="4"/>
  <c r="D410" i="4" s="1"/>
  <c r="B410" i="4"/>
  <c r="A410" i="4"/>
  <c r="E409" i="4"/>
  <c r="D409" i="4"/>
  <c r="C409" i="4"/>
  <c r="B409" i="4"/>
  <c r="A409" i="4"/>
  <c r="E408" i="4"/>
  <c r="C408" i="4"/>
  <c r="D408" i="4" s="1"/>
  <c r="B408" i="4"/>
  <c r="A408" i="4"/>
  <c r="E407" i="4"/>
  <c r="D407" i="4"/>
  <c r="C407" i="4"/>
  <c r="B407" i="4"/>
  <c r="A407" i="4"/>
  <c r="E406" i="4"/>
  <c r="C406" i="4"/>
  <c r="D406" i="4" s="1"/>
  <c r="B406" i="4"/>
  <c r="A406" i="4"/>
  <c r="E405" i="4"/>
  <c r="D405" i="4"/>
  <c r="C405" i="4"/>
  <c r="B405" i="4"/>
  <c r="A405" i="4"/>
  <c r="E404" i="4"/>
  <c r="C404" i="4"/>
  <c r="D404" i="4" s="1"/>
  <c r="B404" i="4"/>
  <c r="A404" i="4"/>
  <c r="E403" i="4"/>
  <c r="D403" i="4"/>
  <c r="C403" i="4"/>
  <c r="B403" i="4"/>
  <c r="A403" i="4"/>
  <c r="E402" i="4"/>
  <c r="C402" i="4"/>
  <c r="D402" i="4" s="1"/>
  <c r="B402" i="4"/>
  <c r="A402" i="4"/>
  <c r="E401" i="4"/>
  <c r="D401" i="4"/>
  <c r="C401" i="4"/>
  <c r="B401" i="4"/>
  <c r="A401" i="4"/>
  <c r="E400" i="4"/>
  <c r="C400" i="4"/>
  <c r="D400" i="4" s="1"/>
  <c r="B400" i="4"/>
  <c r="A400" i="4"/>
  <c r="E399" i="4"/>
  <c r="D399" i="4"/>
  <c r="C399" i="4"/>
  <c r="B399" i="4"/>
  <c r="A399" i="4"/>
  <c r="E398" i="4"/>
  <c r="C398" i="4"/>
  <c r="D398" i="4" s="1"/>
  <c r="B398" i="4"/>
  <c r="A398" i="4"/>
  <c r="E397" i="4"/>
  <c r="D397" i="4"/>
  <c r="C397" i="4"/>
  <c r="B397" i="4"/>
  <c r="A397" i="4"/>
  <c r="E396" i="4"/>
  <c r="C396" i="4"/>
  <c r="D396" i="4" s="1"/>
  <c r="B396" i="4"/>
  <c r="A396" i="4"/>
  <c r="E395" i="4"/>
  <c r="D395" i="4"/>
  <c r="C395" i="4"/>
  <c r="B395" i="4"/>
  <c r="A395" i="4"/>
  <c r="E394" i="4"/>
  <c r="C394" i="4"/>
  <c r="D394" i="4" s="1"/>
  <c r="B394" i="4"/>
  <c r="A394" i="4"/>
  <c r="E393" i="4"/>
  <c r="D393" i="4"/>
  <c r="C393" i="4"/>
  <c r="B393" i="4"/>
  <c r="A393" i="4"/>
  <c r="E392" i="4"/>
  <c r="C392" i="4"/>
  <c r="D392" i="4" s="1"/>
  <c r="B392" i="4"/>
  <c r="A392" i="4"/>
  <c r="E391" i="4"/>
  <c r="D391" i="4"/>
  <c r="C391" i="4"/>
  <c r="B391" i="4"/>
  <c r="A391" i="4"/>
  <c r="E390" i="4"/>
  <c r="C390" i="4"/>
  <c r="D390" i="4" s="1"/>
  <c r="B390" i="4"/>
  <c r="A390" i="4"/>
  <c r="E389" i="4"/>
  <c r="D389" i="4"/>
  <c r="C389" i="4"/>
  <c r="B389" i="4"/>
  <c r="A389" i="4"/>
  <c r="E388" i="4"/>
  <c r="C388" i="4"/>
  <c r="D388" i="4" s="1"/>
  <c r="B388" i="4"/>
  <c r="A388" i="4"/>
  <c r="E387" i="4"/>
  <c r="D387" i="4"/>
  <c r="C387" i="4"/>
  <c r="B387" i="4"/>
  <c r="A387" i="4"/>
  <c r="E386" i="4"/>
  <c r="C386" i="4"/>
  <c r="D386" i="4" s="1"/>
  <c r="B386" i="4"/>
  <c r="A386" i="4"/>
  <c r="E385" i="4"/>
  <c r="D385" i="4"/>
  <c r="C385" i="4"/>
  <c r="B385" i="4"/>
  <c r="A385" i="4"/>
  <c r="E384" i="4"/>
  <c r="C384" i="4"/>
  <c r="D384" i="4" s="1"/>
  <c r="B384" i="4"/>
  <c r="A384" i="4"/>
  <c r="E383" i="4"/>
  <c r="D383" i="4"/>
  <c r="C383" i="4"/>
  <c r="B383" i="4"/>
  <c r="A383" i="4"/>
  <c r="E382" i="4"/>
  <c r="C382" i="4"/>
  <c r="D382" i="4" s="1"/>
  <c r="B382" i="4"/>
  <c r="A382" i="4"/>
  <c r="E381" i="4"/>
  <c r="D381" i="4"/>
  <c r="C381" i="4"/>
  <c r="B381" i="4"/>
  <c r="A381" i="4"/>
  <c r="E380" i="4"/>
  <c r="C380" i="4"/>
  <c r="D380" i="4" s="1"/>
  <c r="B380" i="4"/>
  <c r="A380" i="4"/>
  <c r="E379" i="4"/>
  <c r="D379" i="4"/>
  <c r="C379" i="4"/>
  <c r="B379" i="4"/>
  <c r="A379" i="4"/>
  <c r="E378" i="4"/>
  <c r="C378" i="4"/>
  <c r="D378" i="4" s="1"/>
  <c r="B378" i="4"/>
  <c r="A378" i="4"/>
  <c r="E377" i="4"/>
  <c r="D377" i="4"/>
  <c r="C377" i="4"/>
  <c r="B377" i="4"/>
  <c r="A377" i="4"/>
  <c r="E376" i="4"/>
  <c r="C376" i="4"/>
  <c r="D376" i="4" s="1"/>
  <c r="B376" i="4"/>
  <c r="A376" i="4"/>
  <c r="E375" i="4"/>
  <c r="D375" i="4"/>
  <c r="C375" i="4"/>
  <c r="B375" i="4"/>
  <c r="A375" i="4"/>
  <c r="E374" i="4"/>
  <c r="C374" i="4"/>
  <c r="D374" i="4" s="1"/>
  <c r="B374" i="4"/>
  <c r="A374" i="4"/>
  <c r="E373" i="4"/>
  <c r="D373" i="4"/>
  <c r="C373" i="4"/>
  <c r="B373" i="4"/>
  <c r="A373" i="4"/>
  <c r="E372" i="4"/>
  <c r="C372" i="4"/>
  <c r="D372" i="4" s="1"/>
  <c r="B372" i="4"/>
  <c r="A372" i="4"/>
  <c r="E371" i="4"/>
  <c r="D371" i="4"/>
  <c r="C371" i="4"/>
  <c r="B371" i="4"/>
  <c r="A371" i="4"/>
  <c r="E370" i="4"/>
  <c r="C370" i="4"/>
  <c r="D370" i="4" s="1"/>
  <c r="B370" i="4"/>
  <c r="A370" i="4"/>
  <c r="E369" i="4"/>
  <c r="D369" i="4"/>
  <c r="C369" i="4"/>
  <c r="B369" i="4"/>
  <c r="A369" i="4"/>
  <c r="E368" i="4"/>
  <c r="C368" i="4"/>
  <c r="D368" i="4" s="1"/>
  <c r="B368" i="4"/>
  <c r="A368" i="4"/>
  <c r="E367" i="4"/>
  <c r="D367" i="4"/>
  <c r="C367" i="4"/>
  <c r="B367" i="4"/>
  <c r="A367" i="4"/>
  <c r="E366" i="4"/>
  <c r="C366" i="4"/>
  <c r="D366" i="4" s="1"/>
  <c r="B366" i="4"/>
  <c r="A366" i="4"/>
  <c r="E365" i="4"/>
  <c r="D365" i="4"/>
  <c r="C365" i="4"/>
  <c r="B365" i="4"/>
  <c r="A365" i="4"/>
  <c r="E364" i="4"/>
  <c r="C364" i="4"/>
  <c r="D364" i="4" s="1"/>
  <c r="B364" i="4"/>
  <c r="A364" i="4"/>
  <c r="E363" i="4"/>
  <c r="D363" i="4"/>
  <c r="C363" i="4"/>
  <c r="B363" i="4"/>
  <c r="A363" i="4"/>
  <c r="E362" i="4"/>
  <c r="C362" i="4"/>
  <c r="D362" i="4" s="1"/>
  <c r="B362" i="4"/>
  <c r="A362" i="4"/>
  <c r="E361" i="4"/>
  <c r="D361" i="4"/>
  <c r="C361" i="4"/>
  <c r="B361" i="4"/>
  <c r="A361" i="4"/>
  <c r="E360" i="4"/>
  <c r="C360" i="4"/>
  <c r="D360" i="4" s="1"/>
  <c r="B360" i="4"/>
  <c r="A360" i="4"/>
  <c r="E359" i="4"/>
  <c r="D359" i="4"/>
  <c r="C359" i="4"/>
  <c r="B359" i="4"/>
  <c r="A359" i="4"/>
  <c r="E358" i="4"/>
  <c r="C358" i="4"/>
  <c r="D358" i="4" s="1"/>
  <c r="B358" i="4"/>
  <c r="A358" i="4"/>
  <c r="E357" i="4"/>
  <c r="D357" i="4"/>
  <c r="C357" i="4"/>
  <c r="B357" i="4"/>
  <c r="A357" i="4"/>
  <c r="E356" i="4"/>
  <c r="C356" i="4"/>
  <c r="D356" i="4" s="1"/>
  <c r="B356" i="4"/>
  <c r="A356" i="4"/>
  <c r="E355" i="4"/>
  <c r="D355" i="4"/>
  <c r="C355" i="4"/>
  <c r="B355" i="4"/>
  <c r="A355" i="4"/>
  <c r="E354" i="4"/>
  <c r="C354" i="4"/>
  <c r="D354" i="4" s="1"/>
  <c r="B354" i="4"/>
  <c r="A354" i="4"/>
  <c r="E353" i="4"/>
  <c r="D353" i="4"/>
  <c r="C353" i="4"/>
  <c r="B353" i="4"/>
  <c r="A353" i="4"/>
  <c r="E352" i="4"/>
  <c r="C352" i="4"/>
  <c r="D352" i="4" s="1"/>
  <c r="B352" i="4"/>
  <c r="A352" i="4"/>
  <c r="E351" i="4"/>
  <c r="D351" i="4"/>
  <c r="C351" i="4"/>
  <c r="B351" i="4"/>
  <c r="A351" i="4"/>
  <c r="E350" i="4"/>
  <c r="C350" i="4"/>
  <c r="D350" i="4" s="1"/>
  <c r="B350" i="4"/>
  <c r="A350" i="4"/>
  <c r="E349" i="4"/>
  <c r="D349" i="4"/>
  <c r="C349" i="4"/>
  <c r="B349" i="4"/>
  <c r="A349" i="4"/>
  <c r="E348" i="4"/>
  <c r="C348" i="4"/>
  <c r="D348" i="4" s="1"/>
  <c r="B348" i="4"/>
  <c r="A348" i="4"/>
  <c r="E347" i="4"/>
  <c r="D347" i="4"/>
  <c r="C347" i="4"/>
  <c r="B347" i="4"/>
  <c r="A347" i="4"/>
  <c r="E346" i="4"/>
  <c r="C346" i="4"/>
  <c r="D346" i="4" s="1"/>
  <c r="B346" i="4"/>
  <c r="A346" i="4"/>
  <c r="E345" i="4"/>
  <c r="D345" i="4"/>
  <c r="C345" i="4"/>
  <c r="B345" i="4"/>
  <c r="A345" i="4"/>
  <c r="E344" i="4"/>
  <c r="C344" i="4"/>
  <c r="D344" i="4" s="1"/>
  <c r="B344" i="4"/>
  <c r="A344" i="4"/>
  <c r="E343" i="4"/>
  <c r="D343" i="4"/>
  <c r="C343" i="4"/>
  <c r="B343" i="4"/>
  <c r="A343" i="4"/>
  <c r="E342" i="4"/>
  <c r="C342" i="4"/>
  <c r="D342" i="4" s="1"/>
  <c r="B342" i="4"/>
  <c r="A342" i="4"/>
  <c r="E341" i="4"/>
  <c r="D341" i="4"/>
  <c r="C341" i="4"/>
  <c r="B341" i="4"/>
  <c r="A341" i="4"/>
  <c r="E340" i="4"/>
  <c r="C340" i="4"/>
  <c r="D340" i="4" s="1"/>
  <c r="B340" i="4"/>
  <c r="A340" i="4"/>
  <c r="E339" i="4"/>
  <c r="D339" i="4"/>
  <c r="C339" i="4"/>
  <c r="B339" i="4"/>
  <c r="A339" i="4"/>
  <c r="E338" i="4"/>
  <c r="C338" i="4"/>
  <c r="D338" i="4" s="1"/>
  <c r="B338" i="4"/>
  <c r="A338" i="4"/>
  <c r="E337" i="4"/>
  <c r="D337" i="4"/>
  <c r="C337" i="4"/>
  <c r="B337" i="4"/>
  <c r="A337" i="4"/>
  <c r="E336" i="4"/>
  <c r="C336" i="4"/>
  <c r="D336" i="4" s="1"/>
  <c r="B336" i="4"/>
  <c r="A336" i="4"/>
  <c r="E335" i="4"/>
  <c r="D335" i="4"/>
  <c r="C335" i="4"/>
  <c r="B335" i="4"/>
  <c r="A335" i="4"/>
  <c r="E334" i="4"/>
  <c r="C334" i="4"/>
  <c r="D334" i="4" s="1"/>
  <c r="B334" i="4"/>
  <c r="A334" i="4"/>
  <c r="E333" i="4"/>
  <c r="D333" i="4"/>
  <c r="C333" i="4"/>
  <c r="B333" i="4"/>
  <c r="A333" i="4"/>
  <c r="E332" i="4"/>
  <c r="C332" i="4"/>
  <c r="D332" i="4" s="1"/>
  <c r="B332" i="4"/>
  <c r="A332" i="4"/>
  <c r="E331" i="4"/>
  <c r="D331" i="4"/>
  <c r="C331" i="4"/>
  <c r="B331" i="4"/>
  <c r="A331" i="4"/>
  <c r="E330" i="4"/>
  <c r="C330" i="4"/>
  <c r="D330" i="4" s="1"/>
  <c r="B330" i="4"/>
  <c r="A330" i="4"/>
  <c r="E329" i="4"/>
  <c r="D329" i="4"/>
  <c r="C329" i="4"/>
  <c r="B329" i="4"/>
  <c r="A329" i="4"/>
  <c r="E328" i="4"/>
  <c r="C328" i="4"/>
  <c r="D328" i="4" s="1"/>
  <c r="B328" i="4"/>
  <c r="A328" i="4"/>
  <c r="E327" i="4"/>
  <c r="D327" i="4"/>
  <c r="C327" i="4"/>
  <c r="B327" i="4"/>
  <c r="A327" i="4"/>
  <c r="E326" i="4"/>
  <c r="C326" i="4"/>
  <c r="D326" i="4" s="1"/>
  <c r="B326" i="4"/>
  <c r="A326" i="4"/>
  <c r="E325" i="4"/>
  <c r="D325" i="4"/>
  <c r="C325" i="4"/>
  <c r="B325" i="4"/>
  <c r="A325" i="4"/>
  <c r="E324" i="4"/>
  <c r="C324" i="4"/>
  <c r="D324" i="4" s="1"/>
  <c r="B324" i="4"/>
  <c r="A324" i="4"/>
  <c r="E323" i="4"/>
  <c r="D323" i="4"/>
  <c r="C323" i="4"/>
  <c r="B323" i="4"/>
  <c r="A323" i="4"/>
  <c r="E322" i="4"/>
  <c r="C322" i="4"/>
  <c r="D322" i="4" s="1"/>
  <c r="B322" i="4"/>
  <c r="A322" i="4"/>
  <c r="E321" i="4"/>
  <c r="D321" i="4"/>
  <c r="C321" i="4"/>
  <c r="B321" i="4"/>
  <c r="A321" i="4"/>
  <c r="E320" i="4"/>
  <c r="C320" i="4"/>
  <c r="D320" i="4" s="1"/>
  <c r="B320" i="4"/>
  <c r="A320" i="4"/>
  <c r="E319" i="4"/>
  <c r="D319" i="4"/>
  <c r="C319" i="4"/>
  <c r="B319" i="4"/>
  <c r="A319" i="4"/>
  <c r="E318" i="4"/>
  <c r="C318" i="4"/>
  <c r="D318" i="4" s="1"/>
  <c r="B318" i="4"/>
  <c r="A318" i="4"/>
  <c r="E317" i="4"/>
  <c r="D317" i="4"/>
  <c r="C317" i="4"/>
  <c r="B317" i="4"/>
  <c r="A317" i="4"/>
  <c r="E316" i="4"/>
  <c r="C316" i="4"/>
  <c r="D316" i="4" s="1"/>
  <c r="B316" i="4"/>
  <c r="A316" i="4"/>
  <c r="E315" i="4"/>
  <c r="D315" i="4"/>
  <c r="C315" i="4"/>
  <c r="B315" i="4"/>
  <c r="A315" i="4"/>
  <c r="E314" i="4"/>
  <c r="C314" i="4"/>
  <c r="D314" i="4" s="1"/>
  <c r="B314" i="4"/>
  <c r="A314" i="4"/>
  <c r="E313" i="4"/>
  <c r="D313" i="4"/>
  <c r="C313" i="4"/>
  <c r="B313" i="4"/>
  <c r="A313" i="4"/>
  <c r="E312" i="4"/>
  <c r="C312" i="4"/>
  <c r="D312" i="4" s="1"/>
  <c r="B312" i="4"/>
  <c r="A312" i="4"/>
  <c r="E311" i="4"/>
  <c r="D311" i="4"/>
  <c r="C311" i="4"/>
  <c r="B311" i="4"/>
  <c r="A311" i="4"/>
  <c r="E310" i="4"/>
  <c r="C310" i="4"/>
  <c r="D310" i="4" s="1"/>
  <c r="B310" i="4"/>
  <c r="A310" i="4"/>
  <c r="E309" i="4"/>
  <c r="D309" i="4"/>
  <c r="C309" i="4"/>
  <c r="B309" i="4"/>
  <c r="A309" i="4"/>
  <c r="E308" i="4"/>
  <c r="C308" i="4"/>
  <c r="D308" i="4" s="1"/>
  <c r="B308" i="4"/>
  <c r="A308" i="4"/>
  <c r="E307" i="4"/>
  <c r="D307" i="4"/>
  <c r="C307" i="4"/>
  <c r="B307" i="4"/>
  <c r="A307" i="4"/>
  <c r="E306" i="4"/>
  <c r="C306" i="4"/>
  <c r="D306" i="4" s="1"/>
  <c r="B306" i="4"/>
  <c r="A306" i="4"/>
  <c r="E305" i="4"/>
  <c r="D305" i="4"/>
  <c r="C305" i="4"/>
  <c r="B305" i="4"/>
  <c r="A305" i="4"/>
  <c r="E304" i="4"/>
  <c r="C304" i="4"/>
  <c r="D304" i="4" s="1"/>
  <c r="B304" i="4"/>
  <c r="A304" i="4"/>
  <c r="E303" i="4"/>
  <c r="D303" i="4"/>
  <c r="C303" i="4"/>
  <c r="B303" i="4"/>
  <c r="A303" i="4"/>
  <c r="E302" i="4"/>
  <c r="C302" i="4"/>
  <c r="D302" i="4" s="1"/>
  <c r="B302" i="4"/>
  <c r="A302" i="4"/>
  <c r="E301" i="4"/>
  <c r="D301" i="4"/>
  <c r="C301" i="4"/>
  <c r="B301" i="4"/>
  <c r="A301" i="4"/>
  <c r="E300" i="4"/>
  <c r="C300" i="4"/>
  <c r="D300" i="4" s="1"/>
  <c r="B300" i="4"/>
  <c r="A300" i="4"/>
  <c r="E299" i="4"/>
  <c r="D299" i="4"/>
  <c r="C299" i="4"/>
  <c r="B299" i="4"/>
  <c r="A299" i="4"/>
  <c r="E298" i="4"/>
  <c r="C298" i="4"/>
  <c r="D298" i="4" s="1"/>
  <c r="B298" i="4"/>
  <c r="A298" i="4"/>
  <c r="E297" i="4"/>
  <c r="D297" i="4"/>
  <c r="C297" i="4"/>
  <c r="B297" i="4"/>
  <c r="A297" i="4"/>
  <c r="E296" i="4"/>
  <c r="C296" i="4"/>
  <c r="D296" i="4" s="1"/>
  <c r="B296" i="4"/>
  <c r="A296" i="4"/>
  <c r="E295" i="4"/>
  <c r="D295" i="4"/>
  <c r="C295" i="4"/>
  <c r="B295" i="4"/>
  <c r="A295" i="4"/>
  <c r="E294" i="4"/>
  <c r="C294" i="4"/>
  <c r="D294" i="4" s="1"/>
  <c r="B294" i="4"/>
  <c r="A294" i="4"/>
  <c r="E293" i="4"/>
  <c r="D293" i="4"/>
  <c r="C293" i="4"/>
  <c r="B293" i="4"/>
  <c r="A293" i="4"/>
  <c r="E292" i="4"/>
  <c r="C292" i="4"/>
  <c r="D292" i="4" s="1"/>
  <c r="B292" i="4"/>
  <c r="A292" i="4"/>
  <c r="E291" i="4"/>
  <c r="D291" i="4"/>
  <c r="C291" i="4"/>
  <c r="B291" i="4"/>
  <c r="A291" i="4"/>
  <c r="E290" i="4"/>
  <c r="C290" i="4"/>
  <c r="D290" i="4" s="1"/>
  <c r="B290" i="4"/>
  <c r="A290" i="4"/>
  <c r="E289" i="4"/>
  <c r="D289" i="4"/>
  <c r="C289" i="4"/>
  <c r="B289" i="4"/>
  <c r="A289" i="4"/>
  <c r="E288" i="4"/>
  <c r="C288" i="4"/>
  <c r="D288" i="4" s="1"/>
  <c r="B288" i="4"/>
  <c r="A288" i="4"/>
  <c r="E287" i="4"/>
  <c r="D287" i="4"/>
  <c r="C287" i="4"/>
  <c r="B287" i="4"/>
  <c r="A287" i="4"/>
  <c r="E286" i="4"/>
  <c r="C286" i="4"/>
  <c r="D286" i="4" s="1"/>
  <c r="B286" i="4"/>
  <c r="A286" i="4"/>
  <c r="E285" i="4"/>
  <c r="D285" i="4"/>
  <c r="C285" i="4"/>
  <c r="B285" i="4"/>
  <c r="A285" i="4"/>
  <c r="E284" i="4"/>
  <c r="C284" i="4"/>
  <c r="D284" i="4" s="1"/>
  <c r="B284" i="4"/>
  <c r="A284" i="4"/>
  <c r="E283" i="4"/>
  <c r="D283" i="4"/>
  <c r="C283" i="4"/>
  <c r="B283" i="4"/>
  <c r="A283" i="4"/>
  <c r="E282" i="4"/>
  <c r="C282" i="4"/>
  <c r="D282" i="4" s="1"/>
  <c r="B282" i="4"/>
  <c r="A282" i="4"/>
  <c r="E281" i="4"/>
  <c r="D281" i="4"/>
  <c r="C281" i="4"/>
  <c r="B281" i="4"/>
  <c r="A281" i="4"/>
  <c r="E280" i="4"/>
  <c r="C280" i="4"/>
  <c r="D280" i="4" s="1"/>
  <c r="B280" i="4"/>
  <c r="A280" i="4"/>
  <c r="E279" i="4"/>
  <c r="D279" i="4"/>
  <c r="C279" i="4"/>
  <c r="B279" i="4"/>
  <c r="A279" i="4"/>
  <c r="E278" i="4"/>
  <c r="C278" i="4"/>
  <c r="D278" i="4" s="1"/>
  <c r="B278" i="4"/>
  <c r="A278" i="4"/>
  <c r="E277" i="4"/>
  <c r="D277" i="4"/>
  <c r="C277" i="4"/>
  <c r="B277" i="4"/>
  <c r="A277" i="4"/>
  <c r="E276" i="4"/>
  <c r="C276" i="4"/>
  <c r="D276" i="4" s="1"/>
  <c r="B276" i="4"/>
  <c r="A276" i="4"/>
  <c r="E275" i="4"/>
  <c r="D275" i="4"/>
  <c r="C275" i="4"/>
  <c r="B275" i="4"/>
  <c r="A275" i="4"/>
  <c r="E274" i="4"/>
  <c r="C274" i="4"/>
  <c r="D274" i="4" s="1"/>
  <c r="B274" i="4"/>
  <c r="A274" i="4"/>
  <c r="E273" i="4"/>
  <c r="D273" i="4"/>
  <c r="C273" i="4"/>
  <c r="B273" i="4"/>
  <c r="A273" i="4"/>
  <c r="E272" i="4"/>
  <c r="C272" i="4"/>
  <c r="D272" i="4" s="1"/>
  <c r="B272" i="4"/>
  <c r="A272" i="4"/>
  <c r="E271" i="4"/>
  <c r="D271" i="4"/>
  <c r="C271" i="4"/>
  <c r="B271" i="4"/>
  <c r="A271" i="4"/>
  <c r="E270" i="4"/>
  <c r="C270" i="4"/>
  <c r="D270" i="4" s="1"/>
  <c r="B270" i="4"/>
  <c r="A270" i="4"/>
  <c r="E269" i="4"/>
  <c r="D269" i="4"/>
  <c r="C269" i="4"/>
  <c r="B269" i="4"/>
  <c r="A269" i="4"/>
  <c r="E268" i="4"/>
  <c r="C268" i="4"/>
  <c r="D268" i="4" s="1"/>
  <c r="B268" i="4"/>
  <c r="A268" i="4"/>
  <c r="E267" i="4"/>
  <c r="D267" i="4"/>
  <c r="C267" i="4"/>
  <c r="B267" i="4"/>
  <c r="A267" i="4"/>
  <c r="E266" i="4"/>
  <c r="C266" i="4"/>
  <c r="D266" i="4" s="1"/>
  <c r="B266" i="4"/>
  <c r="A266" i="4"/>
  <c r="E265" i="4"/>
  <c r="D265" i="4"/>
  <c r="C265" i="4"/>
  <c r="B265" i="4"/>
  <c r="A265" i="4"/>
  <c r="E264" i="4"/>
  <c r="C264" i="4"/>
  <c r="D264" i="4" s="1"/>
  <c r="B264" i="4"/>
  <c r="A264" i="4"/>
  <c r="E263" i="4"/>
  <c r="D263" i="4"/>
  <c r="C263" i="4"/>
  <c r="B263" i="4"/>
  <c r="A263" i="4"/>
  <c r="E262" i="4"/>
  <c r="C262" i="4"/>
  <c r="D262" i="4" s="1"/>
  <c r="B262" i="4"/>
  <c r="A262" i="4"/>
  <c r="E261" i="4"/>
  <c r="D261" i="4"/>
  <c r="C261" i="4"/>
  <c r="B261" i="4"/>
  <c r="A261" i="4"/>
  <c r="E260" i="4"/>
  <c r="C260" i="4"/>
  <c r="D260" i="4" s="1"/>
  <c r="B260" i="4"/>
  <c r="A260" i="4"/>
  <c r="E259" i="4"/>
  <c r="D259" i="4"/>
  <c r="C259" i="4"/>
  <c r="B259" i="4"/>
  <c r="A259" i="4"/>
  <c r="E258" i="4"/>
  <c r="C258" i="4"/>
  <c r="D258" i="4" s="1"/>
  <c r="B258" i="4"/>
  <c r="A258" i="4"/>
  <c r="E257" i="4"/>
  <c r="D257" i="4"/>
  <c r="C257" i="4"/>
  <c r="B257" i="4"/>
  <c r="A257" i="4"/>
  <c r="E256" i="4"/>
  <c r="C256" i="4"/>
  <c r="D256" i="4" s="1"/>
  <c r="B256" i="4"/>
  <c r="A256" i="4"/>
  <c r="E255" i="4"/>
  <c r="D255" i="4"/>
  <c r="C255" i="4"/>
  <c r="B255" i="4"/>
  <c r="A255" i="4"/>
  <c r="E254" i="4"/>
  <c r="C254" i="4"/>
  <c r="D254" i="4" s="1"/>
  <c r="B254" i="4"/>
  <c r="A254" i="4"/>
  <c r="E253" i="4"/>
  <c r="D253" i="4"/>
  <c r="C253" i="4"/>
  <c r="B253" i="4"/>
  <c r="A253" i="4"/>
  <c r="E252" i="4"/>
  <c r="C252" i="4"/>
  <c r="D252" i="4" s="1"/>
  <c r="B252" i="4"/>
  <c r="A252" i="4"/>
  <c r="E251" i="4"/>
  <c r="D251" i="4"/>
  <c r="C251" i="4"/>
  <c r="B251" i="4"/>
  <c r="A251" i="4"/>
  <c r="E250" i="4"/>
  <c r="C250" i="4"/>
  <c r="D250" i="4" s="1"/>
  <c r="B250" i="4"/>
  <c r="A250" i="4"/>
  <c r="E249" i="4"/>
  <c r="D249" i="4"/>
  <c r="C249" i="4"/>
  <c r="B249" i="4"/>
  <c r="A249" i="4"/>
  <c r="E248" i="4"/>
  <c r="C248" i="4"/>
  <c r="D248" i="4" s="1"/>
  <c r="B248" i="4"/>
  <c r="A248" i="4"/>
  <c r="E247" i="4"/>
  <c r="D247" i="4"/>
  <c r="C247" i="4"/>
  <c r="B247" i="4"/>
  <c r="A247" i="4"/>
  <c r="E246" i="4"/>
  <c r="C246" i="4"/>
  <c r="D246" i="4" s="1"/>
  <c r="B246" i="4"/>
  <c r="A246" i="4"/>
  <c r="E245" i="4"/>
  <c r="D245" i="4"/>
  <c r="C245" i="4"/>
  <c r="B245" i="4"/>
  <c r="A245" i="4"/>
  <c r="E244" i="4"/>
  <c r="C244" i="4"/>
  <c r="D244" i="4" s="1"/>
  <c r="B244" i="4"/>
  <c r="A244" i="4"/>
  <c r="E243" i="4"/>
  <c r="D243" i="4"/>
  <c r="C243" i="4"/>
  <c r="B243" i="4"/>
  <c r="A243" i="4"/>
  <c r="E242" i="4"/>
  <c r="C242" i="4"/>
  <c r="D242" i="4" s="1"/>
  <c r="B242" i="4"/>
  <c r="A242" i="4"/>
  <c r="E241" i="4"/>
  <c r="D241" i="4"/>
  <c r="C241" i="4"/>
  <c r="B241" i="4"/>
  <c r="A241" i="4"/>
  <c r="E240" i="4"/>
  <c r="C240" i="4"/>
  <c r="D240" i="4" s="1"/>
  <c r="B240" i="4"/>
  <c r="A240" i="4"/>
  <c r="E239" i="4"/>
  <c r="D239" i="4"/>
  <c r="C239" i="4"/>
  <c r="B239" i="4"/>
  <c r="A239" i="4"/>
  <c r="E238" i="4"/>
  <c r="C238" i="4"/>
  <c r="D238" i="4" s="1"/>
  <c r="B238" i="4"/>
  <c r="A238" i="4"/>
  <c r="E237" i="4"/>
  <c r="D237" i="4"/>
  <c r="C237" i="4"/>
  <c r="B237" i="4"/>
  <c r="A237" i="4"/>
  <c r="E236" i="4"/>
  <c r="C236" i="4"/>
  <c r="D236" i="4" s="1"/>
  <c r="B236" i="4"/>
  <c r="A236" i="4"/>
  <c r="E235" i="4"/>
  <c r="D235" i="4"/>
  <c r="C235" i="4"/>
  <c r="B235" i="4"/>
  <c r="A235" i="4"/>
  <c r="E234" i="4"/>
  <c r="C234" i="4"/>
  <c r="D234" i="4" s="1"/>
  <c r="B234" i="4"/>
  <c r="A234" i="4"/>
  <c r="E233" i="4"/>
  <c r="D233" i="4"/>
  <c r="C233" i="4"/>
  <c r="B233" i="4"/>
  <c r="A233" i="4"/>
  <c r="E232" i="4"/>
  <c r="C232" i="4"/>
  <c r="D232" i="4" s="1"/>
  <c r="B232" i="4"/>
  <c r="A232" i="4"/>
  <c r="E231" i="4"/>
  <c r="D231" i="4"/>
  <c r="C231" i="4"/>
  <c r="B231" i="4"/>
  <c r="A231" i="4"/>
  <c r="E230" i="4"/>
  <c r="C230" i="4"/>
  <c r="D230" i="4" s="1"/>
  <c r="B230" i="4"/>
  <c r="A230" i="4"/>
  <c r="E229" i="4"/>
  <c r="D229" i="4"/>
  <c r="C229" i="4"/>
  <c r="B229" i="4"/>
  <c r="A229" i="4"/>
  <c r="E228" i="4"/>
  <c r="C228" i="4"/>
  <c r="D228" i="4" s="1"/>
  <c r="B228" i="4"/>
  <c r="A228" i="4"/>
  <c r="E227" i="4"/>
  <c r="D227" i="4"/>
  <c r="C227" i="4"/>
  <c r="B227" i="4"/>
  <c r="A227" i="4"/>
  <c r="E226" i="4"/>
  <c r="C226" i="4"/>
  <c r="D226" i="4" s="1"/>
  <c r="B226" i="4"/>
  <c r="A226" i="4"/>
  <c r="E225" i="4"/>
  <c r="D225" i="4"/>
  <c r="C225" i="4"/>
  <c r="B225" i="4"/>
  <c r="A225" i="4"/>
  <c r="E224" i="4"/>
  <c r="C224" i="4"/>
  <c r="D224" i="4" s="1"/>
  <c r="B224" i="4"/>
  <c r="A224" i="4"/>
  <c r="E223" i="4"/>
  <c r="D223" i="4"/>
  <c r="C223" i="4"/>
  <c r="B223" i="4"/>
  <c r="A223" i="4"/>
  <c r="E222" i="4"/>
  <c r="C222" i="4"/>
  <c r="D222" i="4" s="1"/>
  <c r="B222" i="4"/>
  <c r="A222" i="4"/>
  <c r="E221" i="4"/>
  <c r="D221" i="4"/>
  <c r="C221" i="4"/>
  <c r="B221" i="4"/>
  <c r="A221" i="4"/>
  <c r="E220" i="4"/>
  <c r="C220" i="4"/>
  <c r="D220" i="4" s="1"/>
  <c r="B220" i="4"/>
  <c r="A220" i="4"/>
  <c r="E219" i="4"/>
  <c r="D219" i="4"/>
  <c r="C219" i="4"/>
  <c r="B219" i="4"/>
  <c r="A219" i="4"/>
  <c r="E218" i="4"/>
  <c r="C218" i="4"/>
  <c r="D218" i="4" s="1"/>
  <c r="B218" i="4"/>
  <c r="A218" i="4"/>
  <c r="E217" i="4"/>
  <c r="D217" i="4"/>
  <c r="C217" i="4"/>
  <c r="B217" i="4"/>
  <c r="A217" i="4"/>
  <c r="E216" i="4"/>
  <c r="C216" i="4"/>
  <c r="D216" i="4" s="1"/>
  <c r="B216" i="4"/>
  <c r="A216" i="4"/>
  <c r="E215" i="4"/>
  <c r="D215" i="4"/>
  <c r="C215" i="4"/>
  <c r="B215" i="4"/>
  <c r="A215" i="4"/>
  <c r="E214" i="4"/>
  <c r="C214" i="4"/>
  <c r="D214" i="4" s="1"/>
  <c r="B214" i="4"/>
  <c r="A214" i="4"/>
  <c r="E213" i="4"/>
  <c r="D213" i="4"/>
  <c r="C213" i="4"/>
  <c r="B213" i="4"/>
  <c r="A213" i="4"/>
  <c r="E212" i="4"/>
  <c r="C212" i="4"/>
  <c r="D212" i="4" s="1"/>
  <c r="B212" i="4"/>
  <c r="A212" i="4"/>
  <c r="E211" i="4"/>
  <c r="D211" i="4"/>
  <c r="C211" i="4"/>
  <c r="B211" i="4"/>
  <c r="A211" i="4"/>
  <c r="E210" i="4"/>
  <c r="C210" i="4"/>
  <c r="D210" i="4" s="1"/>
  <c r="B210" i="4"/>
  <c r="A210" i="4"/>
  <c r="E209" i="4"/>
  <c r="D209" i="4"/>
  <c r="C209" i="4"/>
  <c r="B209" i="4"/>
  <c r="A209" i="4"/>
  <c r="E208" i="4"/>
  <c r="C208" i="4"/>
  <c r="D208" i="4" s="1"/>
  <c r="B208" i="4"/>
  <c r="A208" i="4"/>
  <c r="E207" i="4"/>
  <c r="D207" i="4"/>
  <c r="C207" i="4"/>
  <c r="B207" i="4"/>
  <c r="A207" i="4"/>
  <c r="E206" i="4"/>
  <c r="C206" i="4"/>
  <c r="D206" i="4" s="1"/>
  <c r="B206" i="4"/>
  <c r="A206" i="4"/>
  <c r="E205" i="4"/>
  <c r="D205" i="4"/>
  <c r="C205" i="4"/>
  <c r="B205" i="4"/>
  <c r="A205" i="4"/>
  <c r="E204" i="4"/>
  <c r="C204" i="4"/>
  <c r="D204" i="4" s="1"/>
  <c r="B204" i="4"/>
  <c r="A204" i="4"/>
  <c r="E203" i="4"/>
  <c r="D203" i="4"/>
  <c r="C203" i="4"/>
  <c r="B203" i="4"/>
  <c r="A203" i="4"/>
  <c r="E202" i="4"/>
  <c r="C202" i="4"/>
  <c r="D202" i="4" s="1"/>
  <c r="B202" i="4"/>
  <c r="A202" i="4"/>
  <c r="E201" i="4"/>
  <c r="D201" i="4"/>
  <c r="C201" i="4"/>
  <c r="B201" i="4"/>
  <c r="A201" i="4"/>
  <c r="E200" i="4"/>
  <c r="C200" i="4"/>
  <c r="D200" i="4" s="1"/>
  <c r="B200" i="4"/>
  <c r="A200" i="4"/>
  <c r="E199" i="4"/>
  <c r="D199" i="4"/>
  <c r="C199" i="4"/>
  <c r="B199" i="4"/>
  <c r="A199" i="4"/>
  <c r="E198" i="4"/>
  <c r="C198" i="4"/>
  <c r="D198" i="4" s="1"/>
  <c r="B198" i="4"/>
  <c r="A198" i="4"/>
  <c r="E197" i="4"/>
  <c r="D197" i="4"/>
  <c r="C197" i="4"/>
  <c r="B197" i="4"/>
  <c r="A197" i="4"/>
  <c r="E196" i="4"/>
  <c r="C196" i="4"/>
  <c r="D196" i="4" s="1"/>
  <c r="B196" i="4"/>
  <c r="A196" i="4"/>
  <c r="E195" i="4"/>
  <c r="D195" i="4"/>
  <c r="C195" i="4"/>
  <c r="B195" i="4"/>
  <c r="A195" i="4"/>
  <c r="E194" i="4"/>
  <c r="C194" i="4"/>
  <c r="D194" i="4" s="1"/>
  <c r="B194" i="4"/>
  <c r="A194" i="4"/>
  <c r="E193" i="4"/>
  <c r="D193" i="4"/>
  <c r="C193" i="4"/>
  <c r="B193" i="4"/>
  <c r="A193" i="4"/>
  <c r="E192" i="4"/>
  <c r="C192" i="4"/>
  <c r="D192" i="4" s="1"/>
  <c r="B192" i="4"/>
  <c r="A192" i="4"/>
  <c r="E191" i="4"/>
  <c r="D191" i="4"/>
  <c r="C191" i="4"/>
  <c r="B191" i="4"/>
  <c r="A191" i="4"/>
  <c r="E190" i="4"/>
  <c r="C190" i="4"/>
  <c r="D190" i="4" s="1"/>
  <c r="B190" i="4"/>
  <c r="A190" i="4"/>
  <c r="E189" i="4"/>
  <c r="D189" i="4"/>
  <c r="C189" i="4"/>
  <c r="B189" i="4"/>
  <c r="A189" i="4"/>
  <c r="E188" i="4"/>
  <c r="C188" i="4"/>
  <c r="D188" i="4" s="1"/>
  <c r="B188" i="4"/>
  <c r="A188" i="4"/>
  <c r="E187" i="4"/>
  <c r="D187" i="4"/>
  <c r="C187" i="4"/>
  <c r="B187" i="4"/>
  <c r="A187" i="4"/>
  <c r="E186" i="4"/>
  <c r="C186" i="4"/>
  <c r="D186" i="4" s="1"/>
  <c r="B186" i="4"/>
  <c r="A186" i="4"/>
  <c r="E185" i="4"/>
  <c r="D185" i="4"/>
  <c r="C185" i="4"/>
  <c r="B185" i="4"/>
  <c r="A185" i="4"/>
  <c r="E184" i="4"/>
  <c r="C184" i="4"/>
  <c r="D184" i="4" s="1"/>
  <c r="B184" i="4"/>
  <c r="A184" i="4"/>
  <c r="E183" i="4"/>
  <c r="D183" i="4"/>
  <c r="C183" i="4"/>
  <c r="B183" i="4"/>
  <c r="A183" i="4"/>
  <c r="E182" i="4"/>
  <c r="C182" i="4"/>
  <c r="D182" i="4" s="1"/>
  <c r="B182" i="4"/>
  <c r="A182" i="4"/>
  <c r="E181" i="4"/>
  <c r="D181" i="4"/>
  <c r="C181" i="4"/>
  <c r="B181" i="4"/>
  <c r="A181" i="4"/>
  <c r="E180" i="4"/>
  <c r="C180" i="4"/>
  <c r="D180" i="4" s="1"/>
  <c r="B180" i="4"/>
  <c r="A180" i="4"/>
  <c r="E179" i="4"/>
  <c r="D179" i="4"/>
  <c r="C179" i="4"/>
  <c r="B179" i="4"/>
  <c r="A179" i="4"/>
  <c r="E178" i="4"/>
  <c r="C178" i="4"/>
  <c r="D178" i="4" s="1"/>
  <c r="B178" i="4"/>
  <c r="A178" i="4"/>
  <c r="E177" i="4"/>
  <c r="D177" i="4"/>
  <c r="C177" i="4"/>
  <c r="B177" i="4"/>
  <c r="A177" i="4"/>
  <c r="E176" i="4"/>
  <c r="C176" i="4"/>
  <c r="D176" i="4" s="1"/>
  <c r="B176" i="4"/>
  <c r="A176" i="4"/>
  <c r="E175" i="4"/>
  <c r="D175" i="4"/>
  <c r="C175" i="4"/>
  <c r="B175" i="4"/>
  <c r="A175" i="4"/>
  <c r="E174" i="4"/>
  <c r="C174" i="4"/>
  <c r="D174" i="4" s="1"/>
  <c r="B174" i="4"/>
  <c r="A174" i="4"/>
  <c r="E173" i="4"/>
  <c r="D173" i="4"/>
  <c r="C173" i="4"/>
  <c r="B173" i="4"/>
  <c r="A173" i="4"/>
  <c r="E172" i="4"/>
  <c r="C172" i="4"/>
  <c r="D172" i="4" s="1"/>
  <c r="B172" i="4"/>
  <c r="A172" i="4"/>
  <c r="E171" i="4"/>
  <c r="D171" i="4"/>
  <c r="C171" i="4"/>
  <c r="B171" i="4"/>
  <c r="A171" i="4"/>
  <c r="E170" i="4"/>
  <c r="C170" i="4"/>
  <c r="D170" i="4" s="1"/>
  <c r="B170" i="4"/>
  <c r="A170" i="4"/>
  <c r="E169" i="4"/>
  <c r="D169" i="4"/>
  <c r="C169" i="4"/>
  <c r="B169" i="4"/>
  <c r="A169" i="4"/>
  <c r="E168" i="4"/>
  <c r="C168" i="4"/>
  <c r="D168" i="4" s="1"/>
  <c r="B168" i="4"/>
  <c r="A168" i="4"/>
  <c r="E167" i="4"/>
  <c r="D167" i="4"/>
  <c r="C167" i="4"/>
  <c r="B167" i="4"/>
  <c r="A167" i="4"/>
  <c r="E166" i="4"/>
  <c r="C166" i="4"/>
  <c r="D166" i="4" s="1"/>
  <c r="B166" i="4"/>
  <c r="A166" i="4"/>
  <c r="E165" i="4"/>
  <c r="D165" i="4"/>
  <c r="C165" i="4"/>
  <c r="B165" i="4"/>
  <c r="A165" i="4"/>
  <c r="E164" i="4"/>
  <c r="C164" i="4"/>
  <c r="D164" i="4" s="1"/>
  <c r="B164" i="4"/>
  <c r="A164" i="4"/>
  <c r="E163" i="4"/>
  <c r="D163" i="4"/>
  <c r="C163" i="4"/>
  <c r="B163" i="4"/>
  <c r="A163" i="4"/>
  <c r="E162" i="4"/>
  <c r="C162" i="4"/>
  <c r="D162" i="4" s="1"/>
  <c r="B162" i="4"/>
  <c r="A162" i="4"/>
  <c r="E161" i="4"/>
  <c r="D161" i="4"/>
  <c r="C161" i="4"/>
  <c r="B161" i="4"/>
  <c r="A161" i="4"/>
  <c r="E160" i="4"/>
  <c r="C160" i="4"/>
  <c r="D160" i="4" s="1"/>
  <c r="B160" i="4"/>
  <c r="A160" i="4"/>
  <c r="E159" i="4"/>
  <c r="D159" i="4"/>
  <c r="C159" i="4"/>
  <c r="B159" i="4"/>
  <c r="A159" i="4"/>
  <c r="E158" i="4"/>
  <c r="C158" i="4"/>
  <c r="D158" i="4" s="1"/>
  <c r="B158" i="4"/>
  <c r="A158" i="4"/>
  <c r="E157" i="4"/>
  <c r="D157" i="4"/>
  <c r="C157" i="4"/>
  <c r="B157" i="4"/>
  <c r="A157" i="4"/>
  <c r="E156" i="4"/>
  <c r="C156" i="4"/>
  <c r="D156" i="4" s="1"/>
  <c r="B156" i="4"/>
  <c r="A156" i="4"/>
  <c r="E155" i="4"/>
  <c r="D155" i="4"/>
  <c r="C155" i="4"/>
  <c r="B155" i="4"/>
  <c r="A155" i="4"/>
  <c r="E154" i="4"/>
  <c r="C154" i="4"/>
  <c r="D154" i="4" s="1"/>
  <c r="B154" i="4"/>
  <c r="A154" i="4"/>
  <c r="E153" i="4"/>
  <c r="D153" i="4"/>
  <c r="C153" i="4"/>
  <c r="B153" i="4"/>
  <c r="A153" i="4"/>
  <c r="E152" i="4"/>
  <c r="C152" i="4"/>
  <c r="D152" i="4" s="1"/>
  <c r="B152" i="4"/>
  <c r="A152" i="4"/>
  <c r="E151" i="4"/>
  <c r="D151" i="4"/>
  <c r="C151" i="4"/>
  <c r="B151" i="4"/>
  <c r="A151" i="4"/>
  <c r="E150" i="4"/>
  <c r="C150" i="4"/>
  <c r="D150" i="4" s="1"/>
  <c r="B150" i="4"/>
  <c r="A150" i="4"/>
  <c r="E149" i="4"/>
  <c r="D149" i="4"/>
  <c r="C149" i="4"/>
  <c r="B149" i="4"/>
  <c r="A149" i="4"/>
  <c r="E148" i="4"/>
  <c r="C148" i="4"/>
  <c r="D148" i="4" s="1"/>
  <c r="B148" i="4"/>
  <c r="A148" i="4"/>
  <c r="E147" i="4"/>
  <c r="D147" i="4"/>
  <c r="C147" i="4"/>
  <c r="B147" i="4"/>
  <c r="A147" i="4"/>
  <c r="E146" i="4"/>
  <c r="C146" i="4"/>
  <c r="D146" i="4" s="1"/>
  <c r="B146" i="4"/>
  <c r="A146" i="4"/>
  <c r="E145" i="4"/>
  <c r="D145" i="4"/>
  <c r="C145" i="4"/>
  <c r="B145" i="4"/>
  <c r="A145" i="4"/>
  <c r="E144" i="4"/>
  <c r="C144" i="4"/>
  <c r="D144" i="4" s="1"/>
  <c r="B144" i="4"/>
  <c r="A144" i="4"/>
  <c r="E143" i="4"/>
  <c r="D143" i="4"/>
  <c r="C143" i="4"/>
  <c r="B143" i="4"/>
  <c r="A143" i="4"/>
  <c r="E142" i="4"/>
  <c r="C142" i="4"/>
  <c r="D142" i="4" s="1"/>
  <c r="B142" i="4"/>
  <c r="A142" i="4"/>
  <c r="E141" i="4"/>
  <c r="D141" i="4"/>
  <c r="C141" i="4"/>
  <c r="B141" i="4"/>
  <c r="A141" i="4"/>
  <c r="E140" i="4"/>
  <c r="C140" i="4"/>
  <c r="D140" i="4" s="1"/>
  <c r="B140" i="4"/>
  <c r="A140" i="4"/>
  <c r="E139" i="4"/>
  <c r="D139" i="4"/>
  <c r="C139" i="4"/>
  <c r="B139" i="4"/>
  <c r="A139" i="4"/>
  <c r="E138" i="4"/>
  <c r="C138" i="4"/>
  <c r="D138" i="4" s="1"/>
  <c r="B138" i="4"/>
  <c r="A138" i="4"/>
  <c r="E137" i="4"/>
  <c r="D137" i="4"/>
  <c r="C137" i="4"/>
  <c r="B137" i="4"/>
  <c r="A137" i="4"/>
  <c r="E136" i="4"/>
  <c r="C136" i="4"/>
  <c r="D136" i="4" s="1"/>
  <c r="B136" i="4"/>
  <c r="A136" i="4"/>
  <c r="E135" i="4"/>
  <c r="D135" i="4"/>
  <c r="C135" i="4"/>
  <c r="B135" i="4"/>
  <c r="A135" i="4"/>
  <c r="E134" i="4"/>
  <c r="C134" i="4"/>
  <c r="D134" i="4" s="1"/>
  <c r="B134" i="4"/>
  <c r="A134" i="4"/>
  <c r="E133" i="4"/>
  <c r="D133" i="4"/>
  <c r="C133" i="4"/>
  <c r="B133" i="4"/>
  <c r="A133" i="4"/>
  <c r="E132" i="4"/>
  <c r="C132" i="4"/>
  <c r="D132" i="4" s="1"/>
  <c r="B132" i="4"/>
  <c r="A132" i="4"/>
  <c r="E131" i="4"/>
  <c r="D131" i="4"/>
  <c r="C131" i="4"/>
  <c r="B131" i="4"/>
  <c r="A131" i="4"/>
  <c r="E130" i="4"/>
  <c r="C130" i="4"/>
  <c r="D130" i="4" s="1"/>
  <c r="B130" i="4"/>
  <c r="A130" i="4"/>
  <c r="E129" i="4"/>
  <c r="D129" i="4"/>
  <c r="C129" i="4"/>
  <c r="B129" i="4"/>
  <c r="A129" i="4"/>
  <c r="E128" i="4"/>
  <c r="C128" i="4"/>
  <c r="D128" i="4" s="1"/>
  <c r="B128" i="4"/>
  <c r="A128" i="4"/>
  <c r="E127" i="4"/>
  <c r="D127" i="4"/>
  <c r="C127" i="4"/>
  <c r="B127" i="4"/>
  <c r="A127" i="4"/>
  <c r="E126" i="4"/>
  <c r="C126" i="4"/>
  <c r="D126" i="4" s="1"/>
  <c r="B126" i="4"/>
  <c r="A126" i="4"/>
  <c r="E125" i="4"/>
  <c r="D125" i="4"/>
  <c r="C125" i="4"/>
  <c r="B125" i="4"/>
  <c r="A125" i="4"/>
  <c r="E124" i="4"/>
  <c r="C124" i="4"/>
  <c r="D124" i="4" s="1"/>
  <c r="B124" i="4"/>
  <c r="A124" i="4"/>
  <c r="E123" i="4"/>
  <c r="D123" i="4"/>
  <c r="C123" i="4"/>
  <c r="B123" i="4"/>
  <c r="A123" i="4"/>
  <c r="E122" i="4"/>
  <c r="C122" i="4"/>
  <c r="D122" i="4" s="1"/>
  <c r="B122" i="4"/>
  <c r="A122" i="4"/>
  <c r="E121" i="4"/>
  <c r="D121" i="4"/>
  <c r="C121" i="4"/>
  <c r="B121" i="4"/>
  <c r="A121" i="4"/>
  <c r="E120" i="4"/>
  <c r="C120" i="4"/>
  <c r="D120" i="4" s="1"/>
  <c r="B120" i="4"/>
  <c r="A120" i="4"/>
  <c r="E119" i="4"/>
  <c r="D119" i="4"/>
  <c r="C119" i="4"/>
  <c r="B119" i="4"/>
  <c r="A119" i="4"/>
  <c r="E118" i="4"/>
  <c r="C118" i="4"/>
  <c r="D118" i="4" s="1"/>
  <c r="B118" i="4"/>
  <c r="A118" i="4"/>
  <c r="E117" i="4"/>
  <c r="D117" i="4"/>
  <c r="C117" i="4"/>
  <c r="B117" i="4"/>
  <c r="A117" i="4"/>
  <c r="E116" i="4"/>
  <c r="C116" i="4"/>
  <c r="D116" i="4" s="1"/>
  <c r="B116" i="4"/>
  <c r="A116" i="4"/>
  <c r="E115" i="4"/>
  <c r="D115" i="4"/>
  <c r="C115" i="4"/>
  <c r="B115" i="4"/>
  <c r="A115" i="4"/>
  <c r="E114" i="4"/>
  <c r="C114" i="4"/>
  <c r="D114" i="4" s="1"/>
  <c r="B114" i="4"/>
  <c r="A114" i="4"/>
  <c r="E113" i="4"/>
  <c r="D113" i="4"/>
  <c r="C113" i="4"/>
  <c r="B113" i="4"/>
  <c r="A113" i="4"/>
  <c r="E112" i="4"/>
  <c r="C112" i="4"/>
  <c r="D112" i="4" s="1"/>
  <c r="B112" i="4"/>
  <c r="A112" i="4"/>
  <c r="E111" i="4"/>
  <c r="D111" i="4"/>
  <c r="C111" i="4"/>
  <c r="B111" i="4"/>
  <c r="A111" i="4"/>
  <c r="E110" i="4"/>
  <c r="C110" i="4"/>
  <c r="D110" i="4" s="1"/>
  <c r="B110" i="4"/>
  <c r="A110" i="4"/>
  <c r="E109" i="4"/>
  <c r="D109" i="4"/>
  <c r="C109" i="4"/>
  <c r="B109" i="4"/>
  <c r="A109" i="4"/>
  <c r="E108" i="4"/>
  <c r="C108" i="4"/>
  <c r="D108" i="4" s="1"/>
  <c r="B108" i="4"/>
  <c r="A108" i="4"/>
  <c r="E107" i="4"/>
  <c r="D107" i="4"/>
  <c r="C107" i="4"/>
  <c r="B107" i="4"/>
  <c r="A107" i="4"/>
  <c r="E106" i="4"/>
  <c r="C106" i="4"/>
  <c r="D106" i="4" s="1"/>
  <c r="B106" i="4"/>
  <c r="A106" i="4"/>
  <c r="E105" i="4"/>
  <c r="D105" i="4"/>
  <c r="C105" i="4"/>
  <c r="B105" i="4"/>
  <c r="A105" i="4"/>
  <c r="E104" i="4"/>
  <c r="C104" i="4"/>
  <c r="D104" i="4" s="1"/>
  <c r="B104" i="4"/>
  <c r="A104" i="4"/>
  <c r="E103" i="4"/>
  <c r="D103" i="4"/>
  <c r="C103" i="4"/>
  <c r="B103" i="4"/>
  <c r="A103" i="4"/>
  <c r="E102" i="4"/>
  <c r="C102" i="4"/>
  <c r="D102" i="4" s="1"/>
  <c r="B102" i="4"/>
  <c r="A102" i="4"/>
  <c r="E101" i="4"/>
  <c r="D101" i="4"/>
  <c r="C101" i="4"/>
  <c r="B101" i="4"/>
  <c r="A101" i="4"/>
  <c r="E100" i="4"/>
  <c r="C100" i="4"/>
  <c r="D100" i="4" s="1"/>
  <c r="B100" i="4"/>
  <c r="A100" i="4"/>
  <c r="E99" i="4"/>
  <c r="D99" i="4"/>
  <c r="C99" i="4"/>
  <c r="B99" i="4"/>
  <c r="A99" i="4"/>
  <c r="E98" i="4"/>
  <c r="C98" i="4"/>
  <c r="D98" i="4" s="1"/>
  <c r="B98" i="4"/>
  <c r="A98" i="4"/>
  <c r="E97" i="4"/>
  <c r="D97" i="4"/>
  <c r="C97" i="4"/>
  <c r="B97" i="4"/>
  <c r="A97" i="4"/>
  <c r="E96" i="4"/>
  <c r="C96" i="4"/>
  <c r="D96" i="4" s="1"/>
  <c r="B96" i="4"/>
  <c r="A96" i="4"/>
  <c r="E95" i="4"/>
  <c r="D95" i="4"/>
  <c r="C95" i="4"/>
  <c r="B95" i="4"/>
  <c r="A95" i="4"/>
  <c r="E94" i="4"/>
  <c r="C94" i="4"/>
  <c r="D94" i="4" s="1"/>
  <c r="B94" i="4"/>
  <c r="A94" i="4"/>
  <c r="E93" i="4"/>
  <c r="D93" i="4"/>
  <c r="C93" i="4"/>
  <c r="B93" i="4"/>
  <c r="A93" i="4"/>
  <c r="E92" i="4"/>
  <c r="C92" i="4"/>
  <c r="D92" i="4" s="1"/>
  <c r="B92" i="4"/>
  <c r="A92" i="4"/>
  <c r="E91" i="4"/>
  <c r="D91" i="4"/>
  <c r="C91" i="4"/>
  <c r="B91" i="4"/>
  <c r="A91" i="4"/>
  <c r="E90" i="4"/>
  <c r="C90" i="4"/>
  <c r="D90" i="4" s="1"/>
  <c r="B90" i="4"/>
  <c r="A90" i="4"/>
  <c r="E89" i="4"/>
  <c r="D89" i="4"/>
  <c r="C89" i="4"/>
  <c r="B89" i="4"/>
  <c r="A89" i="4"/>
  <c r="E88" i="4"/>
  <c r="C88" i="4"/>
  <c r="D88" i="4" s="1"/>
  <c r="B88" i="4"/>
  <c r="A88" i="4"/>
  <c r="E87" i="4"/>
  <c r="D87" i="4"/>
  <c r="C87" i="4"/>
  <c r="B87" i="4"/>
  <c r="A87" i="4"/>
  <c r="E86" i="4"/>
  <c r="C86" i="4"/>
  <c r="D86" i="4" s="1"/>
  <c r="B86" i="4"/>
  <c r="A86" i="4"/>
  <c r="E85" i="4"/>
  <c r="D85" i="4"/>
  <c r="C85" i="4"/>
  <c r="B85" i="4"/>
  <c r="A85" i="4"/>
  <c r="E84" i="4"/>
  <c r="C84" i="4"/>
  <c r="D84" i="4" s="1"/>
  <c r="B84" i="4"/>
  <c r="A84" i="4"/>
  <c r="E83" i="4"/>
  <c r="D83" i="4"/>
  <c r="C83" i="4"/>
  <c r="B83" i="4"/>
  <c r="A83" i="4"/>
  <c r="E82" i="4"/>
  <c r="C82" i="4"/>
  <c r="D82" i="4" s="1"/>
  <c r="B82" i="4"/>
  <c r="A82" i="4"/>
  <c r="E81" i="4"/>
  <c r="D81" i="4"/>
  <c r="C81" i="4"/>
  <c r="B81" i="4"/>
  <c r="A81" i="4"/>
  <c r="E80" i="4"/>
  <c r="C80" i="4"/>
  <c r="D80" i="4" s="1"/>
  <c r="B80" i="4"/>
  <c r="A80" i="4"/>
  <c r="E79" i="4"/>
  <c r="D79" i="4"/>
  <c r="C79" i="4"/>
  <c r="B79" i="4"/>
  <c r="A79" i="4"/>
  <c r="E78" i="4"/>
  <c r="C78" i="4"/>
  <c r="D78" i="4" s="1"/>
  <c r="B78" i="4"/>
  <c r="A78" i="4"/>
  <c r="E77" i="4"/>
  <c r="D77" i="4"/>
  <c r="C77" i="4"/>
  <c r="B77" i="4"/>
  <c r="A77" i="4"/>
  <c r="E76" i="4"/>
  <c r="C76" i="4"/>
  <c r="D76" i="4" s="1"/>
  <c r="B76" i="4"/>
  <c r="A76" i="4"/>
  <c r="E75" i="4"/>
  <c r="D75" i="4"/>
  <c r="C75" i="4"/>
  <c r="B75" i="4"/>
  <c r="A75" i="4"/>
  <c r="E74" i="4"/>
  <c r="C74" i="4"/>
  <c r="D74" i="4" s="1"/>
  <c r="B74" i="4"/>
  <c r="A74" i="4"/>
  <c r="E73" i="4"/>
  <c r="D73" i="4"/>
  <c r="C73" i="4"/>
  <c r="B73" i="4"/>
  <c r="A73" i="4"/>
  <c r="E72" i="4"/>
  <c r="C72" i="4"/>
  <c r="D72" i="4" s="1"/>
  <c r="B72" i="4"/>
  <c r="A72" i="4"/>
  <c r="E71" i="4"/>
  <c r="D71" i="4"/>
  <c r="C71" i="4"/>
  <c r="B71" i="4"/>
  <c r="A71" i="4"/>
  <c r="E70" i="4"/>
  <c r="C70" i="4"/>
  <c r="D70" i="4" s="1"/>
  <c r="B70" i="4"/>
  <c r="A70" i="4"/>
  <c r="E69" i="4"/>
  <c r="D69" i="4"/>
  <c r="C69" i="4"/>
  <c r="B69" i="4"/>
  <c r="A69" i="4"/>
  <c r="E68" i="4"/>
  <c r="C68" i="4"/>
  <c r="D68" i="4" s="1"/>
  <c r="B68" i="4"/>
  <c r="A68" i="4"/>
  <c r="E67" i="4"/>
  <c r="D67" i="4"/>
  <c r="C67" i="4"/>
  <c r="B67" i="4"/>
  <c r="A67" i="4"/>
  <c r="E66" i="4"/>
  <c r="C66" i="4"/>
  <c r="D66" i="4" s="1"/>
  <c r="B66" i="4"/>
  <c r="A66" i="4"/>
  <c r="E65" i="4"/>
  <c r="D65" i="4"/>
  <c r="C65" i="4"/>
  <c r="B65" i="4"/>
  <c r="A65" i="4"/>
  <c r="E64" i="4"/>
  <c r="C64" i="4"/>
  <c r="D64" i="4" s="1"/>
  <c r="B64" i="4"/>
  <c r="A64" i="4"/>
  <c r="E63" i="4"/>
  <c r="D63" i="4"/>
  <c r="C63" i="4"/>
  <c r="B63" i="4"/>
  <c r="A63" i="4"/>
  <c r="E62" i="4"/>
  <c r="C62" i="4"/>
  <c r="D62" i="4" s="1"/>
  <c r="B62" i="4"/>
  <c r="A62" i="4"/>
  <c r="E61" i="4"/>
  <c r="D61" i="4"/>
  <c r="C61" i="4"/>
  <c r="B61" i="4"/>
  <c r="A61" i="4"/>
  <c r="E60" i="4"/>
  <c r="C60" i="4"/>
  <c r="D60" i="4" s="1"/>
  <c r="B60" i="4"/>
  <c r="A60" i="4"/>
  <c r="E59" i="4"/>
  <c r="D59" i="4"/>
  <c r="C59" i="4"/>
  <c r="B59" i="4"/>
  <c r="A59" i="4"/>
  <c r="E58" i="4"/>
  <c r="C58" i="4"/>
  <c r="D58" i="4" s="1"/>
  <c r="B58" i="4"/>
  <c r="A58" i="4"/>
  <c r="E57" i="4"/>
  <c r="D57" i="4"/>
  <c r="C57" i="4"/>
  <c r="B57" i="4"/>
  <c r="A57" i="4"/>
  <c r="E56" i="4"/>
  <c r="C56" i="4"/>
  <c r="D56" i="4" s="1"/>
  <c r="B56" i="4"/>
  <c r="A56" i="4"/>
  <c r="E55" i="4"/>
  <c r="D55" i="4"/>
  <c r="C55" i="4"/>
  <c r="B55" i="4"/>
  <c r="A55" i="4"/>
  <c r="E54" i="4"/>
  <c r="C54" i="4"/>
  <c r="D54" i="4" s="1"/>
  <c r="B54" i="4"/>
  <c r="A54" i="4"/>
  <c r="E53" i="4"/>
  <c r="D53" i="4"/>
  <c r="C53" i="4"/>
  <c r="B53" i="4"/>
  <c r="A53" i="4"/>
  <c r="E52" i="4"/>
  <c r="C52" i="4"/>
  <c r="D52" i="4" s="1"/>
  <c r="B52" i="4"/>
  <c r="A52" i="4"/>
  <c r="E51" i="4"/>
  <c r="D51" i="4"/>
  <c r="C51" i="4"/>
  <c r="B51" i="4"/>
  <c r="A51" i="4"/>
  <c r="E50" i="4"/>
  <c r="C50" i="4"/>
  <c r="D50" i="4" s="1"/>
  <c r="B50" i="4"/>
  <c r="A50" i="4"/>
  <c r="E49" i="4"/>
  <c r="D49" i="4"/>
  <c r="C49" i="4"/>
  <c r="B49" i="4"/>
  <c r="A49" i="4"/>
  <c r="E48" i="4"/>
  <c r="C48" i="4"/>
  <c r="D48" i="4" s="1"/>
  <c r="B48" i="4"/>
  <c r="A48" i="4"/>
  <c r="E47" i="4"/>
  <c r="D47" i="4"/>
  <c r="C47" i="4"/>
  <c r="B47" i="4"/>
  <c r="A47" i="4"/>
  <c r="E46" i="4"/>
  <c r="C46" i="4"/>
  <c r="D46" i="4" s="1"/>
  <c r="B46" i="4"/>
  <c r="A46" i="4"/>
  <c r="E45" i="4"/>
  <c r="D45" i="4"/>
  <c r="C45" i="4"/>
  <c r="B45" i="4"/>
  <c r="A45" i="4"/>
  <c r="E44" i="4"/>
  <c r="C44" i="4"/>
  <c r="D44" i="4" s="1"/>
  <c r="B44" i="4"/>
  <c r="A44" i="4"/>
  <c r="E43" i="4"/>
  <c r="D43" i="4"/>
  <c r="C43" i="4"/>
  <c r="B43" i="4"/>
  <c r="A43" i="4"/>
  <c r="E42" i="4"/>
  <c r="C42" i="4"/>
  <c r="D42" i="4" s="1"/>
  <c r="B42" i="4"/>
  <c r="A42" i="4"/>
  <c r="E41" i="4"/>
  <c r="D41" i="4"/>
  <c r="C41" i="4"/>
  <c r="B41" i="4"/>
  <c r="A41" i="4"/>
  <c r="E40" i="4"/>
  <c r="C40" i="4"/>
  <c r="D40" i="4" s="1"/>
  <c r="B40" i="4"/>
  <c r="A40" i="4"/>
  <c r="E39" i="4"/>
  <c r="D39" i="4"/>
  <c r="C39" i="4"/>
  <c r="B39" i="4"/>
  <c r="A39" i="4"/>
  <c r="E38" i="4"/>
  <c r="C38" i="4"/>
  <c r="D38" i="4" s="1"/>
  <c r="B38" i="4"/>
  <c r="A38" i="4"/>
  <c r="E37" i="4"/>
  <c r="D37" i="4"/>
  <c r="C37" i="4"/>
  <c r="B37" i="4"/>
  <c r="A37" i="4"/>
  <c r="E36" i="4"/>
  <c r="C36" i="4"/>
  <c r="D36" i="4" s="1"/>
  <c r="B36" i="4"/>
  <c r="A36" i="4"/>
  <c r="E35" i="4"/>
  <c r="D35" i="4"/>
  <c r="C35" i="4"/>
  <c r="B35" i="4"/>
  <c r="A35" i="4"/>
  <c r="E34" i="4"/>
  <c r="C34" i="4"/>
  <c r="D34" i="4" s="1"/>
  <c r="B34" i="4"/>
  <c r="A34" i="4"/>
  <c r="E33" i="4"/>
  <c r="D33" i="4"/>
  <c r="C33" i="4"/>
  <c r="B33" i="4"/>
  <c r="A33" i="4"/>
  <c r="E32" i="4"/>
  <c r="C32" i="4"/>
  <c r="D32" i="4" s="1"/>
  <c r="B32" i="4"/>
  <c r="A32" i="4"/>
  <c r="E31" i="4"/>
  <c r="D31" i="4"/>
  <c r="C31" i="4"/>
  <c r="B31" i="4"/>
  <c r="A31" i="4"/>
  <c r="E30" i="4"/>
  <c r="C30" i="4"/>
  <c r="D30" i="4" s="1"/>
  <c r="B30" i="4"/>
  <c r="A30" i="4"/>
  <c r="E29" i="4"/>
  <c r="D29" i="4"/>
  <c r="C29" i="4"/>
  <c r="B29" i="4"/>
  <c r="A29" i="4"/>
  <c r="E28" i="4"/>
  <c r="C28" i="4"/>
  <c r="D28" i="4" s="1"/>
  <c r="B28" i="4"/>
  <c r="A28" i="4"/>
  <c r="E27" i="4"/>
  <c r="D27" i="4"/>
  <c r="C27" i="4"/>
  <c r="B27" i="4"/>
  <c r="A27" i="4"/>
  <c r="E26" i="4"/>
  <c r="C26" i="4"/>
  <c r="D26" i="4" s="1"/>
  <c r="B26" i="4"/>
  <c r="A26" i="4"/>
  <c r="E25" i="4"/>
  <c r="D25" i="4"/>
  <c r="C25" i="4"/>
  <c r="B25" i="4"/>
  <c r="A25" i="4"/>
  <c r="E24" i="4"/>
  <c r="C24" i="4"/>
  <c r="D24" i="4" s="1"/>
  <c r="B24" i="4"/>
  <c r="A24" i="4"/>
  <c r="E23" i="4"/>
  <c r="D23" i="4"/>
  <c r="C23" i="4"/>
  <c r="B23" i="4"/>
  <c r="A23" i="4"/>
  <c r="E22" i="4"/>
  <c r="C22" i="4"/>
  <c r="D22" i="4" s="1"/>
  <c r="B22" i="4"/>
  <c r="A22" i="4"/>
  <c r="E21" i="4"/>
  <c r="D21" i="4"/>
  <c r="C21" i="4"/>
  <c r="B21" i="4"/>
  <c r="A21" i="4"/>
  <c r="E20" i="4"/>
  <c r="C20" i="4"/>
  <c r="D20" i="4" s="1"/>
  <c r="B20" i="4"/>
  <c r="A20" i="4"/>
  <c r="E19" i="4"/>
  <c r="D19" i="4"/>
  <c r="C19" i="4"/>
  <c r="B19" i="4"/>
  <c r="A19" i="4"/>
  <c r="E18" i="4"/>
  <c r="C18" i="4"/>
  <c r="D18" i="4" s="1"/>
  <c r="B18" i="4"/>
  <c r="A18" i="4"/>
  <c r="E17" i="4"/>
  <c r="D17" i="4"/>
  <c r="C17" i="4"/>
  <c r="B17" i="4"/>
  <c r="A17" i="4"/>
  <c r="E16" i="4"/>
  <c r="C16" i="4"/>
  <c r="D16" i="4" s="1"/>
  <c r="B16" i="4"/>
  <c r="A16" i="4"/>
  <c r="E15" i="4"/>
  <c r="D15" i="4"/>
  <c r="C15" i="4"/>
  <c r="B15" i="4"/>
  <c r="A15" i="4"/>
  <c r="E14" i="4"/>
  <c r="C14" i="4"/>
  <c r="D14" i="4" s="1"/>
  <c r="B14" i="4"/>
  <c r="A14" i="4"/>
  <c r="E13" i="4"/>
  <c r="D13" i="4"/>
  <c r="C13" i="4"/>
  <c r="B13" i="4"/>
  <c r="A13" i="4"/>
  <c r="E12" i="4"/>
  <c r="C12" i="4"/>
  <c r="D12" i="4" s="1"/>
  <c r="B12" i="4"/>
  <c r="A12" i="4"/>
  <c r="E11" i="4"/>
  <c r="D11" i="4"/>
  <c r="C11" i="4"/>
  <c r="B11" i="4"/>
  <c r="A11" i="4"/>
  <c r="E10" i="4"/>
  <c r="C10" i="4"/>
  <c r="D10" i="4" s="1"/>
  <c r="B10" i="4"/>
  <c r="A10" i="4"/>
  <c r="E9" i="4"/>
  <c r="D9" i="4"/>
  <c r="C9" i="4"/>
  <c r="B9" i="4"/>
  <c r="A9" i="4"/>
  <c r="E8" i="4"/>
  <c r="C8" i="4"/>
  <c r="D8" i="4" s="1"/>
  <c r="B8" i="4"/>
  <c r="A8" i="4"/>
  <c r="E7" i="4"/>
  <c r="D7" i="4"/>
  <c r="C7" i="4"/>
  <c r="B7" i="4"/>
  <c r="A7" i="4"/>
  <c r="E6" i="4"/>
  <c r="C6" i="4"/>
  <c r="D6" i="4" s="1"/>
  <c r="B6" i="4"/>
  <c r="A6" i="4"/>
  <c r="E5" i="4"/>
  <c r="D5" i="4"/>
  <c r="C5" i="4"/>
  <c r="B5" i="4"/>
  <c r="A5" i="4"/>
  <c r="E4" i="4"/>
  <c r="C4" i="4"/>
  <c r="D4" i="4" s="1"/>
  <c r="B4" i="4"/>
  <c r="A4" i="4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M9" i="14" l="1"/>
  <c r="G13" i="5"/>
  <c r="G29" i="5"/>
  <c r="G45" i="5"/>
  <c r="G9" i="5"/>
  <c r="G14" i="5"/>
  <c r="G25" i="5"/>
  <c r="G30" i="5"/>
  <c r="G41" i="5"/>
  <c r="G46" i="5"/>
  <c r="G57" i="5"/>
  <c r="F179" i="5"/>
  <c r="G179" i="5" s="1"/>
  <c r="F182" i="5"/>
  <c r="G182" i="5"/>
  <c r="F203" i="5"/>
  <c r="G203" i="5" s="1"/>
  <c r="F206" i="5"/>
  <c r="G206" i="5"/>
  <c r="F345" i="5"/>
  <c r="G345" i="5"/>
  <c r="F350" i="5"/>
  <c r="G350" i="5" s="1"/>
  <c r="F6" i="5"/>
  <c r="G6" i="5" s="1"/>
  <c r="F10" i="5"/>
  <c r="G10" i="5" s="1"/>
  <c r="F14" i="5"/>
  <c r="F18" i="5"/>
  <c r="G18" i="5" s="1"/>
  <c r="F22" i="5"/>
  <c r="G22" i="5" s="1"/>
  <c r="F26" i="5"/>
  <c r="G26" i="5" s="1"/>
  <c r="F30" i="5"/>
  <c r="F34" i="5"/>
  <c r="G34" i="5" s="1"/>
  <c r="F38" i="5"/>
  <c r="G38" i="5" s="1"/>
  <c r="F42" i="5"/>
  <c r="G42" i="5" s="1"/>
  <c r="F46" i="5"/>
  <c r="F50" i="5"/>
  <c r="G50" i="5" s="1"/>
  <c r="F54" i="5"/>
  <c r="G54" i="5" s="1"/>
  <c r="F58" i="5"/>
  <c r="G58" i="5" s="1"/>
  <c r="G61" i="5"/>
  <c r="G62" i="5"/>
  <c r="F65" i="5"/>
  <c r="G65" i="5" s="1"/>
  <c r="F67" i="5"/>
  <c r="G67" i="5" s="1"/>
  <c r="G77" i="5"/>
  <c r="G78" i="5"/>
  <c r="G85" i="5"/>
  <c r="G86" i="5"/>
  <c r="G93" i="5"/>
  <c r="G94" i="5"/>
  <c r="G101" i="5"/>
  <c r="G102" i="5"/>
  <c r="G109" i="5"/>
  <c r="G110" i="5"/>
  <c r="G117" i="5"/>
  <c r="G118" i="5"/>
  <c r="G125" i="5"/>
  <c r="G126" i="5"/>
  <c r="G133" i="5"/>
  <c r="G134" i="5"/>
  <c r="G141" i="5"/>
  <c r="G142" i="5"/>
  <c r="G149" i="5"/>
  <c r="G150" i="5"/>
  <c r="G157" i="5"/>
  <c r="G158" i="5"/>
  <c r="G165" i="5"/>
  <c r="G166" i="5"/>
  <c r="G173" i="5"/>
  <c r="G174" i="5"/>
  <c r="G184" i="5"/>
  <c r="G188" i="5"/>
  <c r="F195" i="5"/>
  <c r="G195" i="5" s="1"/>
  <c r="F198" i="5"/>
  <c r="G198" i="5"/>
  <c r="F219" i="5"/>
  <c r="G219" i="5" s="1"/>
  <c r="F222" i="5"/>
  <c r="G222" i="5"/>
  <c r="G228" i="5"/>
  <c r="F321" i="5"/>
  <c r="G321" i="5"/>
  <c r="F359" i="5"/>
  <c r="G359" i="5" s="1"/>
  <c r="F374" i="5"/>
  <c r="G374" i="5"/>
  <c r="F419" i="5"/>
  <c r="G419" i="5" s="1"/>
  <c r="F211" i="5"/>
  <c r="G211" i="5" s="1"/>
  <c r="F214" i="5"/>
  <c r="G214" i="5"/>
  <c r="F234" i="5"/>
  <c r="G234" i="5"/>
  <c r="F238" i="5"/>
  <c r="G238" i="5"/>
  <c r="F242" i="5"/>
  <c r="G242" i="5"/>
  <c r="F250" i="5"/>
  <c r="G250" i="5"/>
  <c r="F254" i="5"/>
  <c r="G254" i="5"/>
  <c r="F258" i="5"/>
  <c r="G258" i="5"/>
  <c r="F266" i="5"/>
  <c r="G266" i="5"/>
  <c r="F270" i="5"/>
  <c r="G270" i="5"/>
  <c r="F274" i="5"/>
  <c r="G274" i="5"/>
  <c r="F282" i="5"/>
  <c r="G282" i="5"/>
  <c r="F286" i="5"/>
  <c r="G286" i="5"/>
  <c r="F290" i="5"/>
  <c r="G290" i="5"/>
  <c r="F298" i="5"/>
  <c r="G298" i="5"/>
  <c r="F302" i="5"/>
  <c r="G302" i="5"/>
  <c r="F306" i="5"/>
  <c r="G306" i="5"/>
  <c r="F314" i="5"/>
  <c r="G314" i="5"/>
  <c r="F318" i="5"/>
  <c r="G318" i="5" s="1"/>
  <c r="F394" i="5"/>
  <c r="G394" i="5" s="1"/>
  <c r="F397" i="5"/>
  <c r="G397" i="5"/>
  <c r="F406" i="5"/>
  <c r="G406" i="5" s="1"/>
  <c r="F66" i="5"/>
  <c r="G66" i="5" s="1"/>
  <c r="G69" i="5"/>
  <c r="G70" i="5"/>
  <c r="G73" i="5"/>
  <c r="G74" i="5"/>
  <c r="G81" i="5"/>
  <c r="G82" i="5"/>
  <c r="G89" i="5"/>
  <c r="G90" i="5"/>
  <c r="G97" i="5"/>
  <c r="G98" i="5"/>
  <c r="G105" i="5"/>
  <c r="G106" i="5"/>
  <c r="G113" i="5"/>
  <c r="G114" i="5"/>
  <c r="G121" i="5"/>
  <c r="G122" i="5"/>
  <c r="G129" i="5"/>
  <c r="G130" i="5"/>
  <c r="G137" i="5"/>
  <c r="G138" i="5"/>
  <c r="G145" i="5"/>
  <c r="G146" i="5"/>
  <c r="G153" i="5"/>
  <c r="G154" i="5"/>
  <c r="G161" i="5"/>
  <c r="G162" i="5"/>
  <c r="G169" i="5"/>
  <c r="G170" i="5"/>
  <c r="G177" i="5"/>
  <c r="F187" i="5"/>
  <c r="G187" i="5" s="1"/>
  <c r="F190" i="5"/>
  <c r="G190" i="5"/>
  <c r="G196" i="5"/>
  <c r="G216" i="5"/>
  <c r="G220" i="5"/>
  <c r="G227" i="5"/>
  <c r="F227" i="5"/>
  <c r="F230" i="5"/>
  <c r="G230" i="5"/>
  <c r="F327" i="5"/>
  <c r="G327" i="5" s="1"/>
  <c r="F353" i="5"/>
  <c r="G353" i="5"/>
  <c r="F178" i="5"/>
  <c r="G178" i="5" s="1"/>
  <c r="G191" i="5"/>
  <c r="F194" i="5"/>
  <c r="G194" i="5" s="1"/>
  <c r="G207" i="5"/>
  <c r="F210" i="5"/>
  <c r="G210" i="5" s="1"/>
  <c r="G223" i="5"/>
  <c r="F226" i="5"/>
  <c r="G226" i="5" s="1"/>
  <c r="G235" i="5"/>
  <c r="G239" i="5"/>
  <c r="F239" i="5"/>
  <c r="G244" i="5"/>
  <c r="G251" i="5"/>
  <c r="G255" i="5"/>
  <c r="F255" i="5"/>
  <c r="G260" i="5"/>
  <c r="G267" i="5"/>
  <c r="G271" i="5"/>
  <c r="F271" i="5"/>
  <c r="G276" i="5"/>
  <c r="G283" i="5"/>
  <c r="G287" i="5"/>
  <c r="F287" i="5"/>
  <c r="G292" i="5"/>
  <c r="G299" i="5"/>
  <c r="G303" i="5"/>
  <c r="F303" i="5"/>
  <c r="G308" i="5"/>
  <c r="G315" i="5"/>
  <c r="G323" i="5"/>
  <c r="G346" i="5"/>
  <c r="G355" i="5"/>
  <c r="F502" i="5"/>
  <c r="G502" i="5" s="1"/>
  <c r="F334" i="5"/>
  <c r="G334" i="5" s="1"/>
  <c r="F337" i="5"/>
  <c r="G337" i="5"/>
  <c r="F366" i="5"/>
  <c r="G366" i="5" s="1"/>
  <c r="F369" i="5"/>
  <c r="G369" i="5"/>
  <c r="F403" i="5"/>
  <c r="G403" i="5"/>
  <c r="F413" i="5"/>
  <c r="G413" i="5"/>
  <c r="F454" i="5"/>
  <c r="G454" i="5" s="1"/>
  <c r="F473" i="5"/>
  <c r="G473" i="5"/>
  <c r="G183" i="5"/>
  <c r="F186" i="5"/>
  <c r="G186" i="5" s="1"/>
  <c r="G199" i="5"/>
  <c r="F202" i="5"/>
  <c r="G202" i="5" s="1"/>
  <c r="G215" i="5"/>
  <c r="F218" i="5"/>
  <c r="G218" i="5" s="1"/>
  <c r="G231" i="5"/>
  <c r="G247" i="5"/>
  <c r="G263" i="5"/>
  <c r="G279" i="5"/>
  <c r="G295" i="5"/>
  <c r="G311" i="5"/>
  <c r="G329" i="5"/>
  <c r="G330" i="5"/>
  <c r="G339" i="5"/>
  <c r="G343" i="5"/>
  <c r="G361" i="5"/>
  <c r="G362" i="5"/>
  <c r="G371" i="5"/>
  <c r="F382" i="5"/>
  <c r="G382" i="5" s="1"/>
  <c r="F387" i="5"/>
  <c r="G387" i="5" s="1"/>
  <c r="G442" i="5"/>
  <c r="F442" i="5"/>
  <c r="F445" i="5"/>
  <c r="G445" i="5"/>
  <c r="G447" i="5"/>
  <c r="F447" i="5"/>
  <c r="F461" i="5"/>
  <c r="G461" i="5"/>
  <c r="G463" i="5"/>
  <c r="F463" i="5"/>
  <c r="G243" i="5"/>
  <c r="F246" i="5"/>
  <c r="G246" i="5" s="1"/>
  <c r="G259" i="5"/>
  <c r="F262" i="5"/>
  <c r="G262" i="5" s="1"/>
  <c r="G275" i="5"/>
  <c r="F278" i="5"/>
  <c r="G278" i="5" s="1"/>
  <c r="G291" i="5"/>
  <c r="F294" i="5"/>
  <c r="G294" i="5" s="1"/>
  <c r="G307" i="5"/>
  <c r="F310" i="5"/>
  <c r="G310" i="5" s="1"/>
  <c r="G326" i="5"/>
  <c r="G342" i="5"/>
  <c r="G358" i="5"/>
  <c r="F378" i="5"/>
  <c r="G378" i="5"/>
  <c r="F390" i="5"/>
  <c r="G390" i="5"/>
  <c r="F410" i="5"/>
  <c r="G410" i="5" s="1"/>
  <c r="G415" i="5"/>
  <c r="F425" i="5"/>
  <c r="G425" i="5"/>
  <c r="G438" i="5"/>
  <c r="F438" i="5"/>
  <c r="F467" i="5"/>
  <c r="G467" i="5" s="1"/>
  <c r="G486" i="5"/>
  <c r="F486" i="5"/>
  <c r="F426" i="5"/>
  <c r="G426" i="5" s="1"/>
  <c r="F429" i="5"/>
  <c r="G429" i="5" s="1"/>
  <c r="F451" i="5"/>
  <c r="G451" i="5" s="1"/>
  <c r="G474" i="5"/>
  <c r="F474" i="5"/>
  <c r="F499" i="5"/>
  <c r="G499" i="5" s="1"/>
  <c r="G322" i="5"/>
  <c r="F325" i="5"/>
  <c r="G325" i="5" s="1"/>
  <c r="G338" i="5"/>
  <c r="F341" i="5"/>
  <c r="G341" i="5" s="1"/>
  <c r="G354" i="5"/>
  <c r="F357" i="5"/>
  <c r="G357" i="5" s="1"/>
  <c r="G370" i="5"/>
  <c r="G375" i="5"/>
  <c r="G379" i="5"/>
  <c r="F379" i="5"/>
  <c r="G384" i="5"/>
  <c r="G391" i="5"/>
  <c r="G399" i="5"/>
  <c r="G421" i="5"/>
  <c r="G422" i="5"/>
  <c r="G431" i="5"/>
  <c r="G435" i="5"/>
  <c r="F457" i="5"/>
  <c r="G457" i="5"/>
  <c r="F477" i="5"/>
  <c r="G477" i="5"/>
  <c r="G479" i="5"/>
  <c r="G489" i="5"/>
  <c r="F490" i="5"/>
  <c r="G490" i="5" s="1"/>
  <c r="G383" i="5"/>
  <c r="F386" i="5"/>
  <c r="G386" i="5" s="1"/>
  <c r="G402" i="5"/>
  <c r="G418" i="5"/>
  <c r="G434" i="5"/>
  <c r="F458" i="5"/>
  <c r="G458" i="5" s="1"/>
  <c r="G470" i="5"/>
  <c r="F483" i="5"/>
  <c r="G483" i="5" s="1"/>
  <c r="F493" i="5"/>
  <c r="G493" i="5"/>
  <c r="G495" i="5"/>
  <c r="G398" i="5"/>
  <c r="F401" i="5"/>
  <c r="G401" i="5" s="1"/>
  <c r="G414" i="5"/>
  <c r="F417" i="5"/>
  <c r="G417" i="5" s="1"/>
  <c r="G430" i="5"/>
  <c r="F433" i="5"/>
  <c r="G433" i="5" s="1"/>
  <c r="G446" i="5"/>
  <c r="F449" i="5"/>
  <c r="G449" i="5" s="1"/>
  <c r="G462" i="5"/>
  <c r="F465" i="5"/>
  <c r="G465" i="5" s="1"/>
  <c r="G478" i="5"/>
  <c r="F481" i="5"/>
  <c r="G481" i="5" s="1"/>
  <c r="G494" i="5"/>
  <c r="F497" i="5"/>
  <c r="G497" i="5" s="1"/>
  <c r="G450" i="5"/>
  <c r="G466" i="5"/>
  <c r="G482" i="5"/>
  <c r="G498" i="5"/>
  <c r="F501" i="5"/>
  <c r="G501" i="5" s="1"/>
  <c r="K6" i="12"/>
</calcChain>
</file>

<file path=xl/sharedStrings.xml><?xml version="1.0" encoding="utf-8"?>
<sst xmlns="http://schemas.openxmlformats.org/spreadsheetml/2006/main" count="17622" uniqueCount="2198">
  <si>
    <t>Order_ID</t>
  </si>
  <si>
    <t>Customer_ID</t>
  </si>
  <si>
    <t>Product_ID</t>
  </si>
  <si>
    <t>Order_Date</t>
  </si>
  <si>
    <t>Delivery_Date</t>
  </si>
  <si>
    <t>Customer_Name</t>
  </si>
  <si>
    <t>Gender</t>
  </si>
  <si>
    <t>DOB</t>
  </si>
  <si>
    <t>City</t>
  </si>
  <si>
    <t>Region</t>
  </si>
  <si>
    <t>Category</t>
  </si>
  <si>
    <t>Product_Name</t>
  </si>
  <si>
    <t>Quantity</t>
  </si>
  <si>
    <t>Unit_Price</t>
  </si>
  <si>
    <t>Discount_%</t>
  </si>
  <si>
    <t>Sales</t>
  </si>
  <si>
    <t>Rating</t>
  </si>
  <si>
    <t>Payment_Mode</t>
  </si>
  <si>
    <t>Salesperson</t>
  </si>
  <si>
    <t>Email</t>
  </si>
  <si>
    <t>Phone</t>
  </si>
  <si>
    <t>Order_Status</t>
  </si>
  <si>
    <t>Customer Classification</t>
  </si>
  <si>
    <t>ORD10001</t>
  </si>
  <si>
    <t>C008</t>
  </si>
  <si>
    <t>P202</t>
  </si>
  <si>
    <t>18/09/2025</t>
  </si>
  <si>
    <t>22/09/2025</t>
  </si>
  <si>
    <t>Kavya Nair</t>
  </si>
  <si>
    <t>Female</t>
  </si>
  <si>
    <t>01/08/1976</t>
  </si>
  <si>
    <t>Hyderabad</t>
  </si>
  <si>
    <t>South</t>
  </si>
  <si>
    <t>Home Appliances</t>
  </si>
  <si>
    <t>Iron</t>
  </si>
  <si>
    <t>Cash</t>
  </si>
  <si>
    <t>Ritika</t>
  </si>
  <si>
    <t>KAvya.nair@company.com</t>
  </si>
  <si>
    <t>9431429797</t>
  </si>
  <si>
    <t>Completed</t>
  </si>
  <si>
    <t>ORD10002</t>
  </si>
  <si>
    <t>P104</t>
  </si>
  <si>
    <t>27/04/2025</t>
  </si>
  <si>
    <t>04/05/2025</t>
  </si>
  <si>
    <t>16/10/2000</t>
  </si>
  <si>
    <t>Delhi</t>
  </si>
  <si>
    <t>North</t>
  </si>
  <si>
    <t>Electronics</t>
  </si>
  <si>
    <t>Monitor</t>
  </si>
  <si>
    <t>NetBanking</t>
  </si>
  <si>
    <t>Rahul</t>
  </si>
  <si>
    <t>kavya.nair@company.com</t>
  </si>
  <si>
    <t>9129865339</t>
  </si>
  <si>
    <t>ORD10003</t>
  </si>
  <si>
    <t>C010</t>
  </si>
  <si>
    <t>P101</t>
  </si>
  <si>
    <t>03/09/2025</t>
  </si>
  <si>
    <t>14/09/2025</t>
  </si>
  <si>
    <t>pooja      shah</t>
  </si>
  <si>
    <t>16/09/1994</t>
  </si>
  <si>
    <t>Bengaluru</t>
  </si>
  <si>
    <t>Laptop</t>
  </si>
  <si>
    <t>Aisha</t>
  </si>
  <si>
    <t>pooja.shah@company.com</t>
  </si>
  <si>
    <t>9380975626</t>
  </si>
  <si>
    <t>Pending</t>
  </si>
  <si>
    <t>21/03/2026</t>
  </si>
  <si>
    <t>02/04/2026</t>
  </si>
  <si>
    <t>07/03/2004</t>
  </si>
  <si>
    <t>9600261125</t>
  </si>
  <si>
    <t>Cancelled</t>
  </si>
  <si>
    <t>ORD10005</t>
  </si>
  <si>
    <t>C009</t>
  </si>
  <si>
    <t>P103</t>
  </si>
  <si>
    <t>27/09/2025</t>
  </si>
  <si>
    <t>07/10/2025</t>
  </si>
  <si>
    <t>Mohit     Verma</t>
  </si>
  <si>
    <t>Male</t>
  </si>
  <si>
    <t>13/04/1976</t>
  </si>
  <si>
    <t>Keyboard</t>
  </si>
  <si>
    <t>Card</t>
  </si>
  <si>
    <t>mohit.verma@company.com</t>
  </si>
  <si>
    <t>9724635978</t>
  </si>
  <si>
    <t>ORD10006</t>
  </si>
  <si>
    <t>C007</t>
  </si>
  <si>
    <t>04/01/2026</t>
  </si>
  <si>
    <t>12/01/2026</t>
  </si>
  <si>
    <t>arjun Rao</t>
  </si>
  <si>
    <t>07/02/1988</t>
  </si>
  <si>
    <t>UPI</t>
  </si>
  <si>
    <t>arjun.rao@company.com</t>
  </si>
  <si>
    <t>9780584905</t>
  </si>
  <si>
    <t>ORD10007</t>
  </si>
  <si>
    <t>P201</t>
  </si>
  <si>
    <t>31/02/2025</t>
  </si>
  <si>
    <t>25/02/2026</t>
  </si>
  <si>
    <t>Kavya      Nair</t>
  </si>
  <si>
    <t>20/03/2003</t>
  </si>
  <si>
    <t>Mixer</t>
  </si>
  <si>
    <t>9958252176</t>
  </si>
  <si>
    <t>ORD10008</t>
  </si>
  <si>
    <t>C002</t>
  </si>
  <si>
    <t>13/04/2025</t>
  </si>
  <si>
    <t>19/04/2025</t>
  </si>
  <si>
    <t>Priya Patel</t>
  </si>
  <si>
    <t>07/03/1995</t>
  </si>
  <si>
    <t>Mumbai</t>
  </si>
  <si>
    <t>West</t>
  </si>
  <si>
    <t>priYa.patel@company.com</t>
  </si>
  <si>
    <t>9705521654</t>
  </si>
  <si>
    <t>ORD10009</t>
  </si>
  <si>
    <t>31/01/2026</t>
  </si>
  <si>
    <t>02/02/2026</t>
  </si>
  <si>
    <t>kavya Nair</t>
  </si>
  <si>
    <t>06/04/1997</t>
  </si>
  <si>
    <t>Pune</t>
  </si>
  <si>
    <t>Neha</t>
  </si>
  <si>
    <t>9588041011</t>
  </si>
  <si>
    <t>ORD10010</t>
  </si>
  <si>
    <t>P301</t>
  </si>
  <si>
    <t>25/03/2025</t>
  </si>
  <si>
    <t>27/03/2025</t>
  </si>
  <si>
    <t>07/01/1990</t>
  </si>
  <si>
    <t>Stationery</t>
  </si>
  <si>
    <t>Notebook</t>
  </si>
  <si>
    <t>PRiya.patel@company.com</t>
  </si>
  <si>
    <t>9340540608</t>
  </si>
  <si>
    <t>ORD10011</t>
  </si>
  <si>
    <t>C003</t>
  </si>
  <si>
    <t>19/09/2025</t>
  </si>
  <si>
    <t>23/09/2025</t>
  </si>
  <si>
    <t xml:space="preserve">               Rohit Singh</t>
  </si>
  <si>
    <t>10/05/1982</t>
  </si>
  <si>
    <t>rohit.singh@company.com</t>
  </si>
  <si>
    <t>9521710321</t>
  </si>
  <si>
    <t>ORD10012</t>
  </si>
  <si>
    <t>08/03/2025</t>
  </si>
  <si>
    <t>15/03/2025</t>
  </si>
  <si>
    <t>23/01/1982</t>
  </si>
  <si>
    <t>Ahmedabad</t>
  </si>
  <si>
    <t>9123535241</t>
  </si>
  <si>
    <t>ORD10013</t>
  </si>
  <si>
    <t>10/01/2025</t>
  </si>
  <si>
    <t>15/01/2025</t>
  </si>
  <si>
    <t>06/07/1992</t>
  </si>
  <si>
    <t>priya.patel@company.com</t>
  </si>
  <si>
    <t>9367316892</t>
  </si>
  <si>
    <t>ORD10014</t>
  </si>
  <si>
    <t>09/03/2025</t>
  </si>
  <si>
    <t>13/03/2025</t>
  </si>
  <si>
    <t>rohit Singh</t>
  </si>
  <si>
    <t>19/03/2002</t>
  </si>
  <si>
    <t>Karan</t>
  </si>
  <si>
    <t>rOhit.singh@company.com</t>
  </si>
  <si>
    <t>9778489803</t>
  </si>
  <si>
    <t>ORD10015</t>
  </si>
  <si>
    <t>26/07/2025</t>
  </si>
  <si>
    <t>07/08/2025</t>
  </si>
  <si>
    <t xml:space="preserve">    Kavya nair</t>
  </si>
  <si>
    <t>17/01/2001</t>
  </si>
  <si>
    <t>9582960180</t>
  </si>
  <si>
    <t>ORD10016</t>
  </si>
  <si>
    <t>08/04/2026</t>
  </si>
  <si>
    <t>11/04/2026</t>
  </si>
  <si>
    <t>Pooja Shah</t>
  </si>
  <si>
    <t>11/04/2002</t>
  </si>
  <si>
    <t>pooja.shahcompany.com</t>
  </si>
  <si>
    <t>9611394005</t>
  </si>
  <si>
    <t>ORD10017</t>
  </si>
  <si>
    <t>C004</t>
  </si>
  <si>
    <t>P203</t>
  </si>
  <si>
    <t>22/02/2026</t>
  </si>
  <si>
    <t>03/03/2026</t>
  </si>
  <si>
    <t xml:space="preserve">  Amit Sharma </t>
  </si>
  <si>
    <t>16/01/2002</t>
  </si>
  <si>
    <t>Microwave</t>
  </si>
  <si>
    <t>anita.gupta@company.com</t>
  </si>
  <si>
    <t>9692599404</t>
  </si>
  <si>
    <t>ORD10018</t>
  </si>
  <si>
    <t>28/02/2026</t>
  </si>
  <si>
    <t>05/03/2026</t>
  </si>
  <si>
    <t>Arjun Rao</t>
  </si>
  <si>
    <t>09/10/1989</t>
  </si>
  <si>
    <t>9426119622</t>
  </si>
  <si>
    <t>ORD10019</t>
  </si>
  <si>
    <t>P102</t>
  </si>
  <si>
    <t>01/12/2025</t>
  </si>
  <si>
    <t>04/12/2025</t>
  </si>
  <si>
    <t>arjun rao</t>
  </si>
  <si>
    <t>28/10/1991</t>
  </si>
  <si>
    <t>Mouse</t>
  </si>
  <si>
    <t>arjun.Rao@company.com</t>
  </si>
  <si>
    <t>9184436009</t>
  </si>
  <si>
    <t>ORD10020</t>
  </si>
  <si>
    <t>25/06/2025</t>
  </si>
  <si>
    <t>03/07/2025</t>
  </si>
  <si>
    <t>01/03/1990</t>
  </si>
  <si>
    <t>9263774934</t>
  </si>
  <si>
    <t>ORD10021</t>
  </si>
  <si>
    <t>26/04/2025</t>
  </si>
  <si>
    <t>05/05/2025</t>
  </si>
  <si>
    <t>Rohit Singh</t>
  </si>
  <si>
    <t>18/07/2002</t>
  </si>
  <si>
    <t>electronics</t>
  </si>
  <si>
    <t>9473159572</t>
  </si>
  <si>
    <t>ORD10022</t>
  </si>
  <si>
    <t>03/01/2025</t>
  </si>
  <si>
    <t>08/01/2025</t>
  </si>
  <si>
    <t>15/12/2004</t>
  </si>
  <si>
    <t>9660493688</t>
  </si>
  <si>
    <t>ORD10023</t>
  </si>
  <si>
    <t>30/04/2025</t>
  </si>
  <si>
    <t>04/07/1984</t>
  </si>
  <si>
    <t>Jaipur</t>
  </si>
  <si>
    <t>9513325819</t>
  </si>
  <si>
    <t>ORD10024</t>
  </si>
  <si>
    <t>22/12/2025</t>
  </si>
  <si>
    <t>01/01/2026</t>
  </si>
  <si>
    <t>Mohit Verma</t>
  </si>
  <si>
    <t>25/02/1978</t>
  </si>
  <si>
    <t>9641063242</t>
  </si>
  <si>
    <t>ORD10025</t>
  </si>
  <si>
    <t>C005</t>
  </si>
  <si>
    <t>P302</t>
  </si>
  <si>
    <t>09/04/2026</t>
  </si>
  <si>
    <t>20/04/2026</t>
  </si>
  <si>
    <t>Vikas Mehta</t>
  </si>
  <si>
    <t>03/08/1991</t>
  </si>
  <si>
    <t>Pen</t>
  </si>
  <si>
    <t>vikas.mehta@company.com</t>
  </si>
  <si>
    <t>9277372518</t>
  </si>
  <si>
    <t>ORD10026</t>
  </si>
  <si>
    <t>24/06/2025</t>
  </si>
  <si>
    <t>02/07/2025</t>
  </si>
  <si>
    <t>11/12/1977</t>
  </si>
  <si>
    <t>9193154372</t>
  </si>
  <si>
    <t>ORD10027</t>
  </si>
  <si>
    <t>22/05/2025</t>
  </si>
  <si>
    <t>25/05/2025</t>
  </si>
  <si>
    <t>08/02/1992</t>
  </si>
  <si>
    <t>9400073244</t>
  </si>
  <si>
    <t>ORD10028</t>
  </si>
  <si>
    <t>13/03/2026</t>
  </si>
  <si>
    <t>20/03/2026</t>
  </si>
  <si>
    <t>05/06/2004</t>
  </si>
  <si>
    <t>9771556720</t>
  </si>
  <si>
    <t>ORD10029</t>
  </si>
  <si>
    <t>08/09/2025</t>
  </si>
  <si>
    <t>20/09/2025</t>
  </si>
  <si>
    <t>11/08/2001</t>
  </si>
  <si>
    <t>9127480734</t>
  </si>
  <si>
    <t>ORD10030</t>
  </si>
  <si>
    <t>C006</t>
  </si>
  <si>
    <t>11/01/2026</t>
  </si>
  <si>
    <t>16/01/2026</t>
  </si>
  <si>
    <t>Sneha Joshi</t>
  </si>
  <si>
    <t>04/04/1981</t>
  </si>
  <si>
    <t>sneha.joshi@company.com</t>
  </si>
  <si>
    <t>9512997042</t>
  </si>
  <si>
    <t>ORD10031</t>
  </si>
  <si>
    <t>P303</t>
  </si>
  <si>
    <t>16/06/2025</t>
  </si>
  <si>
    <t>26/06/2025</t>
  </si>
  <si>
    <t>02/07/1996</t>
  </si>
  <si>
    <t>Marker</t>
  </si>
  <si>
    <t>9372748661</t>
  </si>
  <si>
    <t>ORD10032</t>
  </si>
  <si>
    <t>01/07/2025</t>
  </si>
  <si>
    <t>13/07/2025</t>
  </si>
  <si>
    <t>Priya    Patel</t>
  </si>
  <si>
    <t>15/11/1976</t>
  </si>
  <si>
    <t>9570437805</t>
  </si>
  <si>
    <t>ORD10033</t>
  </si>
  <si>
    <t>07/03/2025</t>
  </si>
  <si>
    <t>28/10/1988</t>
  </si>
  <si>
    <t>9310669113</t>
  </si>
  <si>
    <t>ORD10034</t>
  </si>
  <si>
    <t>04/07/2025</t>
  </si>
  <si>
    <t>23/06/2004</t>
  </si>
  <si>
    <t>wrongmail</t>
  </si>
  <si>
    <t>9437132894</t>
  </si>
  <si>
    <t>ORD10035</t>
  </si>
  <si>
    <t>09/10/2025</t>
  </si>
  <si>
    <t>19/10/2025</t>
  </si>
  <si>
    <t>22/04/1996</t>
  </si>
  <si>
    <t>9762437243</t>
  </si>
  <si>
    <t>ORD10036</t>
  </si>
  <si>
    <t>19/11/2025</t>
  </si>
  <si>
    <t>26/11/2025</t>
  </si>
  <si>
    <t>07/07/1979</t>
  </si>
  <si>
    <t>9149046970</t>
  </si>
  <si>
    <t>ORD10037</t>
  </si>
  <si>
    <t>05/11/2025</t>
  </si>
  <si>
    <t>14/11/2025</t>
  </si>
  <si>
    <t>27/09/1980</t>
  </si>
  <si>
    <t>Kolkata</t>
  </si>
  <si>
    <t>East</t>
  </si>
  <si>
    <t>9869182901</t>
  </si>
  <si>
    <t>ORD10038</t>
  </si>
  <si>
    <t>08/03/2026</t>
  </si>
  <si>
    <t>21/06/1980</t>
  </si>
  <si>
    <t>9283578533</t>
  </si>
  <si>
    <t>ORD10039</t>
  </si>
  <si>
    <t>13/02/2025</t>
  </si>
  <si>
    <t>19/02/2025</t>
  </si>
  <si>
    <t>17/06/1979</t>
  </si>
  <si>
    <t xml:space="preserve">1200 </t>
  </si>
  <si>
    <t>9963005771</t>
  </si>
  <si>
    <t>ORD10040</t>
  </si>
  <si>
    <t>05/10/2025</t>
  </si>
  <si>
    <t>15/10/2025</t>
  </si>
  <si>
    <t>18/06/1992</t>
  </si>
  <si>
    <t>9484632635</t>
  </si>
  <si>
    <t>ORD10041</t>
  </si>
  <si>
    <t>10/02/2026</t>
  </si>
  <si>
    <t>12/02/2026</t>
  </si>
  <si>
    <t>06/06/1994</t>
  </si>
  <si>
    <t>9276319484</t>
  </si>
  <si>
    <t>ORD10042</t>
  </si>
  <si>
    <t>04/06/2025</t>
  </si>
  <si>
    <t>22/09/1988</t>
  </si>
  <si>
    <t>9619034852</t>
  </si>
  <si>
    <t>ORD10043</t>
  </si>
  <si>
    <t>08/02/2026</t>
  </si>
  <si>
    <t>14/02/2026</t>
  </si>
  <si>
    <t>14/07/2001</t>
  </si>
  <si>
    <t>9636416962</t>
  </si>
  <si>
    <t>ORD10044</t>
  </si>
  <si>
    <t>C001</t>
  </si>
  <si>
    <t>30/03/2025</t>
  </si>
  <si>
    <t>31/03/2025</t>
  </si>
  <si>
    <t>amit Sharma</t>
  </si>
  <si>
    <t>09/08/1991</t>
  </si>
  <si>
    <t>amit.sharma@company.com</t>
  </si>
  <si>
    <t>9357133880</t>
  </si>
  <si>
    <t>ORD10045</t>
  </si>
  <si>
    <t>25/04/2025</t>
  </si>
  <si>
    <t>28/04/2025</t>
  </si>
  <si>
    <t>21/10/1988</t>
  </si>
  <si>
    <t>9575210324</t>
  </si>
  <si>
    <t>ORD10046</t>
  </si>
  <si>
    <t>13/10/2025</t>
  </si>
  <si>
    <t>23/10/2025</t>
  </si>
  <si>
    <t>19/11/2002</t>
  </si>
  <si>
    <t>9276080204</t>
  </si>
  <si>
    <t>ORD10047</t>
  </si>
  <si>
    <t>11/10/2025</t>
  </si>
  <si>
    <t>14/10/2025</t>
  </si>
  <si>
    <t>06/07/2000</t>
  </si>
  <si>
    <t>sneha.joshicompany.com</t>
  </si>
  <si>
    <t>9856624471</t>
  </si>
  <si>
    <t>ORD10048</t>
  </si>
  <si>
    <t>27/11/2025</t>
  </si>
  <si>
    <t>03/12/2025</t>
  </si>
  <si>
    <t>26/11/1998</t>
  </si>
  <si>
    <t>9238141322</t>
  </si>
  <si>
    <t>ORD10049</t>
  </si>
  <si>
    <t>19/04/2026</t>
  </si>
  <si>
    <t>03/06/1996</t>
  </si>
  <si>
    <t>9890380030</t>
  </si>
  <si>
    <t>ORD10050</t>
  </si>
  <si>
    <t>21/04/2026</t>
  </si>
  <si>
    <t>Anita Gupta</t>
  </si>
  <si>
    <t>15/03/1987</t>
  </si>
  <si>
    <t>9495893170</t>
  </si>
  <si>
    <t>ORD10051</t>
  </si>
  <si>
    <t>28/03/2025</t>
  </si>
  <si>
    <t>07/04/2025</t>
  </si>
  <si>
    <t>POoja Shah</t>
  </si>
  <si>
    <t>20/02/1979</t>
  </si>
  <si>
    <t>9485166307</t>
  </si>
  <si>
    <t>ORD10052</t>
  </si>
  <si>
    <t>25/08/2025</t>
  </si>
  <si>
    <t>28/08/2025</t>
  </si>
  <si>
    <t>09/08/2000</t>
  </si>
  <si>
    <t>9924709648</t>
  </si>
  <si>
    <t>ORD10053</t>
  </si>
  <si>
    <t>19/08/2025</t>
  </si>
  <si>
    <t>23/08/2025</t>
  </si>
  <si>
    <t>17/01/1976</t>
  </si>
  <si>
    <t>9350554626</t>
  </si>
  <si>
    <t>ORD10054</t>
  </si>
  <si>
    <t>27/07/2025</t>
  </si>
  <si>
    <t>05/08/2025</t>
  </si>
  <si>
    <t>04/04/1975</t>
  </si>
  <si>
    <t>9743295580</t>
  </si>
  <si>
    <t>ORD10055</t>
  </si>
  <si>
    <t>21/02/2025</t>
  </si>
  <si>
    <t>26/02/2025</t>
  </si>
  <si>
    <t>RoHit Singh</t>
  </si>
  <si>
    <t>11/12/1976</t>
  </si>
  <si>
    <t>9822926495</t>
  </si>
  <si>
    <t>ORD10056</t>
  </si>
  <si>
    <t>10/08/2025</t>
  </si>
  <si>
    <t>11/08/2025</t>
  </si>
  <si>
    <t>Amit Sharma</t>
  </si>
  <si>
    <t>03/12/1979</t>
  </si>
  <si>
    <t>9518298190</t>
  </si>
  <si>
    <t>ORD10057</t>
  </si>
  <si>
    <t>24/03/2026</t>
  </si>
  <si>
    <t>30/03/2026</t>
  </si>
  <si>
    <t>27/12/1978</t>
  </si>
  <si>
    <t>amit.sharmcompany.com</t>
  </si>
  <si>
    <t>9366223547</t>
  </si>
  <si>
    <t>ORD10058</t>
  </si>
  <si>
    <t>19/03/2026</t>
  </si>
  <si>
    <t>15/04/1975</t>
  </si>
  <si>
    <t>9701988524</t>
  </si>
  <si>
    <t>ORD10059</t>
  </si>
  <si>
    <t>15/06/2025</t>
  </si>
  <si>
    <t>19/12/1988</t>
  </si>
  <si>
    <t>9836327649</t>
  </si>
  <si>
    <t>completed</t>
  </si>
  <si>
    <t>ORD10060</t>
  </si>
  <si>
    <t>05/03/2025</t>
  </si>
  <si>
    <t>06/03/2025</t>
  </si>
  <si>
    <t>07/03/1979</t>
  </si>
  <si>
    <t>Vikas.mehta@company.com</t>
  </si>
  <si>
    <t>9261800516</t>
  </si>
  <si>
    <t>ORD10061</t>
  </si>
  <si>
    <t>17/12/2003</t>
  </si>
  <si>
    <t>9950802015</t>
  </si>
  <si>
    <t>ORD10062</t>
  </si>
  <si>
    <t>16/08/2025</t>
  </si>
  <si>
    <t>05/04/1984</t>
  </si>
  <si>
    <t>9595183767</t>
  </si>
  <si>
    <t>ORD10063</t>
  </si>
  <si>
    <t>13/05/2026</t>
  </si>
  <si>
    <t>20/05/2026</t>
  </si>
  <si>
    <t>13/04/1996</t>
  </si>
  <si>
    <t>9560201307</t>
  </si>
  <si>
    <t>ORD10064</t>
  </si>
  <si>
    <t>01/03/2025</t>
  </si>
  <si>
    <t>08/09/2003</t>
  </si>
  <si>
    <t>9826484650</t>
  </si>
  <si>
    <t>ORD10065</t>
  </si>
  <si>
    <t>09/02/2025</t>
  </si>
  <si>
    <t>12/02/2025</t>
  </si>
  <si>
    <t>24/09/1992</t>
  </si>
  <si>
    <t>9219978007</t>
  </si>
  <si>
    <t>ORD10066</t>
  </si>
  <si>
    <t>09/01/2026</t>
  </si>
  <si>
    <t>10/01/2026</t>
  </si>
  <si>
    <t>19/09/1986</t>
  </si>
  <si>
    <t>9662063276</t>
  </si>
  <si>
    <t>ORD10067</t>
  </si>
  <si>
    <t>01/09/2025</t>
  </si>
  <si>
    <t>05/09/2025</t>
  </si>
  <si>
    <t>28/05/1985</t>
  </si>
  <si>
    <t>9190393639</t>
  </si>
  <si>
    <t>ORD10068</t>
  </si>
  <si>
    <t>09/02/2026</t>
  </si>
  <si>
    <t>27/08/1979</t>
  </si>
  <si>
    <t>9106328582</t>
  </si>
  <si>
    <t>ORD10069</t>
  </si>
  <si>
    <t>14/12/2025</t>
  </si>
  <si>
    <t>19/12/2025</t>
  </si>
  <si>
    <t>22/12/1976</t>
  </si>
  <si>
    <t>9264401015</t>
  </si>
  <si>
    <t>ORD10070</t>
  </si>
  <si>
    <t>10/04/2025</t>
  </si>
  <si>
    <t>05/02/2000</t>
  </si>
  <si>
    <t>9959237375</t>
  </si>
  <si>
    <t>ORD10071</t>
  </si>
  <si>
    <t>24/12/2025</t>
  </si>
  <si>
    <t>03/01/2026</t>
  </si>
  <si>
    <t>24/02/1987</t>
  </si>
  <si>
    <t>Anita.gupta@company.com</t>
  </si>
  <si>
    <t>9561836580</t>
  </si>
  <si>
    <t>ORD10072</t>
  </si>
  <si>
    <t>30/08/2025</t>
  </si>
  <si>
    <t>24/07/1984</t>
  </si>
  <si>
    <t>9512666401</t>
  </si>
  <si>
    <t>ORD10073</t>
  </si>
  <si>
    <t>13/12/2025</t>
  </si>
  <si>
    <t>23/12/2025</t>
  </si>
  <si>
    <t>22/09/1981</t>
  </si>
  <si>
    <t>9808988530</t>
  </si>
  <si>
    <t>ORD10074</t>
  </si>
  <si>
    <t>04/02/2026</t>
  </si>
  <si>
    <t>16/02/2026</t>
  </si>
  <si>
    <t>20/06/1980</t>
  </si>
  <si>
    <t>9286410494</t>
  </si>
  <si>
    <t>ORD10075</t>
  </si>
  <si>
    <t>26/01/2026</t>
  </si>
  <si>
    <t>28/01/2026</t>
  </si>
  <si>
    <t>02/11/1982</t>
  </si>
  <si>
    <t>9311555196</t>
  </si>
  <si>
    <t>ORD10076</t>
  </si>
  <si>
    <t>27/06/2025</t>
  </si>
  <si>
    <t>07/07/2025</t>
  </si>
  <si>
    <t>10/01/1980</t>
  </si>
  <si>
    <t>9101810266</t>
  </si>
  <si>
    <t>ORD10077</t>
  </si>
  <si>
    <t>17/03/2026</t>
  </si>
  <si>
    <t>27/04/1981</t>
  </si>
  <si>
    <t>9464556593</t>
  </si>
  <si>
    <t>ORD10078</t>
  </si>
  <si>
    <t>09/06/2025</t>
  </si>
  <si>
    <t>18/06/2025</t>
  </si>
  <si>
    <t>12/03/1985</t>
  </si>
  <si>
    <t>9338278358</t>
  </si>
  <si>
    <t>ORD10079</t>
  </si>
  <si>
    <t>15/11/2025</t>
  </si>
  <si>
    <t>16/11/2025</t>
  </si>
  <si>
    <t>15/03/1999</t>
  </si>
  <si>
    <t>9621410770</t>
  </si>
  <si>
    <t>ORD10080</t>
  </si>
  <si>
    <t>06/11/2025</t>
  </si>
  <si>
    <t>10/11/2025</t>
  </si>
  <si>
    <t>07/07/1983</t>
  </si>
  <si>
    <t>9981333189</t>
  </si>
  <si>
    <t>ORD10081</t>
  </si>
  <si>
    <t>01/01/2025</t>
  </si>
  <si>
    <t>07/01/2025</t>
  </si>
  <si>
    <t>06/03/1989</t>
  </si>
  <si>
    <t>9723450355</t>
  </si>
  <si>
    <t>ORD10082</t>
  </si>
  <si>
    <t>25/04/2026</t>
  </si>
  <si>
    <t>03/05/2026</t>
  </si>
  <si>
    <t>20/06/1982</t>
  </si>
  <si>
    <t>9886243907</t>
  </si>
  <si>
    <t>ORD10083</t>
  </si>
  <si>
    <t>23/06/2001</t>
  </si>
  <si>
    <t>9473931904</t>
  </si>
  <si>
    <t>ORD10084</t>
  </si>
  <si>
    <t>18/03/2025</t>
  </si>
  <si>
    <t>21/03/2025</t>
  </si>
  <si>
    <t>19/07/1983</t>
  </si>
  <si>
    <t>9287159610</t>
  </si>
  <si>
    <t>ORD10085</t>
  </si>
  <si>
    <t>30/10/2025</t>
  </si>
  <si>
    <t>31/10/2025</t>
  </si>
  <si>
    <t>24/03/1993</t>
  </si>
  <si>
    <t>9876513858</t>
  </si>
  <si>
    <t>ORD10086</t>
  </si>
  <si>
    <t>11/11/2025</t>
  </si>
  <si>
    <t>10/05/1995</t>
  </si>
  <si>
    <t>9237400853</t>
  </si>
  <si>
    <t>ORD10087</t>
  </si>
  <si>
    <t>18/04/2025</t>
  </si>
  <si>
    <t>15/02/2001</t>
  </si>
  <si>
    <t>9599597595</t>
  </si>
  <si>
    <t>ORD10088</t>
  </si>
  <si>
    <t>16/03/2026</t>
  </si>
  <si>
    <t>26/03/2026</t>
  </si>
  <si>
    <t>14/08/1999</t>
  </si>
  <si>
    <t>9230007509</t>
  </si>
  <si>
    <t>ORD10089</t>
  </si>
  <si>
    <t>15/09/2025</t>
  </si>
  <si>
    <t>24/09/2025</t>
  </si>
  <si>
    <t>20/03/2002</t>
  </si>
  <si>
    <t>north</t>
  </si>
  <si>
    <t>9823428025</t>
  </si>
  <si>
    <t>ORD10090</t>
  </si>
  <si>
    <t>11/03/2026</t>
  </si>
  <si>
    <t>13/06/1992</t>
  </si>
  <si>
    <t>9505048912</t>
  </si>
  <si>
    <t>ORD10091</t>
  </si>
  <si>
    <t>20/08/2025</t>
  </si>
  <si>
    <t>18/06/1996</t>
  </si>
  <si>
    <t>9508068393</t>
  </si>
  <si>
    <t>ORD10092</t>
  </si>
  <si>
    <t>13/08/2025</t>
  </si>
  <si>
    <t>14/08/2025</t>
  </si>
  <si>
    <t>08/11/1982</t>
  </si>
  <si>
    <t>9785807771</t>
  </si>
  <si>
    <t>ORD10093</t>
  </si>
  <si>
    <t>16/03/2025</t>
  </si>
  <si>
    <t>20/03/2025</t>
  </si>
  <si>
    <t>25/06/1984</t>
  </si>
  <si>
    <t>9215250979</t>
  </si>
  <si>
    <t>ORD10094</t>
  </si>
  <si>
    <t>04/09/2025</t>
  </si>
  <si>
    <t>10/09/2025</t>
  </si>
  <si>
    <t>21/06/1994</t>
  </si>
  <si>
    <t>9845884906</t>
  </si>
  <si>
    <t>ORD10095</t>
  </si>
  <si>
    <t>12/04/2025</t>
  </si>
  <si>
    <t>15/04/2025</t>
  </si>
  <si>
    <t>17/10/1990</t>
  </si>
  <si>
    <t>9393097397</t>
  </si>
  <si>
    <t>ORD10096</t>
  </si>
  <si>
    <t>04/05/2026</t>
  </si>
  <si>
    <t>07/05/2026</t>
  </si>
  <si>
    <t>28/01/1987</t>
  </si>
  <si>
    <t>9958032109</t>
  </si>
  <si>
    <t>ORD10097</t>
  </si>
  <si>
    <t>18/01/2026</t>
  </si>
  <si>
    <t>27/01/2026</t>
  </si>
  <si>
    <t>21/09/1983</t>
  </si>
  <si>
    <t>9755082957</t>
  </si>
  <si>
    <t>ORD10098</t>
  </si>
  <si>
    <t>14/03/2026</t>
  </si>
  <si>
    <t>04/04/1989</t>
  </si>
  <si>
    <t>9872235856</t>
  </si>
  <si>
    <t>ORD10099</t>
  </si>
  <si>
    <t>09/05/2025</t>
  </si>
  <si>
    <t>11/05/2025</t>
  </si>
  <si>
    <t>25/09/1987</t>
  </si>
  <si>
    <t>9335138816</t>
  </si>
  <si>
    <t>ORD10100</t>
  </si>
  <si>
    <t>10/05/2026</t>
  </si>
  <si>
    <t>07/08/1982</t>
  </si>
  <si>
    <t>9750365609</t>
  </si>
  <si>
    <t>ORD10101</t>
  </si>
  <si>
    <t>21/04/2025</t>
  </si>
  <si>
    <t>29/04/2025</t>
  </si>
  <si>
    <t>17/07/1986</t>
  </si>
  <si>
    <t>9736812737</t>
  </si>
  <si>
    <t>ORD10102</t>
  </si>
  <si>
    <t>11/12/2025</t>
  </si>
  <si>
    <t>20/12/2025</t>
  </si>
  <si>
    <t>06/04/1987</t>
  </si>
  <si>
    <t>9271420931</t>
  </si>
  <si>
    <t>ORD10103</t>
  </si>
  <si>
    <t>15/05/2026</t>
  </si>
  <si>
    <t>25/02/2004</t>
  </si>
  <si>
    <t>9781411370</t>
  </si>
  <si>
    <t>ORD10104</t>
  </si>
  <si>
    <t>13/01/2025</t>
  </si>
  <si>
    <t>20/01/2025</t>
  </si>
  <si>
    <t>24/04/2001</t>
  </si>
  <si>
    <t>9584152818</t>
  </si>
  <si>
    <t>ORD10105</t>
  </si>
  <si>
    <t>17/03/2025</t>
  </si>
  <si>
    <t>01/07/1996</t>
  </si>
  <si>
    <t>9507986836</t>
  </si>
  <si>
    <t>ORD10106</t>
  </si>
  <si>
    <t>25/02/2025</t>
  </si>
  <si>
    <t>06/02/1979</t>
  </si>
  <si>
    <t>9518249687</t>
  </si>
  <si>
    <t>ORD10107</t>
  </si>
  <si>
    <t>27/02/2025</t>
  </si>
  <si>
    <t>12/12/1985</t>
  </si>
  <si>
    <t>9179328207</t>
  </si>
  <si>
    <t>ORD10108</t>
  </si>
  <si>
    <t>18/03/2026</t>
  </si>
  <si>
    <t>28/01/1992</t>
  </si>
  <si>
    <t>9778490728</t>
  </si>
  <si>
    <t>ORD10109</t>
  </si>
  <si>
    <t>10/07/2025</t>
  </si>
  <si>
    <t>12/07/2025</t>
  </si>
  <si>
    <t>05/07/1993</t>
  </si>
  <si>
    <t>9223058722</t>
  </si>
  <si>
    <t>ORD10110</t>
  </si>
  <si>
    <t>18/11/2025</t>
  </si>
  <si>
    <t>13/09/1977</t>
  </si>
  <si>
    <t>9999889465</t>
  </si>
  <si>
    <t>ORD10111</t>
  </si>
  <si>
    <t>11/10/1985</t>
  </si>
  <si>
    <t>9489687402</t>
  </si>
  <si>
    <t>ORD10112</t>
  </si>
  <si>
    <t>09/04/2025</t>
  </si>
  <si>
    <t>02/10/2001</t>
  </si>
  <si>
    <t>9236963301</t>
  </si>
  <si>
    <t>ORD10113</t>
  </si>
  <si>
    <t>03/04/2026</t>
  </si>
  <si>
    <t>10/04/2026</t>
  </si>
  <si>
    <t>08/04/1986</t>
  </si>
  <si>
    <t>9653594592</t>
  </si>
  <si>
    <t>ORD10114</t>
  </si>
  <si>
    <t>28/10/2025</t>
  </si>
  <si>
    <t>21/07/1990</t>
  </si>
  <si>
    <t>9781970426</t>
  </si>
  <si>
    <t>ORD10115</t>
  </si>
  <si>
    <t>03/04/2025</t>
  </si>
  <si>
    <t>14/04/2025</t>
  </si>
  <si>
    <t>11/04/1994</t>
  </si>
  <si>
    <t>9862165194</t>
  </si>
  <si>
    <t>ORD10116</t>
  </si>
  <si>
    <t>04/05/1992</t>
  </si>
  <si>
    <t>9661280388</t>
  </si>
  <si>
    <t>ORD10117</t>
  </si>
  <si>
    <t>24/08/2025</t>
  </si>
  <si>
    <t>31/08/2025</t>
  </si>
  <si>
    <t>13/05/1980</t>
  </si>
  <si>
    <t>9896985355</t>
  </si>
  <si>
    <t>ORD10118</t>
  </si>
  <si>
    <t>31/05/2025</t>
  </si>
  <si>
    <t>11/06/2025</t>
  </si>
  <si>
    <t>07/09/1995</t>
  </si>
  <si>
    <t>9807154421</t>
  </si>
  <si>
    <t>ORD10119</t>
  </si>
  <si>
    <t>30/05/2025</t>
  </si>
  <si>
    <t>02/06/2025</t>
  </si>
  <si>
    <t>08/03/1988</t>
  </si>
  <si>
    <t>Ten</t>
  </si>
  <si>
    <t>9919834000</t>
  </si>
  <si>
    <t>ORD10120</t>
  </si>
  <si>
    <t>07/07/1989</t>
  </si>
  <si>
    <t>9739798818</t>
  </si>
  <si>
    <t>ORD10121</t>
  </si>
  <si>
    <t>16/12/2025</t>
  </si>
  <si>
    <t>11/11/1993</t>
  </si>
  <si>
    <t>9208625306</t>
  </si>
  <si>
    <t>ORD10122</t>
  </si>
  <si>
    <t>01/02/2000</t>
  </si>
  <si>
    <t>9970178536</t>
  </si>
  <si>
    <t>ORD10123</t>
  </si>
  <si>
    <t>22/06/1986</t>
  </si>
  <si>
    <t>9633745195</t>
  </si>
  <si>
    <t>ORD10124</t>
  </si>
  <si>
    <t>20/10/2025</t>
  </si>
  <si>
    <t>26/10/2025</t>
  </si>
  <si>
    <t>16/02/1986</t>
  </si>
  <si>
    <t>9922102053</t>
  </si>
  <si>
    <t>ORD10125</t>
  </si>
  <si>
    <t>21/05/2025</t>
  </si>
  <si>
    <t>18/09/1991</t>
  </si>
  <si>
    <t>9135963930</t>
  </si>
  <si>
    <t>ORD10126</t>
  </si>
  <si>
    <t>02/01/2026</t>
  </si>
  <si>
    <t>06/01/2026</t>
  </si>
  <si>
    <t>04/01/1981</t>
  </si>
  <si>
    <t>9429405275</t>
  </si>
  <si>
    <t>ORD10127</t>
  </si>
  <si>
    <t>26/04/2026</t>
  </si>
  <si>
    <t>12/10/2004</t>
  </si>
  <si>
    <t>9521757571</t>
  </si>
  <si>
    <t>ORD10128</t>
  </si>
  <si>
    <t>04/08/2025</t>
  </si>
  <si>
    <t>25/03/1984</t>
  </si>
  <si>
    <t>9467375455</t>
  </si>
  <si>
    <t>ORD10129</t>
  </si>
  <si>
    <t>18/08/2025</t>
  </si>
  <si>
    <t>09/09/1982</t>
  </si>
  <si>
    <t>9838809695</t>
  </si>
  <si>
    <t>ORD10130</t>
  </si>
  <si>
    <t>15/02/1993</t>
  </si>
  <si>
    <t>9296609782</t>
  </si>
  <si>
    <t>ORD10131</t>
  </si>
  <si>
    <t>27/04/2026</t>
  </si>
  <si>
    <t>30/04/2026</t>
  </si>
  <si>
    <t>08/04/2003</t>
  </si>
  <si>
    <t>9848259992</t>
  </si>
  <si>
    <t>ORD10132</t>
  </si>
  <si>
    <t>17/02/2026</t>
  </si>
  <si>
    <t>20/10/1989</t>
  </si>
  <si>
    <t>9254082295</t>
  </si>
  <si>
    <t>ORD10133</t>
  </si>
  <si>
    <t>04/04/2026</t>
  </si>
  <si>
    <t>15/09/1995</t>
  </si>
  <si>
    <t>9687923860</t>
  </si>
  <si>
    <t>ORD10134</t>
  </si>
  <si>
    <t>07/04/1994</t>
  </si>
  <si>
    <t>9426459149</t>
  </si>
  <si>
    <t>ORD10135</t>
  </si>
  <si>
    <t>02/10/2003</t>
  </si>
  <si>
    <t>9155925975</t>
  </si>
  <si>
    <t>ORD10136</t>
  </si>
  <si>
    <t>08/06/2025</t>
  </si>
  <si>
    <t>10/06/2025</t>
  </si>
  <si>
    <t>14/07/1997</t>
  </si>
  <si>
    <t>9945247701</t>
  </si>
  <si>
    <t>ORD10137</t>
  </si>
  <si>
    <t>25/07/2025</t>
  </si>
  <si>
    <t>01/08/2025</t>
  </si>
  <si>
    <t>09/08/1979</t>
  </si>
  <si>
    <t>9597378398</t>
  </si>
  <si>
    <t>ORD10138</t>
  </si>
  <si>
    <t>16/01/2025</t>
  </si>
  <si>
    <t>21/01/2025</t>
  </si>
  <si>
    <t>20/10/2002</t>
  </si>
  <si>
    <t>9343963736</t>
  </si>
  <si>
    <t>ORD10139</t>
  </si>
  <si>
    <t>04/02/2025</t>
  </si>
  <si>
    <t>05/02/2025</t>
  </si>
  <si>
    <t>24/07/1985</t>
  </si>
  <si>
    <t>9548742147</t>
  </si>
  <si>
    <t>ORD10140</t>
  </si>
  <si>
    <t>22/01/2025</t>
  </si>
  <si>
    <t>30/01/2025</t>
  </si>
  <si>
    <t>23/08/1988</t>
  </si>
  <si>
    <t>9912945471</t>
  </si>
  <si>
    <t>ORD10141</t>
  </si>
  <si>
    <t>11/04/2025</t>
  </si>
  <si>
    <t>09/01/1979</t>
  </si>
  <si>
    <t>9912630684</t>
  </si>
  <si>
    <t>ORD10142</t>
  </si>
  <si>
    <t>14/07/2025</t>
  </si>
  <si>
    <t>25/08/1986</t>
  </si>
  <si>
    <t>9114017237</t>
  </si>
  <si>
    <t>ORD10143</t>
  </si>
  <si>
    <t>29/01/2025</t>
  </si>
  <si>
    <t>01/04/1977</t>
  </si>
  <si>
    <t>9872471236</t>
  </si>
  <si>
    <t>ORD10144</t>
  </si>
  <si>
    <t>17/12/2025</t>
  </si>
  <si>
    <t>18/12/2025</t>
  </si>
  <si>
    <t>04/08/1983</t>
  </si>
  <si>
    <t>9461383824</t>
  </si>
  <si>
    <t>ORD10145</t>
  </si>
  <si>
    <t>10/10/2025</t>
  </si>
  <si>
    <t>21/10/2025</t>
  </si>
  <si>
    <t>07/04/1978</t>
  </si>
  <si>
    <t>9243407457</t>
  </si>
  <si>
    <t>ORD10146</t>
  </si>
  <si>
    <t>07/03/2026</t>
  </si>
  <si>
    <t>10/03/2026</t>
  </si>
  <si>
    <t>04/03/1983</t>
  </si>
  <si>
    <t>9418672379</t>
  </si>
  <si>
    <t>ORD10147</t>
  </si>
  <si>
    <t>27/10/1987</t>
  </si>
  <si>
    <t>9222733065</t>
  </si>
  <si>
    <t>ORD10148</t>
  </si>
  <si>
    <t>19/04/2003</t>
  </si>
  <si>
    <t>9684246902</t>
  </si>
  <si>
    <t>14/02/2002</t>
  </si>
  <si>
    <t>9989580228</t>
  </si>
  <si>
    <t>ORD10150</t>
  </si>
  <si>
    <t>05/07/1975</t>
  </si>
  <si>
    <t>9110269572</t>
  </si>
  <si>
    <t>ORD10151</t>
  </si>
  <si>
    <t>05/03/1992</t>
  </si>
  <si>
    <t>9745972422</t>
  </si>
  <si>
    <t>ORD10152</t>
  </si>
  <si>
    <t>29/11/2025</t>
  </si>
  <si>
    <t>07/12/2025</t>
  </si>
  <si>
    <t>03/06/1998</t>
  </si>
  <si>
    <t>9123712257</t>
  </si>
  <si>
    <t>ORD10153</t>
  </si>
  <si>
    <t>19/07/2025</t>
  </si>
  <si>
    <t>28/09/1996</t>
  </si>
  <si>
    <t>9665525431</t>
  </si>
  <si>
    <t>ORD10154</t>
  </si>
  <si>
    <t>23/03/2025</t>
  </si>
  <si>
    <t>15/12/1995</t>
  </si>
  <si>
    <t>9682415134</t>
  </si>
  <si>
    <t>ORD10155</t>
  </si>
  <si>
    <t>22/07/2025</t>
  </si>
  <si>
    <t>23/07/2025</t>
  </si>
  <si>
    <t>24/07/1976</t>
  </si>
  <si>
    <t>9808223872</t>
  </si>
  <si>
    <t>ORD10156</t>
  </si>
  <si>
    <t>21/07/2025</t>
  </si>
  <si>
    <t>24/07/2025</t>
  </si>
  <si>
    <t>22/06/1984</t>
  </si>
  <si>
    <t>9193549730</t>
  </si>
  <si>
    <t>ORD10157</t>
  </si>
  <si>
    <t>29/07/2025</t>
  </si>
  <si>
    <t>06/08/1998</t>
  </si>
  <si>
    <t>9520617130</t>
  </si>
  <si>
    <t>ORD10158</t>
  </si>
  <si>
    <t>18/06/2001</t>
  </si>
  <si>
    <t>9264578122</t>
  </si>
  <si>
    <t>ORD10159</t>
  </si>
  <si>
    <t>23/05/2026</t>
  </si>
  <si>
    <t>11/09/1999</t>
  </si>
  <si>
    <t>9275071213</t>
  </si>
  <si>
    <t>ORD10160</t>
  </si>
  <si>
    <t>07/12/1995</t>
  </si>
  <si>
    <t>9715222543</t>
  </si>
  <si>
    <t>ORD10161</t>
  </si>
  <si>
    <t>Amit    Sharma</t>
  </si>
  <si>
    <t>22/07/1999</t>
  </si>
  <si>
    <t>9942010833</t>
  </si>
  <si>
    <t>ORD10162</t>
  </si>
  <si>
    <t>14/11/2000</t>
  </si>
  <si>
    <t>9347718932</t>
  </si>
  <si>
    <t>ORD10163</t>
  </si>
  <si>
    <t>17/09/2025</t>
  </si>
  <si>
    <t>24/07/2002</t>
  </si>
  <si>
    <t>9274808844</t>
  </si>
  <si>
    <t>ORD10164</t>
  </si>
  <si>
    <t>04/11/2025</t>
  </si>
  <si>
    <t>13/11/2025</t>
  </si>
  <si>
    <t>25/02/2002</t>
  </si>
  <si>
    <t>9798996063</t>
  </si>
  <si>
    <t>ORD10165</t>
  </si>
  <si>
    <t>16/07/1980</t>
  </si>
  <si>
    <t>9145200936</t>
  </si>
  <si>
    <t>ORD10166</t>
  </si>
  <si>
    <t>19/06/2025</t>
  </si>
  <si>
    <t>25/05/1996</t>
  </si>
  <si>
    <t>9697654418</t>
  </si>
  <si>
    <t>ORD10167</t>
  </si>
  <si>
    <t>26/03/2025</t>
  </si>
  <si>
    <t>06/04/2025</t>
  </si>
  <si>
    <t>11/05/1986</t>
  </si>
  <si>
    <t>9457923119</t>
  </si>
  <si>
    <t>ORD10168</t>
  </si>
  <si>
    <t>06/07/2025</t>
  </si>
  <si>
    <t>25/05/1989</t>
  </si>
  <si>
    <t>9236111271</t>
  </si>
  <si>
    <t>ORD10169</t>
  </si>
  <si>
    <t>25/08/1989</t>
  </si>
  <si>
    <t>9402569141</t>
  </si>
  <si>
    <t>ORD10170</t>
  </si>
  <si>
    <t>20/05/1997</t>
  </si>
  <si>
    <t>9138184056</t>
  </si>
  <si>
    <t>ORD10171</t>
  </si>
  <si>
    <t>01/04/2026</t>
  </si>
  <si>
    <t>07/04/2026</t>
  </si>
  <si>
    <t>03/05/1987</t>
  </si>
  <si>
    <t>9609598700</t>
  </si>
  <si>
    <t>ORD10172</t>
  </si>
  <si>
    <t>29/10/2025</t>
  </si>
  <si>
    <t>02/12/2002</t>
  </si>
  <si>
    <t>9385894399</t>
  </si>
  <si>
    <t>ORD10173</t>
  </si>
  <si>
    <t>06/02/2025</t>
  </si>
  <si>
    <t>17/02/2025</t>
  </si>
  <si>
    <t>25/05/1986</t>
  </si>
  <si>
    <t>9329448011</t>
  </si>
  <si>
    <t>ORD10174</t>
  </si>
  <si>
    <t xml:space="preserve">       Vikas Mehta</t>
  </si>
  <si>
    <t>22/02/1986</t>
  </si>
  <si>
    <t>vikas.mehtacompany.com</t>
  </si>
  <si>
    <t>9889544104</t>
  </si>
  <si>
    <t>ORD10175</t>
  </si>
  <si>
    <t>14/03/2025</t>
  </si>
  <si>
    <t>07/04/1988</t>
  </si>
  <si>
    <t>9101861045</t>
  </si>
  <si>
    <t>ORD10176</t>
  </si>
  <si>
    <t>16/07/2025</t>
  </si>
  <si>
    <t>27/06/1993</t>
  </si>
  <si>
    <t>9364712105</t>
  </si>
  <si>
    <t>ORD10177</t>
  </si>
  <si>
    <t>02/12/2025</t>
  </si>
  <si>
    <t>Sneha      Joshi</t>
  </si>
  <si>
    <t>18/06/2004</t>
  </si>
  <si>
    <t>9950206376</t>
  </si>
  <si>
    <t>ORD10178</t>
  </si>
  <si>
    <t>21/02/2026</t>
  </si>
  <si>
    <t>09/09/1993</t>
  </si>
  <si>
    <t>9235822094</t>
  </si>
  <si>
    <t>ORD10179</t>
  </si>
  <si>
    <t>09/11/2025</t>
  </si>
  <si>
    <t>Priya  Patel</t>
  </si>
  <si>
    <t>13/09/2001</t>
  </si>
  <si>
    <t>9311021344</t>
  </si>
  <si>
    <t>ORD10180</t>
  </si>
  <si>
    <t>07/02/2025</t>
  </si>
  <si>
    <t>15/11/1981</t>
  </si>
  <si>
    <t>9891358505</t>
  </si>
  <si>
    <t>ORD10181</t>
  </si>
  <si>
    <t>26/05/2025</t>
  </si>
  <si>
    <t>12/09/1980</t>
  </si>
  <si>
    <t>9910085332</t>
  </si>
  <si>
    <t>ORD10182</t>
  </si>
  <si>
    <t>04/10/2025</t>
  </si>
  <si>
    <t>06/10/2025</t>
  </si>
  <si>
    <t>9756908023</t>
  </si>
  <si>
    <t>ORD10183</t>
  </si>
  <si>
    <t>15/05/2025</t>
  </si>
  <si>
    <t>19/02/1988</t>
  </si>
  <si>
    <t>9645913247</t>
  </si>
  <si>
    <t>ORD10184</t>
  </si>
  <si>
    <t>14/06/2025</t>
  </si>
  <si>
    <t>23/06/2025</t>
  </si>
  <si>
    <t>03/12/1981</t>
  </si>
  <si>
    <t>9806914795</t>
  </si>
  <si>
    <t>ORD10185</t>
  </si>
  <si>
    <t>22/04/2025</t>
  </si>
  <si>
    <t>11/02/1984</t>
  </si>
  <si>
    <t>9276222829</t>
  </si>
  <si>
    <t>ORD10186</t>
  </si>
  <si>
    <t>24/01/2025</t>
  </si>
  <si>
    <t>07/12/1991</t>
  </si>
  <si>
    <t>9533835528</t>
  </si>
  <si>
    <t>ORD10187</t>
  </si>
  <si>
    <t>26/12/2025</t>
  </si>
  <si>
    <t>21/02/1976</t>
  </si>
  <si>
    <t>9654885820</t>
  </si>
  <si>
    <t>ORD10188</t>
  </si>
  <si>
    <t>28/06/2025</t>
  </si>
  <si>
    <t>28/08/1975</t>
  </si>
  <si>
    <t>9456029544</t>
  </si>
  <si>
    <t>ORD10189</t>
  </si>
  <si>
    <t>12/05/2026</t>
  </si>
  <si>
    <t>22/05/2026</t>
  </si>
  <si>
    <t>05/12/1987</t>
  </si>
  <si>
    <t>9914571493</t>
  </si>
  <si>
    <t>ORD10190</t>
  </si>
  <si>
    <t>26/08/2004</t>
  </si>
  <si>
    <t>9270726986</t>
  </si>
  <si>
    <t>ORD10191</t>
  </si>
  <si>
    <t>16/01/1994</t>
  </si>
  <si>
    <t>9570080664</t>
  </si>
  <si>
    <t>ORD10192</t>
  </si>
  <si>
    <t>20/11/2025</t>
  </si>
  <si>
    <t>28/10/2003</t>
  </si>
  <si>
    <t>9109009524</t>
  </si>
  <si>
    <t>ORD10193</t>
  </si>
  <si>
    <t>16/05/2000</t>
  </si>
  <si>
    <t>9701276770</t>
  </si>
  <si>
    <t>ORD10194</t>
  </si>
  <si>
    <t>16/02/2025</t>
  </si>
  <si>
    <t>18/02/2025</t>
  </si>
  <si>
    <t>04/07/1989</t>
  </si>
  <si>
    <t>9298278507</t>
  </si>
  <si>
    <t>ORD10195</t>
  </si>
  <si>
    <t>09/03/1998</t>
  </si>
  <si>
    <t>9895908093</t>
  </si>
  <si>
    <t>ORD10196</t>
  </si>
  <si>
    <t>21/05/1988</t>
  </si>
  <si>
    <t>9734108795</t>
  </si>
  <si>
    <t>ORD10197</t>
  </si>
  <si>
    <t>14/01/2026</t>
  </si>
  <si>
    <t>18/07/1994</t>
  </si>
  <si>
    <t>9799597413</t>
  </si>
  <si>
    <t>ORD10198</t>
  </si>
  <si>
    <t>15/11/1977</t>
  </si>
  <si>
    <t>9688987266</t>
  </si>
  <si>
    <t>ORD10199</t>
  </si>
  <si>
    <t>15/04/2026</t>
  </si>
  <si>
    <t>22/09/1982</t>
  </si>
  <si>
    <t>Stationary</t>
  </si>
  <si>
    <t>9867169037</t>
  </si>
  <si>
    <t>ORD10200</t>
  </si>
  <si>
    <t>20/02/2025</t>
  </si>
  <si>
    <t>14/09/1994</t>
  </si>
  <si>
    <t>9485547425</t>
  </si>
  <si>
    <t>ORD10201</t>
  </si>
  <si>
    <t>02/12/1995</t>
  </si>
  <si>
    <t>9889733076</t>
  </si>
  <si>
    <t>ORD10202</t>
  </si>
  <si>
    <t>24/05/2025</t>
  </si>
  <si>
    <t>27/05/2025</t>
  </si>
  <si>
    <t>10/07/1985</t>
  </si>
  <si>
    <t>9145434449</t>
  </si>
  <si>
    <t>ORD10203</t>
  </si>
  <si>
    <t>25/03/2001</t>
  </si>
  <si>
    <t>9598942148</t>
  </si>
  <si>
    <t>ORD10204</t>
  </si>
  <si>
    <t>09/03/2026</t>
  </si>
  <si>
    <t>9599252705</t>
  </si>
  <si>
    <t>ORD10205</t>
  </si>
  <si>
    <t>14/01/2003</t>
  </si>
  <si>
    <t>9626843681</t>
  </si>
  <si>
    <t>ORD10206</t>
  </si>
  <si>
    <t>12/03/2025</t>
  </si>
  <si>
    <t>02/10/1980</t>
  </si>
  <si>
    <t>9934933215</t>
  </si>
  <si>
    <t>ORD10207</t>
  </si>
  <si>
    <t>06/04/2026</t>
  </si>
  <si>
    <t>24/10/1990</t>
  </si>
  <si>
    <t>9508025585</t>
  </si>
  <si>
    <t>ORD10208</t>
  </si>
  <si>
    <t>17/01/2026</t>
  </si>
  <si>
    <t>20/01/2026</t>
  </si>
  <si>
    <t>24/09/1977</t>
  </si>
  <si>
    <t>9364681052</t>
  </si>
  <si>
    <t>ORD10209</t>
  </si>
  <si>
    <t>24/11/2025</t>
  </si>
  <si>
    <t>02/10/1996</t>
  </si>
  <si>
    <t>9117102884</t>
  </si>
  <si>
    <t>ORD10210</t>
  </si>
  <si>
    <t>21/09/2025</t>
  </si>
  <si>
    <t>17/05/1976</t>
  </si>
  <si>
    <t>9819453185</t>
  </si>
  <si>
    <t>ORD10211</t>
  </si>
  <si>
    <t>27/12/2025</t>
  </si>
  <si>
    <t>09/12/1987</t>
  </si>
  <si>
    <t>9511806701</t>
  </si>
  <si>
    <t>ORD10212</t>
  </si>
  <si>
    <t>16/07/1990</t>
  </si>
  <si>
    <t>9875249891</t>
  </si>
  <si>
    <t>ORD10213</t>
  </si>
  <si>
    <t>9438232503</t>
  </si>
  <si>
    <t>ORD10214</t>
  </si>
  <si>
    <t>22/04/2026</t>
  </si>
  <si>
    <t>26/12/1977</t>
  </si>
  <si>
    <t>9449953754</t>
  </si>
  <si>
    <t>ORD10215</t>
  </si>
  <si>
    <t>06/03/2026</t>
  </si>
  <si>
    <t>04/06/1995</t>
  </si>
  <si>
    <t>9833801891</t>
  </si>
  <si>
    <t>ORD10216</t>
  </si>
  <si>
    <t>28/02/2025</t>
  </si>
  <si>
    <t>16/11/1983</t>
  </si>
  <si>
    <t>9183949273</t>
  </si>
  <si>
    <t>ORD10217</t>
  </si>
  <si>
    <t>07/11/2025</t>
  </si>
  <si>
    <t>10/10/1985</t>
  </si>
  <si>
    <t>9168257367</t>
  </si>
  <si>
    <t>ORD10218</t>
  </si>
  <si>
    <t>30/01/2026</t>
  </si>
  <si>
    <t>07/01/2002</t>
  </si>
  <si>
    <t>9580903210</t>
  </si>
  <si>
    <t>ORD10219</t>
  </si>
  <si>
    <t>29/04/2026</t>
  </si>
  <si>
    <t>18/07/1999</t>
  </si>
  <si>
    <t>9602152945</t>
  </si>
  <si>
    <t>ORD10220</t>
  </si>
  <si>
    <t>18/05/2025</t>
  </si>
  <si>
    <t>20/05/2025</t>
  </si>
  <si>
    <t>02/09/1990</t>
  </si>
  <si>
    <t>9646917552</t>
  </si>
  <si>
    <t>ORD10221</t>
  </si>
  <si>
    <t>28/03/2026</t>
  </si>
  <si>
    <t>02/08/1992</t>
  </si>
  <si>
    <t>9127548552</t>
  </si>
  <si>
    <t>ORD10222</t>
  </si>
  <si>
    <t>19/01/2026</t>
  </si>
  <si>
    <t>09/02/1980</t>
  </si>
  <si>
    <t>9712805603</t>
  </si>
  <si>
    <t>ORD10223</t>
  </si>
  <si>
    <t>02/05/2026</t>
  </si>
  <si>
    <t>18/02/1989</t>
  </si>
  <si>
    <t>9798313682</t>
  </si>
  <si>
    <t>ORD10224</t>
  </si>
  <si>
    <t>02/11/2025</t>
  </si>
  <si>
    <t>10/09/1993</t>
  </si>
  <si>
    <t>9642822397</t>
  </si>
  <si>
    <t>ORD10225</t>
  </si>
  <si>
    <t>20/07/2025</t>
  </si>
  <si>
    <t>17/11/1981</t>
  </si>
  <si>
    <t>9490067655</t>
  </si>
  <si>
    <t>ORD10226</t>
  </si>
  <si>
    <t>24/02/2025</t>
  </si>
  <si>
    <t>24/08/2003</t>
  </si>
  <si>
    <t>9389792144</t>
  </si>
  <si>
    <t>ORD10227</t>
  </si>
  <si>
    <t>20/04/2025</t>
  </si>
  <si>
    <t>01/05/2025</t>
  </si>
  <si>
    <t>19/07/1985</t>
  </si>
  <si>
    <t>9736113863</t>
  </si>
  <si>
    <t>ORD10228</t>
  </si>
  <si>
    <t>05/06/2025</t>
  </si>
  <si>
    <t>13/06/2025</t>
  </si>
  <si>
    <t>10/05/1994</t>
  </si>
  <si>
    <t>9324634732</t>
  </si>
  <si>
    <t>ORD10229</t>
  </si>
  <si>
    <t>23/05/2025</t>
  </si>
  <si>
    <t>23/03/1993</t>
  </si>
  <si>
    <t>9529968110</t>
  </si>
  <si>
    <t>ORD10230</t>
  </si>
  <si>
    <t>24/01/2026</t>
  </si>
  <si>
    <t>13/06/1979</t>
  </si>
  <si>
    <t>9102417647</t>
  </si>
  <si>
    <t>ORD10231</t>
  </si>
  <si>
    <t>24/01/1991</t>
  </si>
  <si>
    <t>9630302865</t>
  </si>
  <si>
    <t>ORD10232</t>
  </si>
  <si>
    <t>22/02/2004</t>
  </si>
  <si>
    <t>9465353780</t>
  </si>
  <si>
    <t>ORD10233</t>
  </si>
  <si>
    <t>25/04/1977</t>
  </si>
  <si>
    <t>9837426414</t>
  </si>
  <si>
    <t>ORD10234</t>
  </si>
  <si>
    <t>20/02/2026</t>
  </si>
  <si>
    <t>04/03/2026</t>
  </si>
  <si>
    <t>22/07/1994</t>
  </si>
  <si>
    <t>9249918272</t>
  </si>
  <si>
    <t>ORD10235</t>
  </si>
  <si>
    <t>11/11/1979</t>
  </si>
  <si>
    <t>9265580582</t>
  </si>
  <si>
    <t>ORD10236</t>
  </si>
  <si>
    <t>09/07/2025</t>
  </si>
  <si>
    <t>27/05/1995</t>
  </si>
  <si>
    <t>9751049833</t>
  </si>
  <si>
    <t>ORD10237</t>
  </si>
  <si>
    <t>08/02/2025</t>
  </si>
  <si>
    <t>18/06/1998</t>
  </si>
  <si>
    <t>9741671507</t>
  </si>
  <si>
    <t>ORD10238</t>
  </si>
  <si>
    <t>04/03/2025</t>
  </si>
  <si>
    <t>21/01/1983</t>
  </si>
  <si>
    <t>9367541035</t>
  </si>
  <si>
    <t>ORD10239</t>
  </si>
  <si>
    <t>06/02/2026</t>
  </si>
  <si>
    <t>03/03/1978</t>
  </si>
  <si>
    <t>9323696971</t>
  </si>
  <si>
    <t>ORD10240</t>
  </si>
  <si>
    <t>08/01/2026</t>
  </si>
  <si>
    <t>24/06/1997</t>
  </si>
  <si>
    <t>9786384529</t>
  </si>
  <si>
    <t>ORD10241</t>
  </si>
  <si>
    <t>25/08/1976</t>
  </si>
  <si>
    <t>9444900541</t>
  </si>
  <si>
    <t>ORD10242</t>
  </si>
  <si>
    <t>12/09/2025</t>
  </si>
  <si>
    <t>04/04/1996</t>
  </si>
  <si>
    <t>9108024911</t>
  </si>
  <si>
    <t>ORD10243</t>
  </si>
  <si>
    <t>13/01/2026</t>
  </si>
  <si>
    <t>09/10/2001</t>
  </si>
  <si>
    <t>9897181325</t>
  </si>
  <si>
    <t>ORD10244</t>
  </si>
  <si>
    <t>16/05/2026</t>
  </si>
  <si>
    <t>19/05/2026</t>
  </si>
  <si>
    <t>11/04/1995</t>
  </si>
  <si>
    <t>9554719621</t>
  </si>
  <si>
    <t>ORD10245</t>
  </si>
  <si>
    <t>04/05/2000</t>
  </si>
  <si>
    <t>9815899217</t>
  </si>
  <si>
    <t>ORD10246</t>
  </si>
  <si>
    <t>01/06/2025</t>
  </si>
  <si>
    <t>01/03/2002</t>
  </si>
  <si>
    <t>9308497039</t>
  </si>
  <si>
    <t>ORD10247</t>
  </si>
  <si>
    <t>27/05/1975</t>
  </si>
  <si>
    <t>9882054354</t>
  </si>
  <si>
    <t>ORD10248</t>
  </si>
  <si>
    <t>02/12/1988</t>
  </si>
  <si>
    <t>9193016830</t>
  </si>
  <si>
    <t>ORD10249</t>
  </si>
  <si>
    <t>28/12/2025</t>
  </si>
  <si>
    <t>05/01/2026</t>
  </si>
  <si>
    <t>06/12/1984</t>
  </si>
  <si>
    <t>Crypto</t>
  </si>
  <si>
    <t>9921470418</t>
  </si>
  <si>
    <t>ORD10250</t>
  </si>
  <si>
    <t>17/05/2025</t>
  </si>
  <si>
    <t>01/05/1990</t>
  </si>
  <si>
    <t>9686979026</t>
  </si>
  <si>
    <t>ORD10251</t>
  </si>
  <si>
    <t>09/02/1988</t>
  </si>
  <si>
    <t>9569007422</t>
  </si>
  <si>
    <t>ORD10252</t>
  </si>
  <si>
    <t>28/03/1982</t>
  </si>
  <si>
    <t>9180820441</t>
  </si>
  <si>
    <t>ORD10253</t>
  </si>
  <si>
    <t>15/12/2025</t>
  </si>
  <si>
    <t>28/12/1976</t>
  </si>
  <si>
    <t>9769075826</t>
  </si>
  <si>
    <t>ORD10254</t>
  </si>
  <si>
    <t>03/08/2003</t>
  </si>
  <si>
    <t>9467916296</t>
  </si>
  <si>
    <t>ORD10255</t>
  </si>
  <si>
    <t>01/10/2025</t>
  </si>
  <si>
    <t>06/05/1986</t>
  </si>
  <si>
    <t>9477052923</t>
  </si>
  <si>
    <t>ORD10256</t>
  </si>
  <si>
    <t>03/11/2025</t>
  </si>
  <si>
    <t>04/02/1989</t>
  </si>
  <si>
    <t>9184311420</t>
  </si>
  <si>
    <t>ORD10257</t>
  </si>
  <si>
    <t>08/02/1980</t>
  </si>
  <si>
    <t>9630913127</t>
  </si>
  <si>
    <t>ORD10258</t>
  </si>
  <si>
    <t>13/01/1985</t>
  </si>
  <si>
    <t>9997515828</t>
  </si>
  <si>
    <t>ORD10259</t>
  </si>
  <si>
    <t>24/07/1979</t>
  </si>
  <si>
    <t>9394291182</t>
  </si>
  <si>
    <t>ORD10260</t>
  </si>
  <si>
    <t>09/05/2026</t>
  </si>
  <si>
    <t>03/08/1993</t>
  </si>
  <si>
    <t>9616853220</t>
  </si>
  <si>
    <t>ORD10261</t>
  </si>
  <si>
    <t>30/07/2025</t>
  </si>
  <si>
    <t>23/08/1975</t>
  </si>
  <si>
    <t>9147552626</t>
  </si>
  <si>
    <t>ORD10262</t>
  </si>
  <si>
    <t>23/04/1978</t>
  </si>
  <si>
    <t>9724197033</t>
  </si>
  <si>
    <t>ORD10263</t>
  </si>
  <si>
    <t>08/07/2025</t>
  </si>
  <si>
    <t>25/09/2003</t>
  </si>
  <si>
    <t>9130666128</t>
  </si>
  <si>
    <t>ORD10264</t>
  </si>
  <si>
    <t>12/12/2025</t>
  </si>
  <si>
    <t>09/04/2002</t>
  </si>
  <si>
    <t>9866567601</t>
  </si>
  <si>
    <t>ORD10265</t>
  </si>
  <si>
    <t>24/09/1985</t>
  </si>
  <si>
    <t>9477282450</t>
  </si>
  <si>
    <t>ORD10266</t>
  </si>
  <si>
    <t>12/12/1984</t>
  </si>
  <si>
    <t>9857621478</t>
  </si>
  <si>
    <t>ORD10267</t>
  </si>
  <si>
    <t>03/05/2025</t>
  </si>
  <si>
    <t>20/07/1984</t>
  </si>
  <si>
    <t>9753869055</t>
  </si>
  <si>
    <t>ORD10268</t>
  </si>
  <si>
    <t>09/01/2025</t>
  </si>
  <si>
    <t>12/01/2025</t>
  </si>
  <si>
    <t>15/03/1988</t>
  </si>
  <si>
    <t>9663266204</t>
  </si>
  <si>
    <t>ORD10269</t>
  </si>
  <si>
    <t>27/05/1987</t>
  </si>
  <si>
    <t>9675208616</t>
  </si>
  <si>
    <t>ORD10270</t>
  </si>
  <si>
    <t>25/10/1988</t>
  </si>
  <si>
    <t>9618393586</t>
  </si>
  <si>
    <t>ORD10271</t>
  </si>
  <si>
    <t>17/04/2025</t>
  </si>
  <si>
    <t>12/12/1990</t>
  </si>
  <si>
    <t>9137027840</t>
  </si>
  <si>
    <t>ORD10272</t>
  </si>
  <si>
    <t>09/08/2025</t>
  </si>
  <si>
    <t>23/02/1981</t>
  </si>
  <si>
    <t>9362758134</t>
  </si>
  <si>
    <t>ORD10273</t>
  </si>
  <si>
    <t>16/04/2026</t>
  </si>
  <si>
    <t>03/04/1985</t>
  </si>
  <si>
    <t>9648541985</t>
  </si>
  <si>
    <t>ORD10274</t>
  </si>
  <si>
    <t>22/06/2025</t>
  </si>
  <si>
    <t>06/08/1976</t>
  </si>
  <si>
    <t>9175002781</t>
  </si>
  <si>
    <t>ORD10275</t>
  </si>
  <si>
    <t>19/05/2025</t>
  </si>
  <si>
    <t>13/05/1978</t>
  </si>
  <si>
    <t>9786241263</t>
  </si>
  <si>
    <t>ORD10276</t>
  </si>
  <si>
    <t>29/03/2025</t>
  </si>
  <si>
    <t>19/08/1998</t>
  </si>
  <si>
    <t>9691078176</t>
  </si>
  <si>
    <t>ORD10277</t>
  </si>
  <si>
    <t>18/02/2026</t>
  </si>
  <si>
    <t>20/10/1975</t>
  </si>
  <si>
    <t>9336679085</t>
  </si>
  <si>
    <t>ORD10278</t>
  </si>
  <si>
    <t>21/01/2026</t>
  </si>
  <si>
    <t>29/01/2026</t>
  </si>
  <si>
    <t>28/09/1975</t>
  </si>
  <si>
    <t>9497351043</t>
  </si>
  <si>
    <t>ORD10279</t>
  </si>
  <si>
    <t>29/09/2025</t>
  </si>
  <si>
    <t>23/09/2002</t>
  </si>
  <si>
    <t>9357038998</t>
  </si>
  <si>
    <t>ORD10280</t>
  </si>
  <si>
    <t>30/06/2025</t>
  </si>
  <si>
    <t>17/06/1988</t>
  </si>
  <si>
    <t>9986371291</t>
  </si>
  <si>
    <t>ORD10281</t>
  </si>
  <si>
    <t>12/05/2025</t>
  </si>
  <si>
    <t>16/05/2025</t>
  </si>
  <si>
    <t>02/02/1991</t>
  </si>
  <si>
    <t>9397839191</t>
  </si>
  <si>
    <t>ORD10282</t>
  </si>
  <si>
    <t>06/09/2025</t>
  </si>
  <si>
    <t>09/08/1978</t>
  </si>
  <si>
    <t>9162975843</t>
  </si>
  <si>
    <t>ORD10283</t>
  </si>
  <si>
    <t>23/04/2025</t>
  </si>
  <si>
    <t>02/02/1994</t>
  </si>
  <si>
    <t>9237616558</t>
  </si>
  <si>
    <t>ORD10284</t>
  </si>
  <si>
    <t>27/02/2026</t>
  </si>
  <si>
    <t>28/03/1995</t>
  </si>
  <si>
    <t>9935063989</t>
  </si>
  <si>
    <t>ORD10285</t>
  </si>
  <si>
    <t>12/03/1992</t>
  </si>
  <si>
    <t>9167376169</t>
  </si>
  <si>
    <t>ORD10286</t>
  </si>
  <si>
    <t>30/09/2025</t>
  </si>
  <si>
    <t>23/01/1981</t>
  </si>
  <si>
    <t>9231845497</t>
  </si>
  <si>
    <t>ORD10287</t>
  </si>
  <si>
    <t>08/05/2026</t>
  </si>
  <si>
    <t>11/05/2026</t>
  </si>
  <si>
    <t>28/09/1984</t>
  </si>
  <si>
    <t>9409415805</t>
  </si>
  <si>
    <t>ORD10288</t>
  </si>
  <si>
    <t>06/11/1975</t>
  </si>
  <si>
    <t>priya.patecompany.com</t>
  </si>
  <si>
    <t>9240800508</t>
  </si>
  <si>
    <t>ORD10289</t>
  </si>
  <si>
    <t>26/06/1995</t>
  </si>
  <si>
    <t>9764609936</t>
  </si>
  <si>
    <t>ORD10290</t>
  </si>
  <si>
    <t>21/11/1979</t>
  </si>
  <si>
    <t>9362733217</t>
  </si>
  <si>
    <t>ORD10291</t>
  </si>
  <si>
    <t>9270466205</t>
  </si>
  <si>
    <t>ORD10292</t>
  </si>
  <si>
    <t>01/04/2025</t>
  </si>
  <si>
    <t>08/02/2001</t>
  </si>
  <si>
    <t>9571436865</t>
  </si>
  <si>
    <t>ORD10293</t>
  </si>
  <si>
    <t>14/12/1989</t>
  </si>
  <si>
    <t>Pooja.shah@company.com</t>
  </si>
  <si>
    <t>9307011171</t>
  </si>
  <si>
    <t>ORD10294</t>
  </si>
  <si>
    <t>13/02/2026</t>
  </si>
  <si>
    <t>24/02/2026</t>
  </si>
  <si>
    <t>15/12/1988</t>
  </si>
  <si>
    <t>9922380435</t>
  </si>
  <si>
    <t>ORD10295</t>
  </si>
  <si>
    <t>11/02/2025</t>
  </si>
  <si>
    <t>14/02/2025</t>
  </si>
  <si>
    <t>20/10/1990</t>
  </si>
  <si>
    <t>9463618792</t>
  </si>
  <si>
    <t>ORD10296</t>
  </si>
  <si>
    <t>17/01/2025</t>
  </si>
  <si>
    <t>27/01/2025</t>
  </si>
  <si>
    <t>08/09/1978</t>
  </si>
  <si>
    <t>9954973200</t>
  </si>
  <si>
    <t>ORD10297</t>
  </si>
  <si>
    <t>09/02/1978</t>
  </si>
  <si>
    <t>9383199236</t>
  </si>
  <si>
    <t>ORD10298</t>
  </si>
  <si>
    <t>03/01/2004</t>
  </si>
  <si>
    <t>9482699727</t>
  </si>
  <si>
    <t>ORD10299</t>
  </si>
  <si>
    <t>17/10/2025</t>
  </si>
  <si>
    <t>02/05/1992</t>
  </si>
  <si>
    <t>9332473934</t>
  </si>
  <si>
    <t>ORD10300</t>
  </si>
  <si>
    <t>26/01/2003</t>
  </si>
  <si>
    <t>9647657382</t>
  </si>
  <si>
    <t>ORD10301</t>
  </si>
  <si>
    <t>20/05/1987</t>
  </si>
  <si>
    <t>9736797776</t>
  </si>
  <si>
    <t>ORD10302</t>
  </si>
  <si>
    <t>07/09/1975</t>
  </si>
  <si>
    <t>9745773533</t>
  </si>
  <si>
    <t>ORD10303</t>
  </si>
  <si>
    <t>10/08/1980</t>
  </si>
  <si>
    <t>9246715757</t>
  </si>
  <si>
    <t>ORD10304</t>
  </si>
  <si>
    <t>23/04/2026</t>
  </si>
  <si>
    <t>07/04/1989</t>
  </si>
  <si>
    <t>9904065774</t>
  </si>
  <si>
    <t>ORD10305</t>
  </si>
  <si>
    <t>02/03/2025</t>
  </si>
  <si>
    <t>20/08/1998</t>
  </si>
  <si>
    <t>9652985385</t>
  </si>
  <si>
    <t>ORD10306</t>
  </si>
  <si>
    <t>03/04/2001</t>
  </si>
  <si>
    <t>9427001508</t>
  </si>
  <si>
    <t>ORD10307</t>
  </si>
  <si>
    <t>9666803655</t>
  </si>
  <si>
    <t>ORD10308</t>
  </si>
  <si>
    <t>9134878547</t>
  </si>
  <si>
    <t>ORD10309</t>
  </si>
  <si>
    <t>04/09/1986</t>
  </si>
  <si>
    <t>9253593557</t>
  </si>
  <si>
    <t>ORD10310</t>
  </si>
  <si>
    <t>14/08/1989</t>
  </si>
  <si>
    <t>9183094051</t>
  </si>
  <si>
    <t>ORD10311</t>
  </si>
  <si>
    <t>16/10/2025</t>
  </si>
  <si>
    <t>02/03/1991</t>
  </si>
  <si>
    <t>9293147620</t>
  </si>
  <si>
    <t>ORD10312</t>
  </si>
  <si>
    <t>28/04/2026</t>
  </si>
  <si>
    <t>13/08/1989</t>
  </si>
  <si>
    <t>9755583734</t>
  </si>
  <si>
    <t>ORD10313</t>
  </si>
  <si>
    <t>02/02/2003</t>
  </si>
  <si>
    <t>9186592813</t>
  </si>
  <si>
    <t>ORD10314</t>
  </si>
  <si>
    <t>08/05/2025</t>
  </si>
  <si>
    <t>16/11/1995</t>
  </si>
  <si>
    <t>9203482008</t>
  </si>
  <si>
    <t>ORD10315</t>
  </si>
  <si>
    <t>24/11/1989</t>
  </si>
  <si>
    <t>9829888777</t>
  </si>
  <si>
    <t>ORD10316</t>
  </si>
  <si>
    <t>30/12/2025</t>
  </si>
  <si>
    <t>20/04/1988</t>
  </si>
  <si>
    <t>9566101317</t>
  </si>
  <si>
    <t>ORD10317</t>
  </si>
  <si>
    <t>02/11/1978</t>
  </si>
  <si>
    <t>9706240823</t>
  </si>
  <si>
    <t>ORD10318</t>
  </si>
  <si>
    <t>08/11/2025</t>
  </si>
  <si>
    <t>13/12/1989</t>
  </si>
  <si>
    <t>9259943760</t>
  </si>
  <si>
    <t>ORD10319</t>
  </si>
  <si>
    <t>08/01/1995</t>
  </si>
  <si>
    <t>9527326977</t>
  </si>
  <si>
    <t>ORD10320</t>
  </si>
  <si>
    <t>23/10/1994</t>
  </si>
  <si>
    <t>9886970990</t>
  </si>
  <si>
    <t>ORD10321</t>
  </si>
  <si>
    <t>10/03/2025</t>
  </si>
  <si>
    <t>21/05/1996</t>
  </si>
  <si>
    <t>9106930369</t>
  </si>
  <si>
    <t>ORD10322</t>
  </si>
  <si>
    <t>03/06/2025</t>
  </si>
  <si>
    <t>26/05/1982</t>
  </si>
  <si>
    <t>9342009114</t>
  </si>
  <si>
    <t>ORD10323</t>
  </si>
  <si>
    <t>22/11/2001</t>
  </si>
  <si>
    <t>9992739960</t>
  </si>
  <si>
    <t>ORD10324</t>
  </si>
  <si>
    <t>26/02/1989</t>
  </si>
  <si>
    <t>9241987748</t>
  </si>
  <si>
    <t>ORD10325</t>
  </si>
  <si>
    <t>10/12/2025</t>
  </si>
  <si>
    <t>21/12/2025</t>
  </si>
  <si>
    <t>18/08/1985</t>
  </si>
  <si>
    <t>9571990711</t>
  </si>
  <si>
    <t>ORD10326</t>
  </si>
  <si>
    <t>12/03/2026</t>
  </si>
  <si>
    <t>03/01/1980</t>
  </si>
  <si>
    <t>9219231183</t>
  </si>
  <si>
    <t>ORD10327</t>
  </si>
  <si>
    <t>25/11/2025</t>
  </si>
  <si>
    <t>28/11/2025</t>
  </si>
  <si>
    <t>08/01/1978</t>
  </si>
  <si>
    <t>9847386174</t>
  </si>
  <si>
    <t>ORD10328</t>
  </si>
  <si>
    <t>05/08/1992</t>
  </si>
  <si>
    <t>9941274924</t>
  </si>
  <si>
    <t>ORD10329</t>
  </si>
  <si>
    <t>28/12/2004</t>
  </si>
  <si>
    <t>9950650508</t>
  </si>
  <si>
    <t>ORD10330</t>
  </si>
  <si>
    <t>07/01/2003</t>
  </si>
  <si>
    <t>9464035549</t>
  </si>
  <si>
    <t>ORD10331</t>
  </si>
  <si>
    <t>09/03/1993</t>
  </si>
  <si>
    <t>9142334315</t>
  </si>
  <si>
    <t>ORD10332</t>
  </si>
  <si>
    <t>26/08/2025</t>
  </si>
  <si>
    <t>07/09/2025</t>
  </si>
  <si>
    <t>03/06/1993</t>
  </si>
  <si>
    <t>9123961962</t>
  </si>
  <si>
    <t>ORD10333</t>
  </si>
  <si>
    <t>05/04/2025</t>
  </si>
  <si>
    <t>08/04/2025</t>
  </si>
  <si>
    <t>10/12/1999</t>
  </si>
  <si>
    <t>9741953402</t>
  </si>
  <si>
    <t>ORD10334</t>
  </si>
  <si>
    <t>06/06/1976</t>
  </si>
  <si>
    <t>9404733633</t>
  </si>
  <si>
    <t>ORD10335</t>
  </si>
  <si>
    <t>27/10/1984</t>
  </si>
  <si>
    <t>9297492337</t>
  </si>
  <si>
    <t>ORD10336</t>
  </si>
  <si>
    <t>28/02/1975</t>
  </si>
  <si>
    <t>9350338928</t>
  </si>
  <si>
    <t>ORD10337</t>
  </si>
  <si>
    <t>19/10/1993</t>
  </si>
  <si>
    <t>9933894798</t>
  </si>
  <si>
    <t>ORD10338</t>
  </si>
  <si>
    <t>25/10/1983</t>
  </si>
  <si>
    <t>9705218824</t>
  </si>
  <si>
    <t>ORD10339</t>
  </si>
  <si>
    <t>10/02/2025</t>
  </si>
  <si>
    <t>08/01/1983</t>
  </si>
  <si>
    <t>9229164453</t>
  </si>
  <si>
    <t>ORD10340</t>
  </si>
  <si>
    <t>28/07/2025</t>
  </si>
  <si>
    <t>14/12/1983</t>
  </si>
  <si>
    <t>9219806176</t>
  </si>
  <si>
    <t>ORD10341</t>
  </si>
  <si>
    <t>26/09/1983</t>
  </si>
  <si>
    <t>9630210250</t>
  </si>
  <si>
    <t>ORD10342</t>
  </si>
  <si>
    <t>06/12/2025</t>
  </si>
  <si>
    <t>23/05/1975</t>
  </si>
  <si>
    <t>9583354052</t>
  </si>
  <si>
    <t>ORD10343</t>
  </si>
  <si>
    <t>09/11/1994</t>
  </si>
  <si>
    <t>9242534507</t>
  </si>
  <si>
    <t>ORD10344</t>
  </si>
  <si>
    <t>02/08/2025</t>
  </si>
  <si>
    <t>17/12/1987</t>
  </si>
  <si>
    <t>9291239150</t>
  </si>
  <si>
    <t>ORD10345</t>
  </si>
  <si>
    <t>17/08/2025</t>
  </si>
  <si>
    <t>19/06/1975</t>
  </si>
  <si>
    <t>9550820904</t>
  </si>
  <si>
    <t>ORD10346</t>
  </si>
  <si>
    <t>09/01/1977</t>
  </si>
  <si>
    <t>9294486423</t>
  </si>
  <si>
    <t>ORD10347</t>
  </si>
  <si>
    <t>20/09/1993</t>
  </si>
  <si>
    <t>9260258621</t>
  </si>
  <si>
    <t>ORD10348</t>
  </si>
  <si>
    <t>05/03/1997</t>
  </si>
  <si>
    <t>9697433584</t>
  </si>
  <si>
    <t>ORD10349</t>
  </si>
  <si>
    <t>P999</t>
  </si>
  <si>
    <t>10/07/2002</t>
  </si>
  <si>
    <t>9837969758</t>
  </si>
  <si>
    <t>ORD10350</t>
  </si>
  <si>
    <t>05/12/2025</t>
  </si>
  <si>
    <t>18/04/1984</t>
  </si>
  <si>
    <t>9209736419</t>
  </si>
  <si>
    <t>ORD10351</t>
  </si>
  <si>
    <t>01/07/2003</t>
  </si>
  <si>
    <t>9645907237</t>
  </si>
  <si>
    <t>ORD10352</t>
  </si>
  <si>
    <t>18/07/2025</t>
  </si>
  <si>
    <t>25/10/1992</t>
  </si>
  <si>
    <t>9566149945</t>
  </si>
  <si>
    <t>ORD10353</t>
  </si>
  <si>
    <t>05/08/1988</t>
  </si>
  <si>
    <t>9935018068</t>
  </si>
  <si>
    <t>ORD10354</t>
  </si>
  <si>
    <t>24/06/1987</t>
  </si>
  <si>
    <t>9171794652</t>
  </si>
  <si>
    <t>ORD10355</t>
  </si>
  <si>
    <t>25/09/2025</t>
  </si>
  <si>
    <t>19/10/1989</t>
  </si>
  <si>
    <t>9671497416</t>
  </si>
  <si>
    <t>ORD10356</t>
  </si>
  <si>
    <t>22/05/1992</t>
  </si>
  <si>
    <t>9810433484</t>
  </si>
  <si>
    <t>ORD10357</t>
  </si>
  <si>
    <t>\</t>
  </si>
  <si>
    <t>10/11/1989</t>
  </si>
  <si>
    <t>9990243436</t>
  </si>
  <si>
    <t>ORD10358</t>
  </si>
  <si>
    <t>03/09/1980</t>
  </si>
  <si>
    <t>9396678031</t>
  </si>
  <si>
    <t>ORD10359</t>
  </si>
  <si>
    <t>06/03/1979</t>
  </si>
  <si>
    <t>9818591245</t>
  </si>
  <si>
    <t>ORD10360</t>
  </si>
  <si>
    <t>04/09/1996</t>
  </si>
  <si>
    <t>9505550047</t>
  </si>
  <si>
    <t>ORD10361</t>
  </si>
  <si>
    <t>18/05/2026</t>
  </si>
  <si>
    <t>14/03/1999</t>
  </si>
  <si>
    <t>9469828772</t>
  </si>
  <si>
    <t>ORD10362</t>
  </si>
  <si>
    <t>03/10/1984</t>
  </si>
  <si>
    <t>9885092680</t>
  </si>
  <si>
    <t>ORD10363</t>
  </si>
  <si>
    <t>23/01/2026</t>
  </si>
  <si>
    <t>09/07/1984</t>
  </si>
  <si>
    <t>9362319457</t>
  </si>
  <si>
    <t>ORD10364</t>
  </si>
  <si>
    <t>10/03/1989</t>
  </si>
  <si>
    <t>9223945130</t>
  </si>
  <si>
    <t>ORD10365</t>
  </si>
  <si>
    <t>07/05/2025</t>
  </si>
  <si>
    <t>19/04/1985</t>
  </si>
  <si>
    <t>9910804926</t>
  </si>
  <si>
    <t>ORD10366</t>
  </si>
  <si>
    <t>03/02/2025</t>
  </si>
  <si>
    <t>13/08/2003</t>
  </si>
  <si>
    <t>9274269744</t>
  </si>
  <si>
    <t>ORD10367</t>
  </si>
  <si>
    <t>11/09/1983</t>
  </si>
  <si>
    <t>9223196101</t>
  </si>
  <si>
    <t>ORD10368</t>
  </si>
  <si>
    <t>11/06/1976</t>
  </si>
  <si>
    <t>9888477457</t>
  </si>
  <si>
    <t>ORD10369</t>
  </si>
  <si>
    <t>05/04/2026</t>
  </si>
  <si>
    <t>04/01/1987</t>
  </si>
  <si>
    <t>9435947486</t>
  </si>
  <si>
    <t>ORD10370</t>
  </si>
  <si>
    <t>02/02/2025</t>
  </si>
  <si>
    <t>14/05/1992</t>
  </si>
  <si>
    <t>9411668831</t>
  </si>
  <si>
    <t>ORD10371</t>
  </si>
  <si>
    <t>08/10/2025</t>
  </si>
  <si>
    <t>03/05/1989</t>
  </si>
  <si>
    <t>9523682403</t>
  </si>
  <si>
    <t>ORD10372</t>
  </si>
  <si>
    <t>12/06/2025</t>
  </si>
  <si>
    <t>17/06/2025</t>
  </si>
  <si>
    <t>19/12/1990</t>
  </si>
  <si>
    <t>9652936744</t>
  </si>
  <si>
    <t>ORD10373</t>
  </si>
  <si>
    <t>09/07/1995</t>
  </si>
  <si>
    <t>9726464733</t>
  </si>
  <si>
    <t>ORD10374</t>
  </si>
  <si>
    <t>01/11/2025</t>
  </si>
  <si>
    <t>23/12/1998</t>
  </si>
  <si>
    <t>9273520544</t>
  </si>
  <si>
    <t>ORD10375</t>
  </si>
  <si>
    <t>31/01/2025</t>
  </si>
  <si>
    <t>23/12/1979</t>
  </si>
  <si>
    <t>9374259988</t>
  </si>
  <si>
    <t>ORD10376</t>
  </si>
  <si>
    <t>15/12/1975</t>
  </si>
  <si>
    <t>9538129419</t>
  </si>
  <si>
    <t>ORD10377</t>
  </si>
  <si>
    <t>17/05/1993</t>
  </si>
  <si>
    <t>9382815686</t>
  </si>
  <si>
    <t>ORD10378</t>
  </si>
  <si>
    <t>17/09/1976</t>
  </si>
  <si>
    <t>9450746157</t>
  </si>
  <si>
    <t>ORD10379</t>
  </si>
  <si>
    <t>03/10/2025</t>
  </si>
  <si>
    <t>22/12/1996</t>
  </si>
  <si>
    <t>9349012570</t>
  </si>
  <si>
    <t>ORD10380</t>
  </si>
  <si>
    <t>25/12/1995</t>
  </si>
  <si>
    <t>9442163790</t>
  </si>
  <si>
    <t>ORD10381</t>
  </si>
  <si>
    <t>23/06/1985</t>
  </si>
  <si>
    <t>9953329223</t>
  </si>
  <si>
    <t>ORD10382</t>
  </si>
  <si>
    <t>14/05/2025</t>
  </si>
  <si>
    <t>10/02/1984</t>
  </si>
  <si>
    <t>9202321359</t>
  </si>
  <si>
    <t>ORD10383</t>
  </si>
  <si>
    <t>Rohit      Singh</t>
  </si>
  <si>
    <t>02/04/2002</t>
  </si>
  <si>
    <t>9812564160</t>
  </si>
  <si>
    <t>ORD10384</t>
  </si>
  <si>
    <t>17/07/2003</t>
  </si>
  <si>
    <t>9688458222</t>
  </si>
  <si>
    <t>ORD10385</t>
  </si>
  <si>
    <t>19/02/2026</t>
  </si>
  <si>
    <t>23/02/2026</t>
  </si>
  <si>
    <t>06/10/1991</t>
  </si>
  <si>
    <t>9634473337</t>
  </si>
  <si>
    <t>ORD10386</t>
  </si>
  <si>
    <t>05/01/1984</t>
  </si>
  <si>
    <t>9608737026</t>
  </si>
  <si>
    <t>ORD10387</t>
  </si>
  <si>
    <t>24/10/2025</t>
  </si>
  <si>
    <t>12/03/1975</t>
  </si>
  <si>
    <t>9804498139</t>
  </si>
  <si>
    <t>ORD10388</t>
  </si>
  <si>
    <t>25/01/2026</t>
  </si>
  <si>
    <t>15/03/1983</t>
  </si>
  <si>
    <t>9798643580</t>
  </si>
  <si>
    <t>ORD10389</t>
  </si>
  <si>
    <t>25/01/2025</t>
  </si>
  <si>
    <t>28/01/2025</t>
  </si>
  <si>
    <t>20/04/1976</t>
  </si>
  <si>
    <t>9809823278</t>
  </si>
  <si>
    <t>ORD10390</t>
  </si>
  <si>
    <t>11/02/1986</t>
  </si>
  <si>
    <t>9177767854</t>
  </si>
  <si>
    <t>ORD10391</t>
  </si>
  <si>
    <t>20/06/2025</t>
  </si>
  <si>
    <t>21/06/2025</t>
  </si>
  <si>
    <t>21/03/1978</t>
  </si>
  <si>
    <t>9643440006</t>
  </si>
  <si>
    <t>ORD10392</t>
  </si>
  <si>
    <t>28/05/2025</t>
  </si>
  <si>
    <t>06/06/2025</t>
  </si>
  <si>
    <t>12/07/1996</t>
  </si>
  <si>
    <t>9673698825</t>
  </si>
  <si>
    <t>ORD10393</t>
  </si>
  <si>
    <t>02/12/1992</t>
  </si>
  <si>
    <t>9706238784</t>
  </si>
  <si>
    <t>ORD10394</t>
  </si>
  <si>
    <t>23/03/1996</t>
  </si>
  <si>
    <t>9132959877</t>
  </si>
  <si>
    <t>ORD10395</t>
  </si>
  <si>
    <t>26/02/2026</t>
  </si>
  <si>
    <t>23/06/1994</t>
  </si>
  <si>
    <t>9295011645</t>
  </si>
  <si>
    <t>ORD10396</t>
  </si>
  <si>
    <t>03/08/2025</t>
  </si>
  <si>
    <t>15/08/2025</t>
  </si>
  <si>
    <t>02/02/1980</t>
  </si>
  <si>
    <t>9677606427</t>
  </si>
  <si>
    <t>ORD10397</t>
  </si>
  <si>
    <t>18/01/2025</t>
  </si>
  <si>
    <t>24/08/1990</t>
  </si>
  <si>
    <t>9161631566</t>
  </si>
  <si>
    <t>ORD10398</t>
  </si>
  <si>
    <t>10/12/1978</t>
  </si>
  <si>
    <t>9136906750</t>
  </si>
  <si>
    <t>ORD10399</t>
  </si>
  <si>
    <t>01/09/1979</t>
  </si>
  <si>
    <t>9485286324</t>
  </si>
  <si>
    <t>ORD10400</t>
  </si>
  <si>
    <t>13/05/2025</t>
  </si>
  <si>
    <t>08/04/2001</t>
  </si>
  <si>
    <t>9414633966</t>
  </si>
  <si>
    <t>ORD10401</t>
  </si>
  <si>
    <t>01/01/1983</t>
  </si>
  <si>
    <t>9833735234</t>
  </si>
  <si>
    <t>ORD10402</t>
  </si>
  <si>
    <t>09/08/1989</t>
  </si>
  <si>
    <t>9523689108</t>
  </si>
  <si>
    <t>ORD10403</t>
  </si>
  <si>
    <t>22/10/1993</t>
  </si>
  <si>
    <t>9812909831</t>
  </si>
  <si>
    <t>ORD10404</t>
  </si>
  <si>
    <t>12/10/2025</t>
  </si>
  <si>
    <t>05/05/2000</t>
  </si>
  <si>
    <t>9106290987</t>
  </si>
  <si>
    <t>ORD10405</t>
  </si>
  <si>
    <t>01/02/2026</t>
  </si>
  <si>
    <t>18/02/1984</t>
  </si>
  <si>
    <t>9767727724</t>
  </si>
  <si>
    <t>ORD10406</t>
  </si>
  <si>
    <t>13/06/1991</t>
  </si>
  <si>
    <t>9865401727</t>
  </si>
  <si>
    <t>ORD10407</t>
  </si>
  <si>
    <t>19/05/1996</t>
  </si>
  <si>
    <t>9603848571</t>
  </si>
  <si>
    <t>ORD10408</t>
  </si>
  <si>
    <t>23/05/1992</t>
  </si>
  <si>
    <t>9101231789</t>
  </si>
  <si>
    <t>ORD10409</t>
  </si>
  <si>
    <t>15/06/1988</t>
  </si>
  <si>
    <t>9485017802</t>
  </si>
  <si>
    <t>ORD10410</t>
  </si>
  <si>
    <t>22/07/1993</t>
  </si>
  <si>
    <t>9815464650</t>
  </si>
  <si>
    <t>ORD10411</t>
  </si>
  <si>
    <t>17/05/2026</t>
  </si>
  <si>
    <t>03/02/2004</t>
  </si>
  <si>
    <t>9860715839</t>
  </si>
  <si>
    <t>ORD10412</t>
  </si>
  <si>
    <t>11/02/2026</t>
  </si>
  <si>
    <t>23/12/1978</t>
  </si>
  <si>
    <t>9207561051</t>
  </si>
  <si>
    <t>ORD10413</t>
  </si>
  <si>
    <t>15/10/1993</t>
  </si>
  <si>
    <t>9159894508</t>
  </si>
  <si>
    <t>ORD10414</t>
  </si>
  <si>
    <t>12/12/1979</t>
  </si>
  <si>
    <t>9531465024</t>
  </si>
  <si>
    <t>ORD10415</t>
  </si>
  <si>
    <t>24/05/2002</t>
  </si>
  <si>
    <t>9158813608</t>
  </si>
  <si>
    <t>ORD10416</t>
  </si>
  <si>
    <t>27/03/2026</t>
  </si>
  <si>
    <t>09/03/1976</t>
  </si>
  <si>
    <t>9308461700</t>
  </si>
  <si>
    <t>ORD10417</t>
  </si>
  <si>
    <t>20/09/1980</t>
  </si>
  <si>
    <t>9882279049</t>
  </si>
  <si>
    <t>ORD10418</t>
  </si>
  <si>
    <t>17/04/2026</t>
  </si>
  <si>
    <t>24/06/1988</t>
  </si>
  <si>
    <t>9961801338</t>
  </si>
  <si>
    <t>ORD10419</t>
  </si>
  <si>
    <t>11/06/2003</t>
  </si>
  <si>
    <t>9853525026</t>
  </si>
  <si>
    <t>ORD10420</t>
  </si>
  <si>
    <t>10/12/1981</t>
  </si>
  <si>
    <t>9209649485</t>
  </si>
  <si>
    <t>ORD10421</t>
  </si>
  <si>
    <t>26/09/2025</t>
  </si>
  <si>
    <t>24/02/1975</t>
  </si>
  <si>
    <t>9712905525</t>
  </si>
  <si>
    <t>ORD10422</t>
  </si>
  <si>
    <t>27/09/1977</t>
  </si>
  <si>
    <t>9812472447</t>
  </si>
  <si>
    <t>ORD10423</t>
  </si>
  <si>
    <t>29/12/2025</t>
  </si>
  <si>
    <t>25/12/1987</t>
  </si>
  <si>
    <t>9281127052</t>
  </si>
  <si>
    <t>ORD10424</t>
  </si>
  <si>
    <t>23/03/2001</t>
  </si>
  <si>
    <t>9346312555</t>
  </si>
  <si>
    <t>ORD10425</t>
  </si>
  <si>
    <t>22/01/2026</t>
  </si>
  <si>
    <t>9443786067</t>
  </si>
  <si>
    <t>ORD10426</t>
  </si>
  <si>
    <t>15/03/2026</t>
  </si>
  <si>
    <t>15/09/1986</t>
  </si>
  <si>
    <t>9452540528</t>
  </si>
  <si>
    <t>ORD10427</t>
  </si>
  <si>
    <t>30/11/2025</t>
  </si>
  <si>
    <t>12/12/2002</t>
  </si>
  <si>
    <t>9750918728</t>
  </si>
  <si>
    <t>ORD10428</t>
  </si>
  <si>
    <t>15/02/2025</t>
  </si>
  <si>
    <t>15/09/1998</t>
  </si>
  <si>
    <t>9375975834</t>
  </si>
  <si>
    <t>ORD10429</t>
  </si>
  <si>
    <t>17/10/1985</t>
  </si>
  <si>
    <t>9497321112</t>
  </si>
  <si>
    <t>ORD10430</t>
  </si>
  <si>
    <t>27/08/2025</t>
  </si>
  <si>
    <t>29/08/2025</t>
  </si>
  <si>
    <t>15/08/1995</t>
  </si>
  <si>
    <t>9828749888</t>
  </si>
  <si>
    <t>ORD10431</t>
  </si>
  <si>
    <t>27/08/1985</t>
  </si>
  <si>
    <t>9814267382</t>
  </si>
  <si>
    <t>ORD10432</t>
  </si>
  <si>
    <t>05/06/1975</t>
  </si>
  <si>
    <t>9937007439</t>
  </si>
  <si>
    <t>ORD10433</t>
  </si>
  <si>
    <t>25/03/1997</t>
  </si>
  <si>
    <t>9657513435</t>
  </si>
  <si>
    <t>ORD10434</t>
  </si>
  <si>
    <t>01/02/2025</t>
  </si>
  <si>
    <t>18/04/1997</t>
  </si>
  <si>
    <t>9999406260</t>
  </si>
  <si>
    <t>ORD10435</t>
  </si>
  <si>
    <t>22/02/2025</t>
  </si>
  <si>
    <t>28/05/1999</t>
  </si>
  <si>
    <t>9233727886</t>
  </si>
  <si>
    <t>ORD10436</t>
  </si>
  <si>
    <t>25/06/1983</t>
  </si>
  <si>
    <t>9831688801</t>
  </si>
  <si>
    <t>ORD10437</t>
  </si>
  <si>
    <t>26/01/1993</t>
  </si>
  <si>
    <t>9982849508</t>
  </si>
  <si>
    <t>ORD10438</t>
  </si>
  <si>
    <t>03/03/1979</t>
  </si>
  <si>
    <t>9288309246</t>
  </si>
  <si>
    <t>ORD10439</t>
  </si>
  <si>
    <t>22/10/2025</t>
  </si>
  <si>
    <t>25/10/2025</t>
  </si>
  <si>
    <t>13/09/1976</t>
  </si>
  <si>
    <t>9808476235</t>
  </si>
  <si>
    <t>ORD10440</t>
  </si>
  <si>
    <t>31/12/2025</t>
  </si>
  <si>
    <t>27/07/1991</t>
  </si>
  <si>
    <t>9869056117</t>
  </si>
  <si>
    <t>ORD10441</t>
  </si>
  <si>
    <t>25/10/1987</t>
  </si>
  <si>
    <t>9734229772</t>
  </si>
  <si>
    <t>ORD10442</t>
  </si>
  <si>
    <t>09/11/1983</t>
  </si>
  <si>
    <t>9791617906</t>
  </si>
  <si>
    <t>ORD10443</t>
  </si>
  <si>
    <t>28/12/1983</t>
  </si>
  <si>
    <t>9286316823</t>
  </si>
  <si>
    <t>ORD10444</t>
  </si>
  <si>
    <t>02/05/2025</t>
  </si>
  <si>
    <t>15/09/1992</t>
  </si>
  <si>
    <t>9810569252</t>
  </si>
  <si>
    <t>ORD10445</t>
  </si>
  <si>
    <t>09/08/1999</t>
  </si>
  <si>
    <t>9771745925</t>
  </si>
  <si>
    <t>ORD10446</t>
  </si>
  <si>
    <t>29/06/2025</t>
  </si>
  <si>
    <t>27/02/1990</t>
  </si>
  <si>
    <t>9820683063</t>
  </si>
  <si>
    <t>ORD10447</t>
  </si>
  <si>
    <t>27/03/1994</t>
  </si>
  <si>
    <t>9292891941</t>
  </si>
  <si>
    <t>ORD10448</t>
  </si>
  <si>
    <t>03/03/2025</t>
  </si>
  <si>
    <t>11/06/1980</t>
  </si>
  <si>
    <t>9413789556</t>
  </si>
  <si>
    <t>ORD10449</t>
  </si>
  <si>
    <t>24/04/2026</t>
  </si>
  <si>
    <t>10/06/2000</t>
  </si>
  <si>
    <t>amit.SHarma@company.com</t>
  </si>
  <si>
    <t>98765</t>
  </si>
  <si>
    <t>ORD10450</t>
  </si>
  <si>
    <t>21/04/1998</t>
  </si>
  <si>
    <t>9211936331</t>
  </si>
  <si>
    <t>ORD10451</t>
  </si>
  <si>
    <t>07/06/2025</t>
  </si>
  <si>
    <t>10/05/1984</t>
  </si>
  <si>
    <t>9167291747</t>
  </si>
  <si>
    <t>ORD10452</t>
  </si>
  <si>
    <t>07/10/1986</t>
  </si>
  <si>
    <t>9637283597</t>
  </si>
  <si>
    <t>ORD10453</t>
  </si>
  <si>
    <t>22/03/2026</t>
  </si>
  <si>
    <t>29/03/2026</t>
  </si>
  <si>
    <t>01/11/2003</t>
  </si>
  <si>
    <t>9514269002</t>
  </si>
  <si>
    <t>ORD10454</t>
  </si>
  <si>
    <t>13/04/2026</t>
  </si>
  <si>
    <t>10/06/2003</t>
  </si>
  <si>
    <t>9778908233</t>
  </si>
  <si>
    <t>ORD10455</t>
  </si>
  <si>
    <t>27/03/1990</t>
  </si>
  <si>
    <t>9981118755</t>
  </si>
  <si>
    <t>ORD10456</t>
  </si>
  <si>
    <t>28/05/2003</t>
  </si>
  <si>
    <t>9887896743</t>
  </si>
  <si>
    <t>ORD10457</t>
  </si>
  <si>
    <t>06/02/1993</t>
  </si>
  <si>
    <t>9585330043</t>
  </si>
  <si>
    <t>ORD10458</t>
  </si>
  <si>
    <t>02/09/1975</t>
  </si>
  <si>
    <t>9423719975</t>
  </si>
  <si>
    <t>ORD10459</t>
  </si>
  <si>
    <t>09/09/1994</t>
  </si>
  <si>
    <t>9270746961</t>
  </si>
  <si>
    <t>ORD10460</t>
  </si>
  <si>
    <t>07/10/1992</t>
  </si>
  <si>
    <t>9333162025</t>
  </si>
  <si>
    <t>ORD10461</t>
  </si>
  <si>
    <t>29/05/2025</t>
  </si>
  <si>
    <t>17/07/2002</t>
  </si>
  <si>
    <t>9247023285</t>
  </si>
  <si>
    <t>ORD10462</t>
  </si>
  <si>
    <t>03/02/2001</t>
  </si>
  <si>
    <t>rohit.sinGh@company.com</t>
  </si>
  <si>
    <t>9448658297</t>
  </si>
  <si>
    <t>ORD10463</t>
  </si>
  <si>
    <t>23/06/1990</t>
  </si>
  <si>
    <t>9906748486</t>
  </si>
  <si>
    <t>ORD10464</t>
  </si>
  <si>
    <t>9365182725</t>
  </si>
  <si>
    <t>ORD10465</t>
  </si>
  <si>
    <t>22/07/2000</t>
  </si>
  <si>
    <t>9937119494</t>
  </si>
  <si>
    <t>ORD10466</t>
  </si>
  <si>
    <t>20/03/1985</t>
  </si>
  <si>
    <t>9828015293</t>
  </si>
  <si>
    <t>ORD10467</t>
  </si>
  <si>
    <t>08/02/1988</t>
  </si>
  <si>
    <t>9864206250</t>
  </si>
  <si>
    <t>ORD10468</t>
  </si>
  <si>
    <t>26/04/1997</t>
  </si>
  <si>
    <t>9519293104</t>
  </si>
  <si>
    <t>ORD10469</t>
  </si>
  <si>
    <t>22/05/2001</t>
  </si>
  <si>
    <t>9296075245</t>
  </si>
  <si>
    <t>ORD10470</t>
  </si>
  <si>
    <t>19/06/1982</t>
  </si>
  <si>
    <t>9316770206</t>
  </si>
  <si>
    <t>ORD10471</t>
  </si>
  <si>
    <t>18/10/2025</t>
  </si>
  <si>
    <t>23/06/1999</t>
  </si>
  <si>
    <t>9706553861</t>
  </si>
  <si>
    <t>ORD10472</t>
  </si>
  <si>
    <t>02/02/2001</t>
  </si>
  <si>
    <t>9524904662</t>
  </si>
  <si>
    <t>ORD10473</t>
  </si>
  <si>
    <t>09/02/1999</t>
  </si>
  <si>
    <t>9577624596</t>
  </si>
  <si>
    <t>ORD10474</t>
  </si>
  <si>
    <t>06/05/1988</t>
  </si>
  <si>
    <t>9898452436</t>
  </si>
  <si>
    <t>ORD10475</t>
  </si>
  <si>
    <t>12/02/1975</t>
  </si>
  <si>
    <t>9960757012</t>
  </si>
  <si>
    <t>ORD10476</t>
  </si>
  <si>
    <t>01/01/2004</t>
  </si>
  <si>
    <t>9331268182</t>
  </si>
  <si>
    <t>ORD10477</t>
  </si>
  <si>
    <t>23/08/2001</t>
  </si>
  <si>
    <t>9135996862</t>
  </si>
  <si>
    <t>ORD10478</t>
  </si>
  <si>
    <t>23/01/1998</t>
  </si>
  <si>
    <t>kavya.Nair@company.com</t>
  </si>
  <si>
    <t>9540813143</t>
  </si>
  <si>
    <t>ORD10479</t>
  </si>
  <si>
    <t>Anita     Gupta</t>
  </si>
  <si>
    <t>28/05/2004</t>
  </si>
  <si>
    <t>9910913552</t>
  </si>
  <si>
    <t>ORD10480</t>
  </si>
  <si>
    <t>06/03/1985</t>
  </si>
  <si>
    <t>9282751683</t>
  </si>
  <si>
    <t>ORD10481</t>
  </si>
  <si>
    <t>26/01/2025</t>
  </si>
  <si>
    <t>06/09/1986</t>
  </si>
  <si>
    <t>9939332058</t>
  </si>
  <si>
    <t>ORD10482</t>
  </si>
  <si>
    <t>21/08/1981</t>
  </si>
  <si>
    <t>9780626473</t>
  </si>
  <si>
    <t>ORD10483</t>
  </si>
  <si>
    <t>Mohit verma</t>
  </si>
  <si>
    <t>23/04/1992</t>
  </si>
  <si>
    <t>9347298020</t>
  </si>
  <si>
    <t>ORD10484</t>
  </si>
  <si>
    <t>03/07/1991</t>
  </si>
  <si>
    <t>9345328522</t>
  </si>
  <si>
    <t>ORD10485</t>
  </si>
  <si>
    <t xml:space="preserve">         Amit Sharma</t>
  </si>
  <si>
    <t>05/02/1978</t>
  </si>
  <si>
    <t>9160310438</t>
  </si>
  <si>
    <t>ORD10486</t>
  </si>
  <si>
    <t>23/03/2026</t>
  </si>
  <si>
    <t>9343776153</t>
  </si>
  <si>
    <t>ORD10487</t>
  </si>
  <si>
    <t>03/04/1988</t>
  </si>
  <si>
    <t>9458599727</t>
  </si>
  <si>
    <t>ORD10488</t>
  </si>
  <si>
    <t>05/05/2026</t>
  </si>
  <si>
    <t>11/11/1978</t>
  </si>
  <si>
    <t>pOOja.shah@company.com</t>
  </si>
  <si>
    <t>9218660140</t>
  </si>
  <si>
    <t>ORD10489</t>
  </si>
  <si>
    <t>23/02/2025</t>
  </si>
  <si>
    <t>02/04/1994</t>
  </si>
  <si>
    <t>9341979199</t>
  </si>
  <si>
    <t>ORD10490</t>
  </si>
  <si>
    <t>09/05/1993</t>
  </si>
  <si>
    <t>9823080381</t>
  </si>
  <si>
    <t>ORD10491</t>
  </si>
  <si>
    <t xml:space="preserve">Priya Patel      </t>
  </si>
  <si>
    <t>11/07/1994</t>
  </si>
  <si>
    <t>9981183477</t>
  </si>
  <si>
    <t>ORD10492</t>
  </si>
  <si>
    <t>19/12/1982</t>
  </si>
  <si>
    <t>9281596011</t>
  </si>
  <si>
    <t>ORD10493</t>
  </si>
  <si>
    <t xml:space="preserve">     Rohit Singh</t>
  </si>
  <si>
    <t>02/11/2001</t>
  </si>
  <si>
    <t>9211734022</t>
  </si>
  <si>
    <t>ORD10494</t>
  </si>
  <si>
    <t>18/10/2001</t>
  </si>
  <si>
    <t>9447151666</t>
  </si>
  <si>
    <t>ORD10495</t>
  </si>
  <si>
    <t>21/12/2000</t>
  </si>
  <si>
    <t>9345342793</t>
  </si>
  <si>
    <t>ORD10496</t>
  </si>
  <si>
    <t>Anita      Gupta</t>
  </si>
  <si>
    <t>20/02/1983</t>
  </si>
  <si>
    <t>9329668173</t>
  </si>
  <si>
    <t>ORD10497</t>
  </si>
  <si>
    <t>13/06/1988</t>
  </si>
  <si>
    <t>9294740227</t>
  </si>
  <si>
    <t>ORD10498</t>
  </si>
  <si>
    <t>22/07/1992</t>
  </si>
  <si>
    <t>9549426303</t>
  </si>
  <si>
    <t>ORD10499</t>
  </si>
  <si>
    <t>05/07/2025</t>
  </si>
  <si>
    <t>12/08/1979</t>
  </si>
  <si>
    <t>Laptop,Mouse</t>
  </si>
  <si>
    <t>9374249303</t>
  </si>
  <si>
    <t>ORD10500</t>
  </si>
  <si>
    <t>16/09/2025</t>
  </si>
  <si>
    <t>24/11/1976</t>
  </si>
  <si>
    <t>9810334941</t>
  </si>
  <si>
    <t>Supplier</t>
  </si>
  <si>
    <t>Cost_Price</t>
  </si>
  <si>
    <t>Warranty_Months</t>
  </si>
  <si>
    <t>TechHub</t>
  </si>
  <si>
    <t>Global Trade</t>
  </si>
  <si>
    <t>ABC Corp</t>
  </si>
  <si>
    <t>Prime Supplies</t>
  </si>
  <si>
    <t>Membership</t>
  </si>
  <si>
    <t>State</t>
  </si>
  <si>
    <t>Silver</t>
  </si>
  <si>
    <t>RJ</t>
  </si>
  <si>
    <t>Platinum</t>
  </si>
  <si>
    <t>WB</t>
  </si>
  <si>
    <t>Gold</t>
  </si>
  <si>
    <t>DL</t>
  </si>
  <si>
    <t>KA</t>
  </si>
  <si>
    <t>Q2 – Customer Data Standardization</t>
  </si>
  <si>
    <t>Customer ID</t>
  </si>
  <si>
    <t>Original Customer Name</t>
  </si>
  <si>
    <t>Standardized Customer Name</t>
  </si>
  <si>
    <t>Customer Code</t>
  </si>
  <si>
    <t>Standardized Email</t>
  </si>
  <si>
    <t>Q3 – Order &amp; Delivery Analysis</t>
  </si>
  <si>
    <t>Order ID</t>
  </si>
  <si>
    <t>Customer Age</t>
  </si>
  <si>
    <t>Order Date</t>
  </si>
  <si>
    <t>Delivery Date</t>
  </si>
  <si>
    <t>Delivery Time (Days)</t>
  </si>
  <si>
    <t>Delivery Status</t>
  </si>
  <si>
    <t>Q4 – Interactive Product Lookup System</t>
  </si>
  <si>
    <t>Enter Product ID</t>
  </si>
  <si>
    <t>Product Name</t>
  </si>
  <si>
    <t>Cost Price</t>
  </si>
  <si>
    <t>Warranty (Months)</t>
  </si>
  <si>
    <t>Tip</t>
  </si>
  <si>
    <t>Change B3 to any Product ID (e.g., P202) to update the report automatically.</t>
  </si>
  <si>
    <t>Q5 – Sales Performance Summary Report</t>
  </si>
  <si>
    <t>Metric</t>
  </si>
  <si>
    <t>Result</t>
  </si>
  <si>
    <t>1. Electronics + Completed – Total Sales</t>
  </si>
  <si>
    <t>2. Neha + North – Total Sales</t>
  </si>
  <si>
    <t>3. Orders: Discount &gt;=15% + UPI</t>
  </si>
  <si>
    <t>4. Customers: Rating 5 + Completed</t>
  </si>
  <si>
    <t>5. Average Sales: West + Quantity &gt;5</t>
  </si>
  <si>
    <t>Q6 – Sales Statistics Report</t>
  </si>
  <si>
    <t>Statistic</t>
  </si>
  <si>
    <t>Formula Result</t>
  </si>
  <si>
    <t>Average Sales Amount</t>
  </si>
  <si>
    <t>Median Sales Amount</t>
  </si>
  <si>
    <t>Highest Sales Amount</t>
  </si>
  <si>
    <t>Lowest Sales Amount</t>
  </si>
  <si>
    <t>Standard Deviation (Sample)</t>
  </si>
  <si>
    <t>90th Percentile</t>
  </si>
  <si>
    <t>Meaning of 90th percentile</t>
  </si>
  <si>
    <t>90% of the sales values are at or below this value; about 10% are above it.</t>
  </si>
  <si>
    <t>Q7 – Product Performance Analysis</t>
  </si>
  <si>
    <t>Total Revenue (Quantity × Unit Price)</t>
  </si>
  <si>
    <t>Weighted Average Unit Price</t>
  </si>
  <si>
    <t>Total Sales Column Value</t>
  </si>
  <si>
    <t>Difference (Revenue – Sales)</t>
  </si>
  <si>
    <t>Total Discounted Amount</t>
  </si>
  <si>
    <t>Q8 – Financial Investment Analysis</t>
  </si>
  <si>
    <t>Calculation</t>
  </si>
  <si>
    <t>Rounded EMI</t>
  </si>
  <si>
    <t>Rounded Future Value</t>
  </si>
  <si>
    <t>Order Month</t>
  </si>
  <si>
    <t>Not Assigned</t>
  </si>
  <si>
    <t>Dashboard Pivot-style Source Data</t>
  </si>
  <si>
    <t>Filter</t>
  </si>
  <si>
    <t>KPI</t>
  </si>
  <si>
    <t>Value</t>
  </si>
  <si>
    <t>Total Sales</t>
  </si>
  <si>
    <t>Sum - Sales</t>
  </si>
  <si>
    <t>Total Orders</t>
  </si>
  <si>
    <t>Average Sales per Order</t>
  </si>
  <si>
    <t>Total Result</t>
  </si>
  <si>
    <t>(empty)</t>
  </si>
  <si>
    <t>TOTAL SALES</t>
  </si>
  <si>
    <t>TOTAL ORDERS</t>
  </si>
  <si>
    <t>All</t>
  </si>
  <si>
    <t>FV: ₹50,000/month, 5 years, 10% annual</t>
  </si>
  <si>
    <t>Monthly investment for ₹50,00,000 target</t>
  </si>
  <si>
    <t>Monthly EMI: ₹10,00,000 loan, 9%, 5 years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</si>
  <si>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</si>
  <si>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</si>
  <si>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</si>
  <si>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</si>
  <si>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</si>
  <si>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</si>
  <si>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</si>
  <si>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</si>
  <si>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</si>
  <si>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</si>
  <si>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</si>
  <si>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</si>
  <si>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Month</t>
  </si>
  <si>
    <t>SALES BREAKDOWN  |  All charts respond to the three filters above</t>
  </si>
  <si>
    <t>AVG ORDER VALUE</t>
  </si>
  <si>
    <t>UNITS SOLD</t>
  </si>
  <si>
    <t>ORDER MONTH</t>
  </si>
  <si>
    <t>CATEGORY</t>
  </si>
  <si>
    <t>REGION</t>
  </si>
  <si>
    <t>Orders</t>
  </si>
  <si>
    <t>SALES PERFORMANCE  | 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</si>
</sst>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.00"/>
    <numFmt numFmtId="165" formatCode="mmm\-yy"/>
    <numFmt numFmtId="167" formatCode="&quot;₹&quot;\ #,##0.00"/>
    <numFmt numFmtId="168" formatCode="\₹#,##0.00"/>
  </numFmts>
  <fonts count="1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Cambria"/>
      <charset val="1"/>
    </font>
    <font>
      <u/>
      <sz val="11"/>
      <color theme="10"/>
      <name val="Aptos Narrow"/>
      <family val="2"/>
      <charset val="1"/>
    </font>
    <font>
      <b/>
      <sz val="16"/>
      <color rgb="FFFFFFFF"/>
      <name val="Cambria"/>
      <charset val="1"/>
    </font>
    <font>
      <b/>
      <sz val="11"/>
      <name val="Cambria"/>
      <charset val="1"/>
    </font>
    <font>
      <sz val="11"/>
      <color theme="1"/>
      <name val="Aptos Narrow"/>
      <family val="2"/>
      <charset val="1"/>
    </font>
    <font>
      <sz val="11"/>
      <name val="Carlito"/>
    </font>
    <font>
      <b/>
      <sz val="18"/>
      <name val="Carlito"/>
    </font>
    <font>
      <b/>
      <sz val="11"/>
      <name val="Carlito"/>
    </font>
    <font>
      <b/>
      <sz val="14"/>
      <name val="Carlito"/>
    </font>
    <font>
      <b/>
      <sz val="11"/>
      <color theme="1"/>
      <name val="Aptos Narrow"/>
      <family val="2"/>
    </font>
    <font>
      <b/>
      <sz val="11"/>
      <name val="Cambria"/>
      <family val="1"/>
    </font>
    <font>
      <b/>
      <sz val="19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theme="4" tint="0.59987182226020086"/>
        <bgColor rgb="FFB7B7B7"/>
      </patternFill>
    </fill>
    <fill>
      <patternFill patternType="solid">
        <fgColor theme="4" tint="0.79989013336588644"/>
        <bgColor rgb="FFD9EAF7"/>
      </patternFill>
    </fill>
    <fill>
      <patternFill patternType="solid">
        <fgColor rgb="FF7030A0"/>
        <bgColor rgb="FF993366"/>
      </patternFill>
    </fill>
    <fill>
      <patternFill patternType="solid">
        <fgColor rgb="FF70AD47"/>
        <bgColor rgb="FF8B8B8B"/>
      </patternFill>
    </fill>
    <fill>
      <patternFill patternType="solid">
        <fgColor rgb="FFFFF2CC"/>
        <bgColor rgb="FFF2F2F2"/>
      </patternFill>
    </fill>
    <fill>
      <patternFill patternType="solid">
        <fgColor rgb="FFD9EAF7"/>
        <bgColor rgb="FFC1E5F5"/>
      </patternFill>
    </fill>
    <fill>
      <patternFill patternType="solid">
        <fgColor rgb="FFED7D31"/>
        <bgColor rgb="FFE97132"/>
      </patternFill>
    </fill>
    <fill>
      <patternFill patternType="solid">
        <fgColor rgb="FFFFFF00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15608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6" fillId="0" borderId="0">
      <alignment horizontal="left"/>
    </xf>
    <xf numFmtId="0" fontId="6" fillId="0" borderId="0"/>
    <xf numFmtId="0" fontId="6" fillId="0" borderId="0"/>
    <xf numFmtId="0" fontId="1" fillId="0" borderId="0"/>
    <xf numFmtId="0" fontId="1" fillId="0" borderId="0">
      <alignment horizontal="left"/>
    </xf>
    <xf numFmtId="0" fontId="6" fillId="0" borderId="0"/>
    <xf numFmtId="0" fontId="7" fillId="0" borderId="0"/>
  </cellStyleXfs>
  <cellXfs count="92">
    <xf numFmtId="0" fontId="0" fillId="0" borderId="0" xfId="0"/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/>
    <xf numFmtId="2" fontId="0" fillId="3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0" fontId="3" fillId="4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6" fillId="0" borderId="2" xfId="3" applyBorder="1"/>
    <xf numFmtId="0" fontId="6" fillId="0" borderId="3" xfId="2" applyBorder="1"/>
    <xf numFmtId="1" fontId="0" fillId="0" borderId="0" xfId="0" applyNumberFormat="1"/>
    <xf numFmtId="0" fontId="6" fillId="0" borderId="4" xfId="1" applyBorder="1">
      <alignment horizontal="left"/>
    </xf>
    <xf numFmtId="0" fontId="6" fillId="0" borderId="5" xfId="6" applyBorder="1"/>
    <xf numFmtId="165" fontId="6" fillId="0" borderId="4" xfId="1" applyNumberFormat="1" applyBorder="1">
      <alignment horizontal="left"/>
    </xf>
    <xf numFmtId="0" fontId="6" fillId="0" borderId="6" xfId="1" applyBorder="1">
      <alignment horizontal="left"/>
    </xf>
    <xf numFmtId="0" fontId="6" fillId="0" borderId="7" xfId="6" applyBorder="1"/>
    <xf numFmtId="165" fontId="6" fillId="0" borderId="6" xfId="1" applyNumberFormat="1" applyBorder="1">
      <alignment horizontal="left"/>
    </xf>
    <xf numFmtId="0" fontId="6" fillId="0" borderId="8" xfId="6" applyBorder="1"/>
    <xf numFmtId="0" fontId="1" fillId="0" borderId="9" xfId="5" applyBorder="1">
      <alignment horizontal="left"/>
    </xf>
    <xf numFmtId="0" fontId="1" fillId="0" borderId="10" xfId="4" applyBorder="1"/>
    <xf numFmtId="165" fontId="1" fillId="0" borderId="9" xfId="5" applyNumberFormat="1" applyBorder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7"/>
    <xf numFmtId="0" fontId="2" fillId="2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5" fillId="8" borderId="11" xfId="0" applyFont="1" applyFill="1" applyBorder="1"/>
    <xf numFmtId="0" fontId="0" fillId="0" borderId="0" xfId="0" applyAlignment="1"/>
    <xf numFmtId="0" fontId="11" fillId="0" borderId="11" xfId="0" applyFont="1" applyBorder="1" applyAlignment="1"/>
    <xf numFmtId="0" fontId="7" fillId="13" borderId="11" xfId="7" applyFill="1" applyBorder="1" applyAlignment="1">
      <alignment horizontal="center"/>
    </xf>
    <xf numFmtId="0" fontId="7" fillId="13" borderId="11" xfId="7" applyFill="1" applyBorder="1" applyAlignment="1">
      <alignment horizontal="center" vertical="center"/>
    </xf>
    <xf numFmtId="0" fontId="9" fillId="13" borderId="14" xfId="7" applyFont="1" applyFill="1" applyBorder="1" applyAlignment="1">
      <alignment horizontal="center" vertical="center"/>
    </xf>
    <xf numFmtId="0" fontId="9" fillId="13" borderId="15" xfId="7" applyFont="1" applyFill="1" applyBorder="1" applyAlignment="1">
      <alignment horizontal="center" vertical="center"/>
    </xf>
    <xf numFmtId="0" fontId="9" fillId="13" borderId="16" xfId="7" applyFont="1" applyFill="1" applyBorder="1" applyAlignment="1">
      <alignment horizontal="center" vertical="center"/>
    </xf>
    <xf numFmtId="0" fontId="9" fillId="17" borderId="14" xfId="7" applyFont="1" applyFill="1" applyBorder="1" applyAlignment="1">
      <alignment horizontal="center" vertical="center"/>
    </xf>
    <xf numFmtId="0" fontId="9" fillId="17" borderId="15" xfId="7" applyFont="1" applyFill="1" applyBorder="1" applyAlignment="1">
      <alignment horizontal="center" vertical="center"/>
    </xf>
    <xf numFmtId="0" fontId="9" fillId="17" borderId="16" xfId="7" applyFont="1" applyFill="1" applyBorder="1" applyAlignment="1">
      <alignment horizontal="center" vertical="center"/>
    </xf>
    <xf numFmtId="0" fontId="10" fillId="15" borderId="17" xfId="7" applyFont="1" applyFill="1" applyBorder="1" applyAlignment="1">
      <alignment horizontal="center" vertical="center"/>
    </xf>
    <xf numFmtId="0" fontId="10" fillId="15" borderId="18" xfId="7" applyFont="1" applyFill="1" applyBorder="1" applyAlignment="1">
      <alignment horizontal="center" vertical="center"/>
    </xf>
    <xf numFmtId="0" fontId="10" fillId="15" borderId="19" xfId="7" applyFont="1" applyFill="1" applyBorder="1" applyAlignment="1">
      <alignment horizontal="center" vertical="center"/>
    </xf>
    <xf numFmtId="0" fontId="10" fillId="15" borderId="20" xfId="7" applyFont="1" applyFill="1" applyBorder="1" applyAlignment="1">
      <alignment horizontal="center" vertical="center"/>
    </xf>
    <xf numFmtId="0" fontId="10" fillId="15" borderId="21" xfId="7" applyFont="1" applyFill="1" applyBorder="1" applyAlignment="1">
      <alignment horizontal="center" vertical="center"/>
    </xf>
    <xf numFmtId="0" fontId="10" fillId="15" borderId="22" xfId="7" applyFont="1" applyFill="1" applyBorder="1" applyAlignment="1">
      <alignment horizontal="center" vertical="center"/>
    </xf>
    <xf numFmtId="168" fontId="8" fillId="14" borderId="17" xfId="7" applyNumberFormat="1" applyFont="1" applyFill="1" applyBorder="1" applyAlignment="1">
      <alignment horizontal="center" vertical="center"/>
    </xf>
    <xf numFmtId="0" fontId="8" fillId="14" borderId="18" xfId="7" applyFont="1" applyFill="1" applyBorder="1" applyAlignment="1">
      <alignment horizontal="center" vertical="center"/>
    </xf>
    <xf numFmtId="0" fontId="8" fillId="14" borderId="19" xfId="7" applyFont="1" applyFill="1" applyBorder="1" applyAlignment="1">
      <alignment horizontal="center" vertical="center"/>
    </xf>
    <xf numFmtId="0" fontId="8" fillId="14" borderId="23" xfId="7" applyFont="1" applyFill="1" applyBorder="1" applyAlignment="1">
      <alignment horizontal="center" vertical="center"/>
    </xf>
    <xf numFmtId="0" fontId="8" fillId="14" borderId="0" xfId="7" applyFont="1" applyFill="1" applyBorder="1" applyAlignment="1">
      <alignment horizontal="center" vertical="center"/>
    </xf>
    <xf numFmtId="0" fontId="8" fillId="14" borderId="24" xfId="7" applyFont="1" applyFill="1" applyBorder="1" applyAlignment="1">
      <alignment horizontal="center" vertical="center"/>
    </xf>
    <xf numFmtId="0" fontId="8" fillId="14" borderId="20" xfId="7" applyFont="1" applyFill="1" applyBorder="1" applyAlignment="1">
      <alignment horizontal="center" vertical="center"/>
    </xf>
    <xf numFmtId="0" fontId="8" fillId="14" borderId="21" xfId="7" applyFont="1" applyFill="1" applyBorder="1" applyAlignment="1">
      <alignment horizontal="center" vertical="center"/>
    </xf>
    <xf numFmtId="0" fontId="8" fillId="14" borderId="22" xfId="7" applyFont="1" applyFill="1" applyBorder="1" applyAlignment="1">
      <alignment horizontal="center" vertical="center"/>
    </xf>
    <xf numFmtId="0" fontId="8" fillId="14" borderId="17" xfId="7" applyFont="1" applyFill="1" applyBorder="1" applyAlignment="1">
      <alignment horizontal="center" vertical="center"/>
    </xf>
    <xf numFmtId="0" fontId="9" fillId="18" borderId="11" xfId="7" applyFont="1" applyFill="1" applyBorder="1" applyAlignment="1">
      <alignment horizontal="center" vertical="center"/>
    </xf>
    <xf numFmtId="0" fontId="0" fillId="13" borderId="23" xfId="0" applyFill="1" applyBorder="1"/>
    <xf numFmtId="0" fontId="0" fillId="13" borderId="0" xfId="0" applyFill="1" applyBorder="1"/>
    <xf numFmtId="0" fontId="7" fillId="13" borderId="0" xfId="7" applyFill="1" applyBorder="1"/>
    <xf numFmtId="0" fontId="7" fillId="13" borderId="24" xfId="7" applyFill="1" applyBorder="1"/>
    <xf numFmtId="0" fontId="7" fillId="13" borderId="23" xfId="7" applyFill="1" applyBorder="1"/>
    <xf numFmtId="0" fontId="9" fillId="13" borderId="0" xfId="7" applyFont="1" applyFill="1" applyBorder="1"/>
    <xf numFmtId="0" fontId="8" fillId="13" borderId="0" xfId="7" applyFont="1" applyFill="1" applyBorder="1"/>
    <xf numFmtId="0" fontId="7" fillId="13" borderId="0" xfId="7" applyFill="1" applyBorder="1" applyAlignment="1">
      <alignment wrapText="1"/>
    </xf>
    <xf numFmtId="0" fontId="7" fillId="13" borderId="24" xfId="7" applyFill="1" applyBorder="1" applyAlignment="1">
      <alignment wrapText="1"/>
    </xf>
    <xf numFmtId="0" fontId="0" fillId="13" borderId="24" xfId="0" applyFill="1" applyBorder="1"/>
    <xf numFmtId="0" fontId="7" fillId="13" borderId="21" xfId="7" applyFill="1" applyBorder="1"/>
    <xf numFmtId="0" fontId="7" fillId="13" borderId="22" xfId="7" applyFill="1" applyBorder="1"/>
    <xf numFmtId="0" fontId="13" fillId="16" borderId="17" xfId="7" applyFont="1" applyFill="1" applyBorder="1" applyAlignment="1">
      <alignment horizontal="center" vertical="center"/>
    </xf>
    <xf numFmtId="0" fontId="13" fillId="16" borderId="18" xfId="7" applyFont="1" applyFill="1" applyBorder="1" applyAlignment="1">
      <alignment horizontal="center" vertical="center"/>
    </xf>
    <xf numFmtId="0" fontId="13" fillId="16" borderId="19" xfId="7" applyFont="1" applyFill="1" applyBorder="1" applyAlignment="1">
      <alignment horizontal="center" vertical="center"/>
    </xf>
    <xf numFmtId="0" fontId="13" fillId="16" borderId="20" xfId="7" applyFont="1" applyFill="1" applyBorder="1" applyAlignment="1">
      <alignment horizontal="center" vertical="center"/>
    </xf>
    <xf numFmtId="0" fontId="13" fillId="16" borderId="21" xfId="7" applyFont="1" applyFill="1" applyBorder="1" applyAlignment="1">
      <alignment horizontal="center" vertical="center"/>
    </xf>
    <xf numFmtId="0" fontId="13" fillId="16" borderId="22" xfId="7" applyFont="1" applyFill="1" applyBorder="1" applyAlignment="1">
      <alignment horizontal="center" vertical="center"/>
    </xf>
  </cellXfs>
  <cellStyles count="8">
    <cellStyle name="Normal" xfId="0" builtinId="0"/>
    <cellStyle name="Normal 2" xfId="7" xr:uid="{53F579D9-DC00-4A26-8EB3-AB0360AA5703}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7B7B7"/>
      <rgbColor rgb="FF8B8B8B"/>
      <rgbColor rgb="FF5B9BD5"/>
      <rgbColor rgb="FF7030A0"/>
      <rgbColor rgb="FFFFF2CC"/>
      <rgbColor rgb="FFD9EAF7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F2F2F2"/>
      <rgbColor rgb="FFFFFF99"/>
      <rgbColor rgb="FF83CBEB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97132"/>
      <rgbColor rgb="FF666666"/>
      <rgbColor rgb="FF70AD47"/>
      <rgbColor rgb="FF003366"/>
      <rgbColor rgb="FF46788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 b="1" i="1">
                <a:solidFill>
                  <a:srgbClr val="002060"/>
                </a:solidFill>
              </a:rPr>
              <a:t>REGIONAL SALES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Dashboard'!$K$16:$K$19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Dashboard'!$L$16:$L$19</c:f>
              <c:numCache>
                <c:formatCode>General</c:formatCode>
                <c:ptCount val="4"/>
                <c:pt idx="0">
                  <c:v>4041922</c:v>
                </c:pt>
                <c:pt idx="1">
                  <c:v>9197852.5</c:v>
                </c:pt>
                <c:pt idx="2">
                  <c:v>7490491.5</c:v>
                </c:pt>
                <c:pt idx="3">
                  <c:v>13194606.5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3-4394-AD17-64DF299818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 b="1"/>
              <a:t>CATEGORY PERFORMANCE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'Sales Dashboard'!$N$16:$N$18</c:f>
              <c:strCache>
                <c:ptCount val="3"/>
                <c:pt idx="0">
                  <c:v>Electronics</c:v>
                </c:pt>
                <c:pt idx="1">
                  <c:v>Home Appliances</c:v>
                </c:pt>
                <c:pt idx="2">
                  <c:v>Stationery</c:v>
                </c:pt>
              </c:strCache>
            </c:strRef>
          </c:cat>
          <c:val>
            <c:numRef>
              <c:f>'Sales Dashboard'!$O$16:$O$18</c:f>
              <c:numCache>
                <c:formatCode>General</c:formatCode>
                <c:ptCount val="3"/>
                <c:pt idx="0">
                  <c:v>26992394</c:v>
                </c:pt>
                <c:pt idx="1">
                  <c:v>6816975</c:v>
                </c:pt>
                <c:pt idx="2">
                  <c:v>115503.5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EE1-A4EB-445DC8A4D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2">
                  <a:lumMod val="50000"/>
                  <a:lumOff val="50000"/>
                </a:schemeClr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accent5">
        <a:lumMod val="40000"/>
        <a:lumOff val="60000"/>
      </a:schemeClr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 b="1"/>
              <a:t>MONTHLY SALES TREND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Dashboard'!$H$16:$H$27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Dashboard'!$I$16:$I$27</c:f>
              <c:numCache>
                <c:formatCode>General</c:formatCode>
                <c:ptCount val="12"/>
                <c:pt idx="0">
                  <c:v>4579197.5</c:v>
                </c:pt>
                <c:pt idx="1">
                  <c:v>4362197.25</c:v>
                </c:pt>
                <c:pt idx="2">
                  <c:v>3651419.75</c:v>
                </c:pt>
                <c:pt idx="3">
                  <c:v>5689717.75</c:v>
                </c:pt>
                <c:pt idx="4">
                  <c:v>3842092</c:v>
                </c:pt>
                <c:pt idx="5">
                  <c:v>1032385</c:v>
                </c:pt>
                <c:pt idx="6">
                  <c:v>1741047.5</c:v>
                </c:pt>
                <c:pt idx="7">
                  <c:v>1836526</c:v>
                </c:pt>
                <c:pt idx="8">
                  <c:v>1236111.5</c:v>
                </c:pt>
                <c:pt idx="9">
                  <c:v>1775603.5</c:v>
                </c:pt>
                <c:pt idx="10">
                  <c:v>1992715.25</c:v>
                </c:pt>
                <c:pt idx="11">
                  <c:v>2185859.5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F-4966-A80A-61647C45F3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solidFill>
            <a:schemeClr val="accent3">
              <a:lumMod val="40000"/>
              <a:lumOff val="60000"/>
            </a:schemeClr>
          </a:solidFill>
        </a:ln>
        <a:effectLst/>
      </c:spPr>
    </c:plotArea>
    <c:plotVisOnly val="1"/>
    <c:dispBlanksAs val="zero"/>
    <c:showDLblsOverMax val="1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68865</xdr:colOff>
      <xdr:row>28</xdr:row>
      <xdr:rowOff>29022</xdr:rowOff>
    </xdr:from>
    <xdr:to>
      <xdr:col>14</xdr:col>
      <xdr:colOff>640080</xdr:colOff>
      <xdr:row>62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2D0A4C07-674D-4761-929B-4F8103FFC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91178</xdr:colOff>
      <xdr:row>62</xdr:row>
      <xdr:rowOff>120486</xdr:rowOff>
    </xdr:from>
    <xdr:to>
      <xdr:col>14</xdr:col>
      <xdr:colOff>656165</xdr:colOff>
      <xdr:row>101</xdr:row>
      <xdr:rowOff>127000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D5E6C77-51BD-4643-A55C-9599484AA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79913</xdr:colOff>
      <xdr:row>103</xdr:row>
      <xdr:rowOff>61803</xdr:rowOff>
    </xdr:from>
    <xdr:to>
      <xdr:col>14</xdr:col>
      <xdr:colOff>613833</xdr:colOff>
      <xdr:row>146</xdr:row>
      <xdr:rowOff>105830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BC4B1FF5-7CD8-420E-B1AD-F9C107666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</xdr:colOff>
      <xdr:row>0</xdr:row>
      <xdr:rowOff>10436</xdr:rowOff>
    </xdr:from>
    <xdr:to>
      <xdr:col>15</xdr:col>
      <xdr:colOff>208766</xdr:colOff>
      <xdr:row>148</xdr:row>
      <xdr:rowOff>10438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500E31E-54D5-8811-F372-4A455BFD017E}"/>
            </a:ext>
          </a:extLst>
        </xdr:cNvPr>
        <xdr:cNvSpPr/>
      </xdr:nvSpPr>
      <xdr:spPr>
        <a:xfrm>
          <a:off x="13423727" y="10436"/>
          <a:ext cx="208765" cy="266386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</xdr:colOff>
      <xdr:row>148</xdr:row>
      <xdr:rowOff>11814</xdr:rowOff>
    </xdr:from>
    <xdr:to>
      <xdr:col>15</xdr:col>
      <xdr:colOff>206744</xdr:colOff>
      <xdr:row>148</xdr:row>
      <xdr:rowOff>93944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BCEB81C-7C9C-26A1-5F5B-B28F65656D16}"/>
            </a:ext>
          </a:extLst>
        </xdr:cNvPr>
        <xdr:cNvSpPr/>
      </xdr:nvSpPr>
      <xdr:spPr>
        <a:xfrm>
          <a:off x="2" y="26191535"/>
          <a:ext cx="13615579" cy="821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98" xr:uid="{00000000-000A-0000-FFFF-FFFF01000000}">
  <cacheSource type="worksheet">
    <worksheetSource ref="A1:W499" sheet="Cleaned_Data"/>
  </cacheSource>
  <cacheFields count="23">
    <cacheField name="Order_ID" numFmtId="0">
      <sharedItems count="498">
        <s v="ORD10001"/>
        <s v="ORD10002"/>
        <s v="ORD10003"/>
        <s v="ORD10005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</sharedItems>
    </cacheField>
    <cacheField name="Customer_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Product_ID" numFmtId="0">
      <sharedItems count="11">
        <s v="P101"/>
        <s v="P102"/>
        <s v="P103"/>
        <s v="P104"/>
        <s v="P201"/>
        <s v="P202"/>
        <s v="P203"/>
        <s v="P301"/>
        <s v="P302"/>
        <s v="P303"/>
        <s v="P999"/>
      </sharedItems>
    </cacheField>
    <cacheField name="Order_Date" numFmtId="0">
      <sharedItems count="327">
        <s v="\"/>
        <s v="01/01/2025"/>
        <s v="01/02/2025"/>
        <s v="01/03/2025"/>
        <s v="01/04/2025"/>
        <s v="01/04/2026"/>
        <s v="01/07/2025"/>
        <s v="01/08/2025"/>
        <s v="01/09/2025"/>
        <s v="01/10/2025"/>
        <s v="01/11/2025"/>
        <s v="01/12/2025"/>
        <s v="02/01/2026"/>
        <s v="02/03/2025"/>
        <s v="02/04/2026"/>
        <s v="02/05/2025"/>
        <s v="02/05/2026"/>
        <s v="02/06/2025"/>
        <s v="02/07/2025"/>
        <s v="02/11/2025"/>
        <s v="02/12/2025"/>
        <s v="03/01/2025"/>
        <s v="03/01/2026"/>
        <s v="03/02/2025"/>
        <s v="03/03/2025"/>
        <s v="03/04/2025"/>
        <s v="03/04/2026"/>
        <s v="03/05/2025"/>
        <s v="03/05/2026"/>
        <s v="03/06/2025"/>
        <s v="03/08/2025"/>
        <s v="03/09/2025"/>
        <s v="03/11/2025"/>
        <s v="04/01/2026"/>
        <s v="04/02/2025"/>
        <s v="04/02/2026"/>
        <s v="04/03/2026"/>
        <s v="04/04/2026"/>
        <s v="04/05/2025"/>
        <s v="04/05/2026"/>
        <s v="04/06/2025"/>
        <s v="04/07/2025"/>
        <s v="04/08/2025"/>
        <s v="04/09/2025"/>
        <s v="04/10/2025"/>
        <s v="04/11/2025"/>
        <s v="04/12/2025"/>
        <s v="05/01/2026"/>
        <s v="05/03/2025"/>
        <s v="05/03/2026"/>
        <s v="05/04/2025"/>
        <s v="05/05/2026"/>
        <s v="05/06/2025"/>
        <s v="05/08/2025"/>
        <s v="05/10/2025"/>
        <s v="05/11/2025"/>
        <s v="05/12/2025"/>
        <s v="06/01/2026"/>
        <s v="06/02/2025"/>
        <s v="06/03/2025"/>
        <s v="06/03/2026"/>
        <s v="06/04/2026"/>
        <s v="06/07/2025"/>
        <s v="06/09/2025"/>
        <s v="06/10/2025"/>
        <s v="06/11/2025"/>
        <s v="06/12/2025"/>
        <s v="07/02/2025"/>
        <s v="07/03/2025"/>
        <s v="07/03/2026"/>
        <s v="07/04/2025"/>
        <s v="07/04/2026"/>
        <s v="07/05/2026"/>
        <s v="07/07/2025"/>
        <s v="08/01/2026"/>
        <s v="08/02/2025"/>
        <s v="08/02/2026"/>
        <s v="08/03/2025"/>
        <s v="08/03/2026"/>
        <s v="08/04/2025"/>
        <s v="08/04/2026"/>
        <s v="08/05/2025"/>
        <s v="08/05/2026"/>
        <s v="08/06/2025"/>
        <s v="08/07/2025"/>
        <s v="08/09/2025"/>
        <s v="09/01/2025"/>
        <s v="09/01/2026"/>
        <s v="09/02/2025"/>
        <s v="09/02/2026"/>
        <s v="09/03/2025"/>
        <s v="09/04/2025"/>
        <s v="09/04/2026"/>
        <s v="09/05/2025"/>
        <s v="09/05/2026"/>
        <s v="09/06/2025"/>
        <s v="09/07/2025"/>
        <s v="09/08/2025"/>
        <s v="09/10/2025"/>
        <s v="09/11/2025"/>
        <s v="10/01/2025"/>
        <s v="10/02/2026"/>
        <s v="10/04/2025"/>
        <s v="10/05/2026"/>
        <s v="10/07/2025"/>
        <s v="10/08/2025"/>
        <s v="10/10/2025"/>
        <s v="10/12/2025"/>
        <s v="11/01/2026"/>
        <s v="11/02/2025"/>
        <s v="11/02/2026"/>
        <s v="11/03/2026"/>
        <s v="11/04/2025"/>
        <s v="11/04/2026"/>
        <s v="11/05/2025"/>
        <s v="11/05/2026"/>
        <s v="11/06/2025"/>
        <s v="11/10/2025"/>
        <s v="11/12/2025"/>
        <s v="12/01/2025"/>
        <s v="12/01/2026"/>
        <s v="12/02/2026"/>
        <s v="12/03/2025"/>
        <s v="12/04/2025"/>
        <s v="12/05/2025"/>
        <s v="12/05/2026"/>
        <s v="12/06/2025"/>
        <s v="12/09/2025"/>
        <s v="12/10/2025"/>
        <s v="12/12/2025"/>
        <s v="13/01/2025"/>
        <s v="13/01/2026"/>
        <s v="13/02/2025"/>
        <s v="13/02/2026"/>
        <s v="13/03/2025"/>
        <s v="13/03/2026"/>
        <s v="13/04/2025"/>
        <s v="13/05/2025"/>
        <s v="13/05/2026"/>
        <s v="13/08/2025"/>
        <s v="13/10/2025"/>
        <s v="13/12/2025"/>
        <s v="14/01/2026"/>
        <s v="14/02/2026"/>
        <s v="14/03/2025"/>
        <s v="14/03/2026"/>
        <s v="14/05/2025"/>
        <s v="14/06/2025"/>
        <s v="14/07/2025"/>
        <s v="14/12/2025"/>
        <s v="15/01/2025"/>
        <s v="15/03/2026"/>
        <s v="15/04/2026"/>
        <s v="15/05/2025"/>
        <s v="15/06/2025"/>
        <s v="15/09/2025"/>
        <s v="15/10/2025"/>
        <s v="15/11/2025"/>
        <s v="15/12/2025"/>
        <s v="16/01/2025"/>
        <s v="16/01/2026"/>
        <s v="16/02/2025"/>
        <s v="16/03/2025"/>
        <s v="16/03/2026"/>
        <s v="16/04/2026"/>
        <s v="16/05/2025"/>
        <s v="16/05/2026"/>
        <s v="16/06/2025"/>
        <s v="16/08/2025"/>
        <s v="16/09/2025"/>
        <s v="16/11/2025"/>
        <s v="16/12/2025"/>
        <s v="17/01/2025"/>
        <s v="17/01/2026"/>
        <s v="17/02/2025"/>
        <s v="17/02/2026"/>
        <s v="17/03/2025"/>
        <s v="17/03/2026"/>
        <s v="17/04/2025"/>
        <s v="17/04/2026"/>
        <s v="17/09/2025"/>
        <s v="17/12/2025"/>
        <s v="18/01/2026"/>
        <s v="18/02/2025"/>
        <s v="18/02/2026"/>
        <s v="18/03/2025"/>
        <s v="18/04/2025"/>
        <s v="18/05/2025"/>
        <s v="18/07/2025"/>
        <s v="18/09/2025"/>
        <s v="18/10/2025"/>
        <s v="18/11/2025"/>
        <s v="18/12/2025"/>
        <s v="19/01/2026"/>
        <s v="19/02/2025"/>
        <s v="19/02/2026"/>
        <s v="19/04/2025"/>
        <s v="19/04/2026"/>
        <s v="19/05/2025"/>
        <s v="19/06/2025"/>
        <s v="19/07/2025"/>
        <s v="19/08/2025"/>
        <s v="19/09/2025"/>
        <s v="19/10/2025"/>
        <s v="19/11/2025"/>
        <s v="20/02/2025"/>
        <s v="20/02/2026"/>
        <s v="20/03/2025"/>
        <s v="20/04/2025"/>
        <s v="20/04/2026"/>
        <s v="20/05/2025"/>
        <s v="20/06/2025"/>
        <s v="20/07/2025"/>
        <s v="20/08/2025"/>
        <s v="20/10/2025"/>
        <s v="21/01/2025"/>
        <s v="21/01/2026"/>
        <s v="21/02/2025"/>
        <s v="21/02/2026"/>
        <s v="21/03/2026"/>
        <s v="21/04/2025"/>
        <s v="21/06/2025"/>
        <s v="21/07/2025"/>
        <s v="21/09/2025"/>
        <s v="21/10/2025"/>
        <s v="22/01/2025"/>
        <s v="22/02/2025"/>
        <s v="22/02/2026"/>
        <s v="22/03/2026"/>
        <s v="22/04/2025"/>
        <s v="22/04/2026"/>
        <s v="22/05/2025"/>
        <s v="22/06/2025"/>
        <s v="22/07/2025"/>
        <s v="22/09/2025"/>
        <s v="22/10/2025"/>
        <s v="22/12/2025"/>
        <s v="23/01/2026"/>
        <s v="23/02/2025"/>
        <s v="23/03/2025"/>
        <s v="23/03/2026"/>
        <s v="23/04/2025"/>
        <s v="23/04/2026"/>
        <s v="23/07/2025"/>
        <s v="23/08/2025"/>
        <s v="23/10/2025"/>
        <s v="23/12/2025"/>
        <s v="24/01/2025"/>
        <s v="24/01/2026"/>
        <s v="24/02/2026"/>
        <s v="24/03/2026"/>
        <s v="24/04/2026"/>
        <s v="24/05/2025"/>
        <s v="24/06/2025"/>
        <s v="24/08/2025"/>
        <s v="24/12/2025"/>
        <s v="25/01/2025"/>
        <s v="25/02/2025"/>
        <s v="25/02/2026"/>
        <s v="25/03/2025"/>
        <s v="25/04/2025"/>
        <s v="25/04/2026"/>
        <s v="25/05/2025"/>
        <s v="25/06/2025"/>
        <s v="25/07/2025"/>
        <s v="25/08/2025"/>
        <s v="25/11/2025"/>
        <s v="26/01/2025"/>
        <s v="26/01/2026"/>
        <s v="26/02/2025"/>
        <s v="26/03/2025"/>
        <s v="26/03/2026"/>
        <s v="26/04/2025"/>
        <s v="26/04/2026"/>
        <s v="26/05/2025"/>
        <s v="26/06/2025"/>
        <s v="26/07/2025"/>
        <s v="26/08/2025"/>
        <s v="26/12/2025"/>
        <s v="27/01/2025"/>
        <s v="27/01/2026"/>
        <s v="27/02/2025"/>
        <s v="27/03/2025"/>
        <s v="27/03/2026"/>
        <s v="27/04/2025"/>
        <s v="27/04/2026"/>
        <s v="27/06/2025"/>
        <s v="27/07/2025"/>
        <s v="27/08/2025"/>
        <s v="27/09/2025"/>
        <s v="27/11/2025"/>
        <s v="27/12/2025"/>
        <s v="28/01/2025"/>
        <s v="28/01/2026"/>
        <s v="28/02/2025"/>
        <s v="28/02/2026"/>
        <s v="28/03/2025"/>
        <s v="28/04/2025"/>
        <s v="28/05/2025"/>
        <s v="28/07/2025"/>
        <s v="28/08/2025"/>
        <s v="28/10/2025"/>
        <s v="28/12/2025"/>
        <s v="29/03/2025"/>
        <s v="29/03/2026"/>
        <s v="29/04/2026"/>
        <s v="29/05/2025"/>
        <s v="29/06/2025"/>
        <s v="29/07/2025"/>
        <s v="29/09/2025"/>
        <s v="29/10/2025"/>
        <s v="29/11/2025"/>
        <s v="29/12/2025"/>
        <s v="30/01/2026"/>
        <s v="30/03/2025"/>
        <s v="30/04/2025"/>
        <s v="30/05/2025"/>
        <s v="30/07/2025"/>
        <s v="30/08/2025"/>
        <s v="30/10/2025"/>
        <s v="31/01/2025"/>
        <s v="31/01/2026"/>
        <s v="31/02/2025"/>
        <s v="31/05/2025"/>
        <s v="31/10/2025"/>
        <s v="31/12/2025"/>
        <s v="Pending"/>
      </sharedItems>
    </cacheField>
    <cacheField name="Delivery_Date" numFmtId="0">
      <sharedItems count="330">
        <s v="01/01/2026"/>
        <s v="01/02/2025"/>
        <s v="01/02/2026"/>
        <s v="01/03/2025"/>
        <s v="01/04/2025"/>
        <s v="01/05/2025"/>
        <s v="01/06/2025"/>
        <s v="01/07/2025"/>
        <s v="01/08/2025"/>
        <s v="01/10/2025"/>
        <s v="01/11/2025"/>
        <s v="02/01/2026"/>
        <s v="02/02/2025"/>
        <s v="02/02/2026"/>
        <s v="02/03/2025"/>
        <s v="02/04/2026"/>
        <s v="02/05/2026"/>
        <s v="02/06/2025"/>
        <s v="02/07/2025"/>
        <s v="02/08/2025"/>
        <s v="02/11/2025"/>
        <s v="02/12/2025"/>
        <s v="03/01/2026"/>
        <s v="03/03/2026"/>
        <s v="03/05/2025"/>
        <s v="03/05/2026"/>
        <s v="03/06/2025"/>
        <s v="03/07/2025"/>
        <s v="03/10/2025"/>
        <s v="03/11/2025"/>
        <s v="03/12/2025"/>
        <s v="04/01/2026"/>
        <s v="04/02/2025"/>
        <s v="04/03/2025"/>
        <s v="04/03/2026"/>
        <s v="04/04/2026"/>
        <s v="04/05/2025"/>
        <s v="04/05/2026"/>
        <s v="04/06/2025"/>
        <s v="04/07/2025"/>
        <s v="04/08/2025"/>
        <s v="04/11/2025"/>
        <s v="04/12/2025"/>
        <s v="05/01/2026"/>
        <s v="05/02/2025"/>
        <s v="05/03/2025"/>
        <s v="05/03/2026"/>
        <s v="05/04/2026"/>
        <s v="05/05/2025"/>
        <s v="05/06/2025"/>
        <s v="05/07/2025"/>
        <s v="05/08/2025"/>
        <s v="05/09/2025"/>
        <s v="05/11/2025"/>
        <s v="06/01/2026"/>
        <s v="06/02/2025"/>
        <s v="06/02/2026"/>
        <s v="06/03/2025"/>
        <s v="06/04/2025"/>
        <s v="06/06/2025"/>
        <s v="06/07/2025"/>
        <s v="06/10/2025"/>
        <s v="06/11/2025"/>
        <s v="06/12/2025"/>
        <s v="07/01/2025"/>
        <s v="07/03/2025"/>
        <s v="07/04/2025"/>
        <s v="07/04/2026"/>
        <s v="07/05/2025"/>
        <s v="07/05/2026"/>
        <s v="07/06/2025"/>
        <s v="07/07/2025"/>
        <s v="07/08/2025"/>
        <s v="07/09/2025"/>
        <s v="07/10/2025"/>
        <s v="07/11/2025"/>
        <s v="07/12/2025"/>
        <s v="08/01/2025"/>
        <s v="08/02/2026"/>
        <s v="08/03/2026"/>
        <s v="08/04/2025"/>
        <s v="08/04/2026"/>
        <s v="08/06/2025"/>
        <s v="08/09/2025"/>
        <s v="08/10/2025"/>
        <s v="08/11/2025"/>
        <s v="09/01/2026"/>
        <s v="09/02/2025"/>
        <s v="09/03/2026"/>
        <s v="09/05/2025"/>
        <s v="09/05/2026"/>
        <s v="09/08/2025"/>
        <s v="09/10/2025"/>
        <s v="09/11/2025"/>
        <s v="10/01/2026"/>
        <s v="10/02/2025"/>
        <s v="10/02/2026"/>
        <s v="10/03/2025"/>
        <s v="10/03/2026"/>
        <s v="10/04/2025"/>
        <s v="10/04/2026"/>
        <s v="10/05/2026"/>
        <s v="10/06/2025"/>
        <s v="10/07/2025"/>
        <s v="10/09/2025"/>
        <s v="10/11/2025"/>
        <s v="10/12/2025"/>
        <s v="11/02/2025"/>
        <s v="11/03/2026"/>
        <s v="11/04/2025"/>
        <s v="11/04/2026"/>
        <s v="11/05/2025"/>
        <s v="11/05/2026"/>
        <s v="11/06/2025"/>
        <s v="11/08/2025"/>
        <s v="11/10/2025"/>
        <s v="11/11/2025"/>
        <s v="11/12/2025"/>
        <s v="12/01/2025"/>
        <s v="12/01/2026"/>
        <s v="12/02/2025"/>
        <s v="12/02/2026"/>
        <s v="12/03/2025"/>
        <s v="12/03/2026"/>
        <s v="12/04/2025"/>
        <s v="12/07/2025"/>
        <s v="12/09/2025"/>
        <s v="12/10/2025"/>
        <s v="12/12/2025"/>
        <s v="13/01/2026"/>
        <s v="13/02/2025"/>
        <s v="13/03/2025"/>
        <s v="13/04/2026"/>
        <s v="13/05/2026"/>
        <s v="13/06/2025"/>
        <s v="13/07/2025"/>
        <s v="13/11/2025"/>
        <s v="14/01/2026"/>
        <s v="14/02/2025"/>
        <s v="14/02/2026"/>
        <s v="14/03/2025"/>
        <s v="14/04/2025"/>
        <s v="14/06/2025"/>
        <s v="14/07/2025"/>
        <s v="14/08/2025"/>
        <s v="14/09/2025"/>
        <s v="14/10/2025"/>
        <s v="14/11/2025"/>
        <s v="14/12/2025"/>
        <s v="15/01/2025"/>
        <s v="15/02/2025"/>
        <s v="15/03/2025"/>
        <s v="15/04/2025"/>
        <s v="15/04/2026"/>
        <s v="15/05/2025"/>
        <s v="15/05/2026"/>
        <s v="15/08/2025"/>
        <s v="15/10/2025"/>
        <s v="15/12/2025"/>
        <s v="16/01/2025"/>
        <s v="16/01/2026"/>
        <s v="16/02/2025"/>
        <s v="16/02/2026"/>
        <s v="16/03/2026"/>
        <s v="16/04/2026"/>
        <s v="16/05/2025"/>
        <s v="16/05/2026"/>
        <s v="16/06/2025"/>
        <s v="16/07/2025"/>
        <s v="16/10/2025"/>
        <s v="16/11/2025"/>
        <s v="16/12/2025"/>
        <s v="17/01/2025"/>
        <s v="17/01/2026"/>
        <s v="17/02/2025"/>
        <s v="17/02/2026"/>
        <s v="17/05/2025"/>
        <s v="17/05/2026"/>
        <s v="17/06/2025"/>
        <s v="17/08/2025"/>
        <s v="17/09/2025"/>
        <s v="17/10/2025"/>
        <s v="18/01/2025"/>
        <s v="18/01/2026"/>
        <s v="18/02/2025"/>
        <s v="18/03/2025"/>
        <s v="18/03/2026"/>
        <s v="18/04/2025"/>
        <s v="18/05/2026"/>
        <s v="18/06/2025"/>
        <s v="18/07/2025"/>
        <s v="18/08/2025"/>
        <s v="18/09/2025"/>
        <s v="18/12/2025"/>
        <s v="19/02/2025"/>
        <s v="19/03/2026"/>
        <s v="19/04/2025"/>
        <s v="19/04/2026"/>
        <s v="19/05/2025"/>
        <s v="19/05/2026"/>
        <s v="19/06/2025"/>
        <s v="19/07/2025"/>
        <s v="19/09/2025"/>
        <s v="19/10/2025"/>
        <s v="19/12/2025"/>
        <s v="20/01/2025"/>
        <s v="20/01/2026"/>
        <s v="20/03/2025"/>
        <s v="20/03/2026"/>
        <s v="20/04/2025"/>
        <s v="20/04/2026"/>
        <s v="20/05/2025"/>
        <s v="20/05/2026"/>
        <s v="20/09/2025"/>
        <s v="20/10/2025"/>
        <s v="20/11/2025"/>
        <s v="20/12/2025"/>
        <s v="21/01/2025"/>
        <s v="21/02/2025"/>
        <s v="21/02/2026"/>
        <s v="21/03/2025"/>
        <s v="21/03/2026"/>
        <s v="21/04/2026"/>
        <s v="21/05/2025"/>
        <s v="21/06/2025"/>
        <s v="21/10/2025"/>
        <s v="21/12/2025"/>
        <s v="22/01/2026"/>
        <s v="22/02/2026"/>
        <s v="22/04/2025"/>
        <s v="22/05/2025"/>
        <s v="22/05/2026"/>
        <s v="22/09/2025"/>
        <s v="22/10/2025"/>
        <s v="23/02/2026"/>
        <s v="23/03/2025"/>
        <s v="23/05/2025"/>
        <s v="23/05/2026"/>
        <s v="23/06/2025"/>
        <s v="23/07/2025"/>
        <s v="23/08/2025"/>
        <s v="23/09/2025"/>
        <s v="23/10/2025"/>
        <s v="23/12/2025"/>
        <s v="24/01/2025"/>
        <s v="24/01/2026"/>
        <s v="24/02/2025"/>
        <s v="24/02/2026"/>
        <s v="24/03/2026"/>
        <s v="24/05/2025"/>
        <s v="24/06/2025"/>
        <s v="24/07/2025"/>
        <s v="24/09/2025"/>
        <s v="24/10/2025"/>
        <s v="24/11/2025"/>
        <s v="25/01/2026"/>
        <s v="25/02/2026"/>
        <s v="25/03/2025"/>
        <s v="25/04/2026"/>
        <s v="25/05/2025"/>
        <s v="25/06/2025"/>
        <s v="25/08/2025"/>
        <s v="25/09/2025"/>
        <s v="25/10/2025"/>
        <s v="26/01/2026"/>
        <s v="26/02/2025"/>
        <s v="26/02/2026"/>
        <s v="26/03/2025"/>
        <s v="26/03/2026"/>
        <s v="26/04/2025"/>
        <s v="26/04/2026"/>
        <s v="26/05/2025"/>
        <s v="26/06/2025"/>
        <s v="26/07/2025"/>
        <s v="26/09/2025"/>
        <s v="26/10/2025"/>
        <s v="26/11/2025"/>
        <s v="26/12/2025"/>
        <s v="27/01/2025"/>
        <s v="27/01/2026"/>
        <s v="27/02/2025"/>
        <s v="27/02/2026"/>
        <s v="27/03/2025"/>
        <s v="27/04/2026"/>
        <s v="27/05/2025"/>
        <s v="27/06/2025"/>
        <s v="27/07/2025"/>
        <s v="27/09/2025"/>
        <s v="27/12/2025"/>
        <s v="28/01/2025"/>
        <s v="28/01/2026"/>
        <s v="28/02/2025"/>
        <s v="28/02/2026"/>
        <s v="28/03/2026"/>
        <s v="28/04/2025"/>
        <s v="28/04/2026"/>
        <s v="28/06/2025"/>
        <s v="28/08/2025"/>
        <s v="28/10/2025"/>
        <s v="28/11/2025"/>
        <s v="29/01/2025"/>
        <s v="29/01/2026"/>
        <s v="29/03/2025"/>
        <s v="29/03/2026"/>
        <s v="29/04/2025"/>
        <s v="29/04/2026"/>
        <s v="29/07/2025"/>
        <s v="29/08/2025"/>
        <s v="29/09/2025"/>
        <s v="29/10/2025"/>
        <s v="29/11/2025"/>
        <s v="30/01/2025"/>
        <s v="30/03/2026"/>
        <s v="30/04/2025"/>
        <s v="30/04/2026"/>
        <s v="30/05/2025"/>
        <s v="30/06/2025"/>
        <s v="30/07/2025"/>
        <s v="30/08/2025"/>
        <s v="30/09/2025"/>
        <s v="30/10/2025"/>
        <s v="30/11/2025"/>
        <s v="30/12/2025"/>
        <s v="31/01/2025"/>
        <s v="31/01/2026"/>
        <s v="31/03/2025"/>
        <s v="31/05/2025"/>
        <s v="31/08/2025"/>
        <s v="31/10/2025"/>
        <s v="Pending"/>
      </sharedItems>
    </cacheField>
    <cacheField name="Customer_Name" numFmtId="0">
      <sharedItems count="10">
        <s v="Amit Sharma"/>
        <s v="Anita Gupta"/>
        <s v="Arjun Rao"/>
        <s v="Kavya Nair"/>
        <s v="Mohit Verma"/>
        <s v="Pooja Shah"/>
        <s v="Priya Patel"/>
        <s v="Rohit Singh"/>
        <s v="Sneha Joshi"/>
        <s v="Vikas Mehta"/>
      </sharedItems>
    </cacheField>
    <cacheField name="Gender" numFmtId="0">
      <sharedItems count="2">
        <s v="Female"/>
        <s v="Male"/>
      </sharedItems>
    </cacheField>
    <cacheField name="DOB" numFmtId="0">
      <sharedItems count="489">
        <s v="01/01/1983"/>
        <s v="01/01/2004"/>
        <s v="01/02/2000"/>
        <s v="01/03/1990"/>
        <s v="01/03/2002"/>
        <s v="01/04/1977"/>
        <s v="01/05/1990"/>
        <s v="01/07/1996"/>
        <s v="01/07/2003"/>
        <s v="01/08/1976"/>
        <s v="01/09/1979"/>
        <s v="01/11/2003"/>
        <s v="02/02/1980"/>
        <s v="02/02/1991"/>
        <s v="02/02/1994"/>
        <s v="02/02/2001"/>
        <s v="02/02/2003"/>
        <s v="02/03/1991"/>
        <s v="02/04/1994"/>
        <s v="02/04/2002"/>
        <s v="02/05/1992"/>
        <s v="02/07/1996"/>
        <s v="02/08/1992"/>
        <s v="02/09/1975"/>
        <s v="02/09/1990"/>
        <s v="02/10/1980"/>
        <s v="02/10/1996"/>
        <s v="02/10/2001"/>
        <s v="02/10/2003"/>
        <s v="02/11/1978"/>
        <s v="02/11/1982"/>
        <s v="02/11/2001"/>
        <s v="02/12/1988"/>
        <s v="02/12/1992"/>
        <s v="02/12/1995"/>
        <s v="02/12/2002"/>
        <s v="03/01/1980"/>
        <s v="03/01/2004"/>
        <s v="03/02/2001"/>
        <s v="03/02/2004"/>
        <s v="03/03/1978"/>
        <s v="03/03/1979"/>
        <s v="03/04/1985"/>
        <s v="03/04/1988"/>
        <s v="03/04/2001"/>
        <s v="03/05/1987"/>
        <s v="03/05/1989"/>
        <s v="03/06/1993"/>
        <s v="03/06/1996"/>
        <s v="03/06/1998"/>
        <s v="03/07/1991"/>
        <s v="03/08/1991"/>
        <s v="03/08/1993"/>
        <s v="03/08/2003"/>
        <s v="03/09/1980"/>
        <s v="03/10/1984"/>
        <s v="03/12/1979"/>
        <s v="03/12/1981"/>
        <s v="04/01/1981"/>
        <s v="04/01/1987"/>
        <s v="04/02/1989"/>
        <s v="04/03/1983"/>
        <s v="04/04/1975"/>
        <s v="04/04/1981"/>
        <s v="04/04/1989"/>
        <s v="04/04/1996"/>
        <s v="04/05/1992"/>
        <s v="04/05/2000"/>
        <s v="04/06/1995"/>
        <s v="04/07/1984"/>
        <s v="04/07/1989"/>
        <s v="04/08/1983"/>
        <s v="04/09/1986"/>
        <s v="04/09/1996"/>
        <s v="05/01/1984"/>
        <s v="05/02/1978"/>
        <s v="05/02/2000"/>
        <s v="05/03/1992"/>
        <s v="05/03/1997"/>
        <s v="05/04/1984"/>
        <s v="05/05/2000"/>
        <s v="05/06/1975"/>
        <s v="05/06/2004"/>
        <s v="05/07/1975"/>
        <s v="05/07/1993"/>
        <s v="05/08/1988"/>
        <s v="05/08/1992"/>
        <s v="05/12/1987"/>
        <s v="06/02/1979"/>
        <s v="06/02/1993"/>
        <s v="06/03/1979"/>
        <s v="06/03/1985"/>
        <s v="06/03/1989"/>
        <s v="06/04/1987"/>
        <s v="06/04/1997"/>
        <s v="06/05/1986"/>
        <s v="06/05/1988"/>
        <s v="06/06/1976"/>
        <s v="06/06/1994"/>
        <s v="06/07/1992"/>
        <s v="06/07/2000"/>
        <s v="06/08/1976"/>
        <s v="06/08/1998"/>
        <s v="06/09/1986"/>
        <s v="06/10/1991"/>
        <s v="06/11/1975"/>
        <s v="06/12/1984"/>
        <s v="07/01/1990"/>
        <s v="07/01/2002"/>
        <s v="07/01/2003"/>
        <s v="07/02/1988"/>
        <s v="07/03/1979"/>
        <s v="07/03/1995"/>
        <s v="07/04/1978"/>
        <s v="07/04/1988"/>
        <s v="07/04/1989"/>
        <s v="07/04/1994"/>
        <s v="07/07/1979"/>
        <s v="07/07/1983"/>
        <s v="07/07/1989"/>
        <s v="07/08/1982"/>
        <s v="07/09/1975"/>
        <s v="07/09/1995"/>
        <s v="07/10/1986"/>
        <s v="07/10/1992"/>
        <s v="07/12/1991"/>
        <s v="07/12/1995"/>
        <s v="08/01/1978"/>
        <s v="08/01/1983"/>
        <s v="08/01/1995"/>
        <s v="08/02/1980"/>
        <s v="08/02/1988"/>
        <s v="08/02/1992"/>
        <s v="08/02/2001"/>
        <s v="08/03/1988"/>
        <s v="08/04/1986"/>
        <s v="08/04/2001"/>
        <s v="08/04/2003"/>
        <s v="08/09/1978"/>
        <s v="08/09/2003"/>
        <s v="08/11/1982"/>
        <s v="09/01/1977"/>
        <s v="09/01/1979"/>
        <s v="09/02/1978"/>
        <s v="09/02/1980"/>
        <s v="09/02/1988"/>
        <s v="09/02/1999"/>
        <s v="09/03/1976"/>
        <s v="09/03/1993"/>
        <s v="09/03/1998"/>
        <s v="09/04/2002"/>
        <s v="09/05/1993"/>
        <s v="09/07/1984"/>
        <s v="09/07/1995"/>
        <s v="09/08/1978"/>
        <s v="09/08/1979"/>
        <s v="09/08/1989"/>
        <s v="09/08/1991"/>
        <s v="09/08/1999"/>
        <s v="09/08/2000"/>
        <s v="09/09/1982"/>
        <s v="09/09/1993"/>
        <s v="09/09/1994"/>
        <s v="09/10/1989"/>
        <s v="09/10/2001"/>
        <s v="09/11/1983"/>
        <s v="09/11/1994"/>
        <s v="09/12/1987"/>
        <s v="10/01/1980"/>
        <s v="10/02/1984"/>
        <s v="10/03/1989"/>
        <s v="10/05/1982"/>
        <s v="10/05/1984"/>
        <s v="10/05/1994"/>
        <s v="10/05/1995"/>
        <s v="10/06/2000"/>
        <s v="10/06/2003"/>
        <s v="10/07/1985"/>
        <s v="10/07/2002"/>
        <s v="10/08/1980"/>
        <s v="10/09/1993"/>
        <s v="10/10/1985"/>
        <s v="10/11/1989"/>
        <s v="10/12/1978"/>
        <s v="10/12/1981"/>
        <s v="10/12/1999"/>
        <s v="11/02/1984"/>
        <s v="11/02/1986"/>
        <s v="11/04/1994"/>
        <s v="11/04/1995"/>
        <s v="11/04/2002"/>
        <s v="11/05/1986"/>
        <s v="11/06/1976"/>
        <s v="11/06/1980"/>
        <s v="11/06/2003"/>
        <s v="11/07/1994"/>
        <s v="11/08/2001"/>
        <s v="11/09/1983"/>
        <s v="11/09/1999"/>
        <s v="11/10/1985"/>
        <s v="11/11/1978"/>
        <s v="11/11/1979"/>
        <s v="11/11/1993"/>
        <s v="11/12/1976"/>
        <s v="11/12/1977"/>
        <s v="12/02/1975"/>
        <s v="12/03/1975"/>
        <s v="12/03/1985"/>
        <s v="12/03/1992"/>
        <s v="12/07/1996"/>
        <s v="12/08/1979"/>
        <s v="12/09/1980"/>
        <s v="12/10/2004"/>
        <s v="12/12/1979"/>
        <s v="12/12/1984"/>
        <s v="12/12/1985"/>
        <s v="12/12/1990"/>
        <s v="12/12/2002"/>
        <s v="13/01/1985"/>
        <s v="13/04/1976"/>
        <s v="13/04/1996"/>
        <s v="13/05/1978"/>
        <s v="13/05/1980"/>
        <s v="13/06/1979"/>
        <s v="13/06/1988"/>
        <s v="13/06/1991"/>
        <s v="13/06/1992"/>
        <s v="13/08/1989"/>
        <s v="13/08/2003"/>
        <s v="13/09/1976"/>
        <s v="13/09/1977"/>
        <s v="13/09/2001"/>
        <s v="13/12/1989"/>
        <s v="14/01/2003"/>
        <s v="14/03/1999"/>
        <s v="14/05/1992"/>
        <s v="14/07/1997"/>
        <s v="14/07/2001"/>
        <s v="14/08/1989"/>
        <s v="14/08/1999"/>
        <s v="14/09/1994"/>
        <s v="14/11/2000"/>
        <s v="14/12/1983"/>
        <s v="14/12/1989"/>
        <s v="15/02/1993"/>
        <s v="15/02/2001"/>
        <s v="15/03/1983"/>
        <s v="15/03/1987"/>
        <s v="15/03/1988"/>
        <s v="15/03/1999"/>
        <s v="15/04/1975"/>
        <s v="15/06/1988"/>
        <s v="15/08/1995"/>
        <s v="15/09/1986"/>
        <s v="15/09/1992"/>
        <s v="15/09/1995"/>
        <s v="15/09/1998"/>
        <s v="15/10/1993"/>
        <s v="15/11/1976"/>
        <s v="15/11/1977"/>
        <s v="15/11/1981"/>
        <s v="15/12/1975"/>
        <s v="15/12/1988"/>
        <s v="15/12/1995"/>
        <s v="15/12/2004"/>
        <s v="16/01/1994"/>
        <s v="16/01/2002"/>
        <s v="16/02/1986"/>
        <s v="16/05/2000"/>
        <s v="16/07/1980"/>
        <s v="16/07/1990"/>
        <s v="16/09/1994"/>
        <s v="16/10/2000"/>
        <s v="16/11/1983"/>
        <s v="16/11/1995"/>
        <s v="17/01/1976"/>
        <s v="17/01/2001"/>
        <s v="17/05/1976"/>
        <s v="17/05/1993"/>
        <s v="17/06/1979"/>
        <s v="17/06/1988"/>
        <s v="17/07/1986"/>
        <s v="17/07/2002"/>
        <s v="17/07/2003"/>
        <s v="17/09/1976"/>
        <s v="17/10/1985"/>
        <s v="17/10/1990"/>
        <s v="17/11/1981"/>
        <s v="17/12/1987"/>
        <s v="17/12/2003"/>
        <s v="18/02/1984"/>
        <s v="18/02/1989"/>
        <s v="18/04/1984"/>
        <s v="18/04/1997"/>
        <s v="18/06/1992"/>
        <s v="18/06/1996"/>
        <s v="18/06/1998"/>
        <s v="18/06/2001"/>
        <s v="18/06/2004"/>
        <s v="18/07/1994"/>
        <s v="18/07/1999"/>
        <s v="18/07/2002"/>
        <s v="18/08/1985"/>
        <s v="18/09/1991"/>
        <s v="18/10/2001"/>
        <s v="19/02/1988"/>
        <s v="19/03/2002"/>
        <s v="19/04/1985"/>
        <s v="19/04/2003"/>
        <s v="19/05/1996"/>
        <s v="19/06/1975"/>
        <s v="19/06/1982"/>
        <s v="19/07/1983"/>
        <s v="19/07/1985"/>
        <s v="19/08/1998"/>
        <s v="19/09/1986"/>
        <s v="19/10/1989"/>
        <s v="19/10/1993"/>
        <s v="19/11/2002"/>
        <s v="19/12/1982"/>
        <s v="19/12/1988"/>
        <s v="19/12/1990"/>
        <s v="20/02/1979"/>
        <s v="20/02/1983"/>
        <s v="20/03/1985"/>
        <s v="20/03/2002"/>
        <s v="20/03/2003"/>
        <s v="20/04/1976"/>
        <s v="20/04/1988"/>
        <s v="20/05/1987"/>
        <s v="20/05/1997"/>
        <s v="20/06/1980"/>
        <s v="20/06/1982"/>
        <s v="20/07/1984"/>
        <s v="20/08/1998"/>
        <s v="20/09/1980"/>
        <s v="20/09/1993"/>
        <s v="20/10/1975"/>
        <s v="20/10/1989"/>
        <s v="20/10/1990"/>
        <s v="20/10/2002"/>
        <s v="21/01/1983"/>
        <s v="21/02/1976"/>
        <s v="21/03/1978"/>
        <s v="21/04/1998"/>
        <s v="21/05/1988"/>
        <s v="21/05/1996"/>
        <s v="21/06/1980"/>
        <s v="21/06/1994"/>
        <s v="21/07/1990"/>
        <s v="21/08/1981"/>
        <s v="21/09/1983"/>
        <s v="21/10/1988"/>
        <s v="21/11/1979"/>
        <s v="21/12/2000"/>
        <s v="22/02/1986"/>
        <s v="22/02/2004"/>
        <s v="22/04/1996"/>
        <s v="22/05/1992"/>
        <s v="22/05/2001"/>
        <s v="22/06/1984"/>
        <s v="22/06/1986"/>
        <s v="22/07/1992"/>
        <s v="22/07/1993"/>
        <s v="22/07/1994"/>
        <s v="22/07/1999"/>
        <s v="22/07/2000"/>
        <s v="22/09/1981"/>
        <s v="22/09/1982"/>
        <s v="22/09/1988"/>
        <s v="22/10/1993"/>
        <s v="22/11/2001"/>
        <s v="22/12/1976"/>
        <s v="22/12/1996"/>
        <s v="23/01/1981"/>
        <s v="23/01/1982"/>
        <s v="23/01/1998"/>
        <s v="23/02/1981"/>
        <s v="23/03/1993"/>
        <s v="23/03/1996"/>
        <s v="23/03/2001"/>
        <s v="23/04/1978"/>
        <s v="23/04/1992"/>
        <s v="23/05/1975"/>
        <s v="23/05/1992"/>
        <s v="23/06/1985"/>
        <s v="23/06/1990"/>
        <s v="23/06/1994"/>
        <s v="23/06/1999"/>
        <s v="23/06/2001"/>
        <s v="23/06/2004"/>
        <s v="23/08/1975"/>
        <s v="23/08/1988"/>
        <s v="23/08/2001"/>
        <s v="23/09/2002"/>
        <s v="23/10/1994"/>
        <s v="23/12/1978"/>
        <s v="23/12/1979"/>
        <s v="23/12/1998"/>
        <s v="24/01/1991"/>
        <s v="24/02/1975"/>
        <s v="24/02/1987"/>
        <s v="24/03/1993"/>
        <s v="24/04/2001"/>
        <s v="24/05/2002"/>
        <s v="24/06/1987"/>
        <s v="24/06/1988"/>
        <s v="24/06/1997"/>
        <s v="24/07/1976"/>
        <s v="24/07/1979"/>
        <s v="24/07/1984"/>
        <s v="24/07/1985"/>
        <s v="24/07/2002"/>
        <s v="24/08/1990"/>
        <s v="24/08/2003"/>
        <s v="24/09/1977"/>
        <s v="24/09/1985"/>
        <s v="24/09/1992"/>
        <s v="24/10/1990"/>
        <s v="24/11/1976"/>
        <s v="24/11/1989"/>
        <s v="25/02/1978"/>
        <s v="25/02/2002"/>
        <s v="25/02/2004"/>
        <s v="25/03/1984"/>
        <s v="25/03/1997"/>
        <s v="25/03/2001"/>
        <s v="25/04/1977"/>
        <s v="25/05/1986"/>
        <s v="25/05/1989"/>
        <s v="25/05/1996"/>
        <s v="25/06/1983"/>
        <s v="25/06/1984"/>
        <s v="25/08/1976"/>
        <s v="25/08/1986"/>
        <s v="25/08/1989"/>
        <s v="25/09/1987"/>
        <s v="25/09/2003"/>
        <s v="25/10/1983"/>
        <s v="25/10/1987"/>
        <s v="25/10/1988"/>
        <s v="25/10/1992"/>
        <s v="25/12/1987"/>
        <s v="25/12/1995"/>
        <s v="26/01/1993"/>
        <s v="26/01/2003"/>
        <s v="26/02/1989"/>
        <s v="26/04/1997"/>
        <s v="26/05/1982"/>
        <s v="26/06/1995"/>
        <s v="26/08/2004"/>
        <s v="26/09/1983"/>
        <s v="26/11/1998"/>
        <s v="26/12/1977"/>
        <s v="27/02/1990"/>
        <s v="27/03/1990"/>
        <s v="27/03/1994"/>
        <s v="27/04/1981"/>
        <s v="27/05/1975"/>
        <s v="27/05/1987"/>
        <s v="27/05/1995"/>
        <s v="27/06/1993"/>
        <s v="27/07/1991"/>
        <s v="27/08/1979"/>
        <s v="27/08/1985"/>
        <s v="27/09/1977"/>
        <s v="27/09/1980"/>
        <s v="27/10/1984"/>
        <s v="27/10/1987"/>
        <s v="27/12/1978"/>
        <s v="28/01/1987"/>
        <s v="28/01/1992"/>
        <s v="28/02/1975"/>
        <s v="28/03/1982"/>
        <s v="28/03/1995"/>
        <s v="28/05/1985"/>
        <s v="28/05/1999"/>
        <s v="28/05/2003"/>
        <s v="28/05/2004"/>
        <s v="28/08/1975"/>
        <s v="28/09/1975"/>
        <s v="28/09/1984"/>
        <s v="28/09/1996"/>
        <s v="28/10/1988"/>
        <s v="28/10/1991"/>
        <s v="28/10/2003"/>
        <s v="28/12/1976"/>
        <s v="28/12/1983"/>
        <s v="28/12/2004"/>
      </sharedItems>
    </cacheField>
    <cacheField name="City" numFmtId="0">
      <sharedItems containsBlank="1" count="9">
        <s v="Ahmedabad"/>
        <s v="Bengaluru"/>
        <s v="Delhi"/>
        <s v="Hyderabad"/>
        <s v="Jaipur"/>
        <s v="Kolkata"/>
        <s v="Mumbai"/>
        <s v="Pune"/>
        <m/>
      </sharedItems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Electronics"/>
        <s v="Home Appliances"/>
        <s v="Stationery"/>
      </sharedItems>
    </cacheField>
    <cacheField name="Product_Name" numFmtId="0">
      <sharedItems count="11">
        <s v="Iron"/>
        <s v="Keyboard"/>
        <s v="Laptop"/>
        <s v="Laptop,Mouse"/>
        <s v="Marker"/>
        <s v="Microwave"/>
        <s v="Mixer"/>
        <s v="Monitor"/>
        <s v="Mouse"/>
        <s v="Notebook"/>
        <s v="Pen"/>
      </sharedItems>
    </cacheField>
    <cacheField name="Quantity" numFmtId="0">
      <sharedItems containsMixedTypes="1" containsNumber="1" containsInteger="1" minValue="-3" maxValue="20" count="22">
        <n v="-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s v="Ten"/>
      </sharedItems>
    </cacheField>
    <cacheField name="Unit_Price" numFmtId="0">
      <sharedItems containsMixedTypes="1" containsNumber="1" containsInteger="1" minValue="20" maxValue="55000" count="11">
        <n v="20"/>
        <n v="45"/>
        <n v="60"/>
        <n v="700"/>
        <n v="1200"/>
        <n v="2200"/>
        <n v="3500"/>
        <n v="8500"/>
        <n v="12000"/>
        <n v="55000"/>
        <s v="1200 "/>
      </sharedItems>
    </cacheField>
    <cacheField name="Discount_%" numFmtId="0">
      <sharedItems containsSemiMixedTypes="0" containsString="0" containsNumber="1" containsInteger="1" minValue="0" maxValue="65" count="6">
        <n v="0"/>
        <n v="5"/>
        <n v="10"/>
        <n v="15"/>
        <n v="20"/>
        <n v="65"/>
      </sharedItems>
    </cacheField>
    <cacheField name="Sales" numFmtId="0">
      <sharedItems containsSemiMixedTypes="0" containsString="0" containsNumber="1" minValue="19" maxValue="1045000" count="344">
        <n v="19"/>
        <n v="20"/>
        <n v="32"/>
        <n v="34"/>
        <n v="36"/>
        <n v="45"/>
        <n v="48"/>
        <n v="51"/>
        <n v="54"/>
        <n v="60"/>
        <n v="68"/>
        <n v="72"/>
        <n v="76.5"/>
        <n v="80"/>
        <n v="81"/>
        <n v="85.5"/>
        <n v="95"/>
        <n v="100"/>
        <n v="102"/>
        <n v="108"/>
        <n v="114"/>
        <n v="114.75"/>
        <n v="119"/>
        <n v="120"/>
        <n v="126"/>
        <n v="128"/>
        <n v="133"/>
        <n v="135"/>
        <n v="136"/>
        <n v="140"/>
        <n v="144"/>
        <n v="152"/>
        <n v="153"/>
        <n v="160"/>
        <n v="162"/>
        <n v="171"/>
        <n v="176"/>
        <n v="180"/>
        <n v="190"/>
        <n v="191.25"/>
        <n v="192"/>
        <n v="200"/>
        <n v="202.5"/>
        <n v="213.75"/>
        <n v="216"/>
        <n v="220"/>
        <n v="221"/>
        <n v="224"/>
        <n v="229.5"/>
        <n v="240"/>
        <n v="247"/>
        <n v="252"/>
        <n v="285"/>
        <n v="288"/>
        <n v="299.25"/>
        <n v="304"/>
        <n v="306"/>
        <n v="320"/>
        <n v="324"/>
        <n v="340"/>
        <n v="342"/>
        <n v="360"/>
        <n v="361"/>
        <n v="378"/>
        <n v="382.5"/>
        <n v="384.75"/>
        <n v="408"/>
        <n v="420"/>
        <n v="420.75"/>
        <n v="432"/>
        <n v="450"/>
        <n v="470.25"/>
        <n v="497.25"/>
        <n v="513"/>
        <n v="535.5"/>
        <n v="540"/>
        <n v="576"/>
        <n v="585"/>
        <n v="607.5"/>
        <n v="612"/>
        <n v="648"/>
        <n v="650.25"/>
        <n v="663"/>
        <n v="675"/>
        <n v="684"/>
        <n v="700"/>
        <n v="702"/>
        <n v="714"/>
        <n v="720"/>
        <n v="726.75"/>
        <n v="729"/>
        <n v="756"/>
        <n v="765"/>
        <n v="769.5"/>
        <n v="798"/>
        <n v="816"/>
        <n v="855"/>
        <n v="864"/>
        <n v="912"/>
        <n v="960"/>
        <n v="969"/>
        <n v="1020"/>
        <n v="1026"/>
        <n v="1120"/>
        <n v="1140"/>
        <n v="1190"/>
        <n v="1785"/>
        <n v="1870"/>
        <n v="1920"/>
        <n v="1980"/>
        <n v="2100"/>
        <n v="2200"/>
        <n v="2400"/>
        <n v="2660"/>
        <n v="2880"/>
        <n v="3150"/>
        <n v="3240"/>
        <n v="3325"/>
        <n v="3360"/>
        <n v="3420"/>
        <n v="3500"/>
        <n v="3600"/>
        <n v="3780"/>
        <n v="3840"/>
        <n v="3920"/>
        <n v="3960"/>
        <n v="3990"/>
        <n v="4200"/>
        <n v="4320"/>
        <n v="4400"/>
        <n v="4760"/>
        <n v="4800"/>
        <n v="5040"/>
        <n v="5100"/>
        <n v="5400"/>
        <n v="5600"/>
        <n v="5950"/>
        <n v="5985"/>
        <n v="6120"/>
        <n v="6160"/>
        <n v="6480"/>
        <n v="6600"/>
        <n v="6650"/>
        <n v="6720"/>
        <n v="6840"/>
        <n v="7000"/>
        <n v="7140"/>
        <n v="7280"/>
        <n v="7920"/>
        <n v="8160"/>
        <n v="8330"/>
        <n v="8360"/>
        <n v="8500"/>
        <n v="8640"/>
        <n v="8645"/>
        <n v="8800"/>
        <n v="8925"/>
        <n v="9120"/>
        <n v="9180"/>
        <n v="9350"/>
        <n v="9450"/>
        <n v="9520"/>
        <n v="9600"/>
        <n v="9800"/>
        <n v="9975"/>
        <n v="10080"/>
        <n v="10200"/>
        <n v="10260"/>
        <n v="10500"/>
        <n v="10640"/>
        <n v="10710"/>
        <n v="11200"/>
        <n v="11305"/>
        <n v="11400"/>
        <n v="11900"/>
        <n v="11970"/>
        <n v="12000"/>
        <n v="12320"/>
        <n v="12480"/>
        <n v="12540"/>
        <n v="12635"/>
        <n v="12960"/>
        <n v="13090"/>
        <n v="13200"/>
        <n v="13300"/>
        <n v="13440"/>
        <n v="13600"/>
        <n v="14000"/>
        <n v="14630"/>
        <n v="14820"/>
        <n v="15360"/>
        <n v="15400"/>
        <n v="15600"/>
        <n v="15840"/>
        <n v="16150"/>
        <n v="16320"/>
        <n v="16720"/>
        <n v="16800"/>
        <n v="17340"/>
        <n v="17820"/>
        <n v="18000"/>
        <n v="18240"/>
        <n v="18360"/>
        <n v="18700"/>
        <n v="19200"/>
        <n v="19380"/>
        <n v="19800"/>
        <n v="19950"/>
        <n v="20400"/>
        <n v="20570"/>
        <n v="20825"/>
        <n v="20900"/>
        <n v="21660"/>
        <n v="22800"/>
        <n v="22990"/>
        <n v="24310"/>
        <n v="25200"/>
        <n v="25740"/>
        <n v="26400"/>
        <n v="26600"/>
        <n v="27200"/>
        <n v="28000"/>
        <n v="28050"/>
        <n v="28160"/>
        <n v="28800"/>
        <n v="28900"/>
        <n v="29700"/>
        <n v="29925"/>
        <n v="30800"/>
        <n v="31500"/>
        <n v="31790"/>
        <n v="32400"/>
        <n v="33000"/>
        <n v="33250"/>
        <n v="33440"/>
        <n v="33660"/>
        <n v="34000"/>
        <n v="34200"/>
        <n v="35200"/>
        <n v="35530"/>
        <n v="35640"/>
        <n v="35700"/>
        <n v="36000"/>
        <n v="36575"/>
        <n v="37400"/>
        <n v="37620"/>
        <n v="38250"/>
        <n v="39900"/>
        <n v="40375"/>
        <n v="40800"/>
        <n v="41800"/>
        <n v="42000"/>
        <n v="43350"/>
        <n v="44000"/>
        <n v="44100"/>
        <n v="44625"/>
        <n v="44800"/>
        <n v="45900"/>
        <n v="46550"/>
        <n v="46750"/>
        <n v="47250"/>
        <n v="47600"/>
        <n v="48450"/>
        <n v="50575"/>
        <n v="51000"/>
        <n v="53200"/>
        <n v="53550"/>
        <n v="54000"/>
        <n v="54400"/>
        <n v="56000"/>
        <n v="59850"/>
        <n v="61200"/>
        <n v="63000"/>
        <n v="63175"/>
        <n v="64600"/>
        <n v="64800"/>
        <n v="65025"/>
        <n v="68400"/>
        <n v="70000"/>
        <n v="76500"/>
        <n v="76800"/>
        <n v="79800"/>
        <n v="80750"/>
        <n v="81600"/>
        <n v="84000"/>
        <n v="88400"/>
        <n v="88825"/>
        <n v="91800"/>
        <n v="96900"/>
        <n v="102600"/>
        <n v="107100"/>
        <n v="110000"/>
        <n v="114000"/>
        <n v="114750"/>
        <n v="115200"/>
        <n v="115600"/>
        <n v="118800"/>
        <n v="122400"/>
        <n v="127500"/>
        <n v="129200"/>
        <n v="132000"/>
        <n v="132600"/>
        <n v="136000"/>
        <n v="137275"/>
        <n v="137700"/>
        <n v="140400"/>
        <n v="142800"/>
        <n v="144000"/>
        <n v="161500"/>
        <n v="163200"/>
        <n v="170000"/>
        <n v="172800"/>
        <n v="176000"/>
        <n v="180000"/>
        <n v="182400"/>
        <n v="183600"/>
        <n v="193800"/>
        <n v="204000"/>
        <n v="209000"/>
        <n v="228000"/>
        <n v="240000"/>
        <n v="261250"/>
        <n v="264000"/>
        <n v="275000"/>
        <n v="313500"/>
        <n v="352000"/>
        <n v="420750"/>
        <n v="440000"/>
        <n v="514250"/>
        <n v="522500"/>
        <n v="550000"/>
        <n v="574750"/>
        <n v="605000"/>
        <n v="627000"/>
        <n v="660000"/>
        <n v="679250"/>
        <n v="748000"/>
        <n v="792000"/>
        <n v="825000"/>
        <n v="836000"/>
        <n v="880000"/>
        <n v="990000"/>
        <n v="999999"/>
        <n v="1045000"/>
      </sharedItems>
    </cacheField>
    <cacheField name="Rating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ayment_Mode" numFmtId="0">
      <sharedItems count="5">
        <s v="Card"/>
        <s v="Cash"/>
        <s v="Crypto"/>
        <s v="NetBanking"/>
        <s v="UPI"/>
      </sharedItems>
    </cacheField>
    <cacheField name="Salesperson" numFmtId="0">
      <sharedItems count="6">
        <s v="Aisha"/>
        <s v="Karan"/>
        <s v="Neha"/>
        <s v="Not Assigned"/>
        <s v="Rahul"/>
        <s v="Ritika"/>
      </sharedItems>
    </cacheField>
    <cacheField name="Email" numFmtId="0">
      <sharedItems count="16">
        <s v="amit.sharma@company.com"/>
        <s v="amit.sharmcompany.com"/>
        <s v="anita.gupta@company.com"/>
        <s v="arjun.rao@company.com"/>
        <s v="KAvya.nair@company.com"/>
        <s v="mohit.verma@company.com"/>
        <s v="pooja.shah@company.com"/>
        <s v="pooja.shahcompany.com"/>
        <s v="priya.patecompany.com"/>
        <s v="priYa.patel@company.com"/>
        <s v="rohit.singh@company.com"/>
        <s v="sneha.joshi@company.com"/>
        <s v="sneha.joshicompany.com"/>
        <s v="vikas.mehta@company.com"/>
        <s v="vikas.mehtacompany.com"/>
        <s v="wrongmail"/>
      </sharedItems>
    </cacheField>
    <cacheField name="Phone" numFmtId="0">
      <sharedItems count="498">
        <s v="9101231789"/>
        <s v="9101810266"/>
        <s v="9101861045"/>
        <s v="9102417647"/>
        <s v="9106290987"/>
        <s v="9106328582"/>
        <s v="9106930369"/>
        <s v="9108024911"/>
        <s v="9109009524"/>
        <s v="9110269572"/>
        <s v="9114017237"/>
        <s v="9117102884"/>
        <s v="9123535241"/>
        <s v="9123712257"/>
        <s v="9123961962"/>
        <s v="9127480734"/>
        <s v="9127548552"/>
        <s v="9129865339"/>
        <s v="9130666128"/>
        <s v="9132959877"/>
        <s v="9134878547"/>
        <s v="9135963930"/>
        <s v="9135996862"/>
        <s v="9136906750"/>
        <s v="9137027840"/>
        <s v="9138184056"/>
        <s v="9142334315"/>
        <s v="9145200936"/>
        <s v="9145434449"/>
        <s v="9147552626"/>
        <s v="9149046970"/>
        <s v="9155925975"/>
        <s v="9158813608"/>
        <s v="9159894508"/>
        <s v="9160310438"/>
        <s v="9161631566"/>
        <s v="9162975843"/>
        <s v="9167291747"/>
        <s v="9167376169"/>
        <s v="9168257367"/>
        <s v="9171794652"/>
        <s v="9175002781"/>
        <s v="9177767854"/>
        <s v="9179328207"/>
        <s v="9180820441"/>
        <s v="9183094051"/>
        <s v="9183949273"/>
        <s v="9184311420"/>
        <s v="9184436009"/>
        <s v="9186592813"/>
        <s v="9190393639"/>
        <s v="9193016830"/>
        <s v="9193154372"/>
        <s v="9193549730"/>
        <s v="9202321359"/>
        <s v="9203482008"/>
        <s v="9207561051"/>
        <s v="9208625306"/>
        <s v="9209649485"/>
        <s v="9209736419"/>
        <s v="9211734022"/>
        <s v="9211936331"/>
        <s v="9215250979"/>
        <s v="9218660140"/>
        <s v="9219231183"/>
        <s v="9219806176"/>
        <s v="9219978007"/>
        <s v="9222733065"/>
        <s v="9223058722"/>
        <s v="9223196101"/>
        <s v="9223945130"/>
        <s v="9229164453"/>
        <s v="9230007509"/>
        <s v="9231845497"/>
        <s v="9233727886"/>
        <s v="9235822094"/>
        <s v="9236111271"/>
        <s v="9236963301"/>
        <s v="9237400853"/>
        <s v="9237616558"/>
        <s v="9238141322"/>
        <s v="9240800508"/>
        <s v="9241987748"/>
        <s v="9242534507"/>
        <s v="9243407457"/>
        <s v="9246715757"/>
        <s v="9247023285"/>
        <s v="9249918272"/>
        <s v="9253593557"/>
        <s v="9254082295"/>
        <s v="9259943760"/>
        <s v="9260258621"/>
        <s v="9261800516"/>
        <s v="9263774934"/>
        <s v="9264401015"/>
        <s v="9264578122"/>
        <s v="9265580582"/>
        <s v="9270466205"/>
        <s v="9270726986"/>
        <s v="9270746961"/>
        <s v="9271420931"/>
        <s v="9273520544"/>
        <s v="9274269744"/>
        <s v="9274808844"/>
        <s v="9275071213"/>
        <s v="9276080204"/>
        <s v="9276222829"/>
        <s v="9276319484"/>
        <s v="9277372518"/>
        <s v="9281127052"/>
        <s v="9281596011"/>
        <s v="9282751683"/>
        <s v="9283578533"/>
        <s v="9286316823"/>
        <s v="9286410494"/>
        <s v="9287159610"/>
        <s v="9288309246"/>
        <s v="9291239150"/>
        <s v="9292891941"/>
        <s v="9293147620"/>
        <s v="9294486423"/>
        <s v="9294740227"/>
        <s v="9295011645"/>
        <s v="9296075245"/>
        <s v="9296609782"/>
        <s v="9297492337"/>
        <s v="9298278507"/>
        <s v="9307011171"/>
        <s v="9308461700"/>
        <s v="9308497039"/>
        <s v="9310669113"/>
        <s v="9311021344"/>
        <s v="9311555196"/>
        <s v="9316770206"/>
        <s v="9323696971"/>
        <s v="9324634732"/>
        <s v="9329448011"/>
        <s v="9329668173"/>
        <s v="9331268182"/>
        <s v="9332473934"/>
        <s v="9333162025"/>
        <s v="9335138816"/>
        <s v="9336679085"/>
        <s v="9338278358"/>
        <s v="9340540608"/>
        <s v="9341979199"/>
        <s v="9342009114"/>
        <s v="9343776153"/>
        <s v="9343963736"/>
        <s v="9345328522"/>
        <s v="9345342793"/>
        <s v="9346312555"/>
        <s v="9347298020"/>
        <s v="9347718932"/>
        <s v="9349012570"/>
        <s v="9350338928"/>
        <s v="9350554626"/>
        <s v="9357038998"/>
        <s v="9357133880"/>
        <s v="9362319457"/>
        <s v="9362733217"/>
        <s v="9362758134"/>
        <s v="9364681052"/>
        <s v="9364712105"/>
        <s v="9365182725"/>
        <s v="9366223547"/>
        <s v="9367316892"/>
        <s v="9367541035"/>
        <s v="9372748661"/>
        <s v="9374249303"/>
        <s v="9374259988"/>
        <s v="9375975834"/>
        <s v="9380975626"/>
        <s v="9382815686"/>
        <s v="9383199236"/>
        <s v="9385894399"/>
        <s v="9389792144"/>
        <s v="9393097397"/>
        <s v="9394291182"/>
        <s v="9396678031"/>
        <s v="9397839191"/>
        <s v="9400073244"/>
        <s v="9402569141"/>
        <s v="9404733633"/>
        <s v="9409415805"/>
        <s v="9411668831"/>
        <s v="9413789556"/>
        <s v="9414633966"/>
        <s v="9418672379"/>
        <s v="9423719975"/>
        <s v="9426119622"/>
        <s v="9426459149"/>
        <s v="9427001508"/>
        <s v="9429405275"/>
        <s v="9431429797"/>
        <s v="9435947486"/>
        <s v="9437132894"/>
        <s v="9438232503"/>
        <s v="9442163790"/>
        <s v="9443786067"/>
        <s v="9444900541"/>
        <s v="9447151666"/>
        <s v="9448658297"/>
        <s v="9449953754"/>
        <s v="9450746157"/>
        <s v="9452540528"/>
        <s v="9456029544"/>
        <s v="9457923119"/>
        <s v="9458599727"/>
        <s v="9461383824"/>
        <s v="9463618792"/>
        <s v="9464035549"/>
        <s v="9464556593"/>
        <s v="9465353780"/>
        <s v="9467375455"/>
        <s v="9467916296"/>
        <s v="9469828772"/>
        <s v="9473159572"/>
        <s v="9473931904"/>
        <s v="9477052923"/>
        <s v="9477282450"/>
        <s v="9482699727"/>
        <s v="9484632635"/>
        <s v="9485017802"/>
        <s v="9485166307"/>
        <s v="9485286324"/>
        <s v="9485547425"/>
        <s v="9489687402"/>
        <s v="9490067655"/>
        <s v="9495893170"/>
        <s v="9497321112"/>
        <s v="9497351043"/>
        <s v="9505048912"/>
        <s v="9505550047"/>
        <s v="9507986836"/>
        <s v="9508025585"/>
        <s v="9508068393"/>
        <s v="9511806701"/>
        <s v="9512666401"/>
        <s v="9512997042"/>
        <s v="9513325819"/>
        <s v="9514269002"/>
        <s v="9518249687"/>
        <s v="9518298190"/>
        <s v="9519293104"/>
        <s v="9520617130"/>
        <s v="9521710321"/>
        <s v="9521757571"/>
        <s v="9523682403"/>
        <s v="9523689108"/>
        <s v="9524904662"/>
        <s v="9527326977"/>
        <s v="9529968110"/>
        <s v="9531465024"/>
        <s v="9533835528"/>
        <s v="9538129419"/>
        <s v="9540813143"/>
        <s v="9548742147"/>
        <s v="9549426303"/>
        <s v="9550820904"/>
        <s v="9554719621"/>
        <s v="9560201307"/>
        <s v="9561836580"/>
        <s v="9566101317"/>
        <s v="9566149945"/>
        <s v="9569007422"/>
        <s v="9570080664"/>
        <s v="9570437805"/>
        <s v="9571436865"/>
        <s v="9571990711"/>
        <s v="9575210324"/>
        <s v="9577624596"/>
        <s v="9580903210"/>
        <s v="9582960180"/>
        <s v="9583354052"/>
        <s v="9584152818"/>
        <s v="9585330043"/>
        <s v="9588041011"/>
        <s v="9595183767"/>
        <s v="9597378398"/>
        <s v="9598942148"/>
        <s v="9599252705"/>
        <s v="9599597595"/>
        <s v="9602152945"/>
        <s v="9603848571"/>
        <s v="9608737026"/>
        <s v="9609598700"/>
        <s v="9611394005"/>
        <s v="9616853220"/>
        <s v="9618393586"/>
        <s v="9619034852"/>
        <s v="9621410770"/>
        <s v="9626843681"/>
        <s v="9630210250"/>
        <s v="9630302865"/>
        <s v="9630913127"/>
        <s v="9633745195"/>
        <s v="9634473337"/>
        <s v="9636416962"/>
        <s v="9637283597"/>
        <s v="9641063242"/>
        <s v="9642822397"/>
        <s v="9643440006"/>
        <s v="9645907237"/>
        <s v="9645913247"/>
        <s v="9646917552"/>
        <s v="9647657382"/>
        <s v="9648541985"/>
        <s v="9652936744"/>
        <s v="9652985385"/>
        <s v="9653594592"/>
        <s v="9654885820"/>
        <s v="9657513435"/>
        <s v="9660493688"/>
        <s v="9661280388"/>
        <s v="9662063276"/>
        <s v="9663266204"/>
        <s v="9665525431"/>
        <s v="9666803655"/>
        <s v="9671497416"/>
        <s v="9673698825"/>
        <s v="9675208616"/>
        <s v="9677606427"/>
        <s v="9682415134"/>
        <s v="9684246902"/>
        <s v="9686979026"/>
        <s v="9687923860"/>
        <s v="9688458222"/>
        <s v="9688987266"/>
        <s v="9691078176"/>
        <s v="9692599404"/>
        <s v="9697433584"/>
        <s v="9697654418"/>
        <s v="9701276770"/>
        <s v="9701988524"/>
        <s v="9705218824"/>
        <s v="9705521654"/>
        <s v="9706238784"/>
        <s v="9706240823"/>
        <s v="9706553861"/>
        <s v="9712805603"/>
        <s v="9712905525"/>
        <s v="9715222543"/>
        <s v="9723450355"/>
        <s v="9724197033"/>
        <s v="9724635978"/>
        <s v="9726464733"/>
        <s v="9734108795"/>
        <s v="9734229772"/>
        <s v="9736113863"/>
        <s v="9736797776"/>
        <s v="9736812737"/>
        <s v="9739798818"/>
        <s v="9741671507"/>
        <s v="9741953402"/>
        <s v="9743295580"/>
        <s v="9745773533"/>
        <s v="9745972422"/>
        <s v="9750365609"/>
        <s v="9750918728"/>
        <s v="9751049833"/>
        <s v="9753869055"/>
        <s v="9755082957"/>
        <s v="9755583734"/>
        <s v="9756908023"/>
        <s v="9762437243"/>
        <s v="9764609936"/>
        <s v="9767727724"/>
        <s v="9769075826"/>
        <s v="9771556720"/>
        <s v="9771745925"/>
        <s v="9778489803"/>
        <s v="9778490728"/>
        <s v="9778908233"/>
        <s v="9780584905"/>
        <s v="9780626473"/>
        <s v="9781411370"/>
        <s v="9781970426"/>
        <s v="9785807771"/>
        <s v="9786241263"/>
        <s v="9786384529"/>
        <s v="9791617906"/>
        <s v="9798313682"/>
        <s v="9798643580"/>
        <s v="9798996063"/>
        <s v="9799597413"/>
        <s v="9804498139"/>
        <s v="9806914795"/>
        <s v="9807154421"/>
        <s v="9808223872"/>
        <s v="9808476235"/>
        <s v="9808988530"/>
        <s v="9809823278"/>
        <s v="9810334941"/>
        <s v="9810433484"/>
        <s v="9810569252"/>
        <s v="9812472447"/>
        <s v="9812564160"/>
        <s v="9812909831"/>
        <s v="9814267382"/>
        <s v="9815464650"/>
        <s v="9815899217"/>
        <s v="9818591245"/>
        <s v="9819453185"/>
        <s v="9820683063"/>
        <s v="9822926495"/>
        <s v="9823080381"/>
        <s v="9823428025"/>
        <s v="9826484650"/>
        <s v="9828015293"/>
        <s v="9828749888"/>
        <s v="9829888777"/>
        <s v="9831688801"/>
        <s v="9833735234"/>
        <s v="9833801891"/>
        <s v="9836327649"/>
        <s v="9837426414"/>
        <s v="9837969758"/>
        <s v="9838809695"/>
        <s v="9845884906"/>
        <s v="9847386174"/>
        <s v="9848259992"/>
        <s v="9853525026"/>
        <s v="9856624471"/>
        <s v="9857621478"/>
        <s v="9860715839"/>
        <s v="9862165194"/>
        <s v="9864206250"/>
        <s v="9865401727"/>
        <s v="9866567601"/>
        <s v="9867169037"/>
        <s v="9869056117"/>
        <s v="9869182901"/>
        <s v="9872235856"/>
        <s v="9872471236"/>
        <s v="9875249891"/>
        <s v="98765"/>
        <s v="9876513858"/>
        <s v="9882054354"/>
        <s v="9882279049"/>
        <s v="9885092680"/>
        <s v="9886243907"/>
        <s v="9886970990"/>
        <s v="9887896743"/>
        <s v="9888477457"/>
        <s v="9889544104"/>
        <s v="9889733076"/>
        <s v="9890380030"/>
        <s v="9891358505"/>
        <s v="9895908093"/>
        <s v="9896985355"/>
        <s v="9897181325"/>
        <s v="9898452436"/>
        <s v="9904065774"/>
        <s v="9906748486"/>
        <s v="9910085332"/>
        <s v="9910804926"/>
        <s v="9910913552"/>
        <s v="9912630684"/>
        <s v="9912945471"/>
        <s v="9914571493"/>
        <s v="9919834000"/>
        <s v="9921470418"/>
        <s v="9922102053"/>
        <s v="9922380435"/>
        <s v="9924709648"/>
        <s v="9933894798"/>
        <s v="9934933215"/>
        <s v="9935018068"/>
        <s v="9935063989"/>
        <s v="9937007439"/>
        <s v="9937119494"/>
        <s v="9939332058"/>
        <s v="9941274924"/>
        <s v="9942010833"/>
        <s v="9945247701"/>
        <s v="9950206376"/>
        <s v="9950650508"/>
        <s v="9950802015"/>
        <s v="9953329223"/>
        <s v="9954973200"/>
        <s v="9958032109"/>
        <s v="9958252176"/>
        <s v="9959237375"/>
        <s v="9960757012"/>
        <s v="9961801338"/>
        <s v="9963005771"/>
        <s v="9970178536"/>
        <s v="9981118755"/>
        <s v="9981183477"/>
        <s v="9981333189"/>
        <s v="9982849508"/>
        <s v="9986371291"/>
        <s v="9990243436"/>
        <s v="9992739960"/>
        <s v="9997515828"/>
        <s v="9999406260"/>
        <s v="9999889465"/>
      </sharedItems>
    </cacheField>
    <cacheField name="Order_Status" numFmtId="0">
      <sharedItems count="3">
        <s v="Cancelled"/>
        <s v="Completed"/>
        <s v="Pending"/>
      </sharedItems>
    </cacheField>
    <cacheField name="Order Month" numFmtId="0">
      <sharedItems containsNonDate="0" containsDate="1" containsString="0" containsBlank="1" minDate="2025-01-01T00:00:00" maxDate="2026-05-01T00:00:00" count="18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8">
  <r>
    <x v="0"/>
    <x v="7"/>
    <x v="5"/>
    <x v="189"/>
    <x v="232"/>
    <x v="3"/>
    <x v="0"/>
    <x v="9"/>
    <x v="3"/>
    <x v="2"/>
    <x v="1"/>
    <x v="0"/>
    <x v="4"/>
    <x v="5"/>
    <x v="2"/>
    <x v="148"/>
    <x v="3"/>
    <x v="1"/>
    <x v="5"/>
    <x v="4"/>
    <x v="194"/>
    <x v="1"/>
    <x v="8"/>
  </r>
  <r>
    <x v="1"/>
    <x v="7"/>
    <x v="3"/>
    <x v="284"/>
    <x v="36"/>
    <x v="3"/>
    <x v="0"/>
    <x v="272"/>
    <x v="2"/>
    <x v="1"/>
    <x v="0"/>
    <x v="7"/>
    <x v="17"/>
    <x v="8"/>
    <x v="2"/>
    <x v="315"/>
    <x v="0"/>
    <x v="3"/>
    <x v="4"/>
    <x v="4"/>
    <x v="17"/>
    <x v="1"/>
    <x v="3"/>
  </r>
  <r>
    <x v="2"/>
    <x v="9"/>
    <x v="0"/>
    <x v="31"/>
    <x v="145"/>
    <x v="5"/>
    <x v="0"/>
    <x v="271"/>
    <x v="1"/>
    <x v="2"/>
    <x v="0"/>
    <x v="2"/>
    <x v="5"/>
    <x v="9"/>
    <x v="1"/>
    <x v="321"/>
    <x v="2"/>
    <x v="3"/>
    <x v="0"/>
    <x v="6"/>
    <x v="172"/>
    <x v="2"/>
    <x v="8"/>
  </r>
  <r>
    <x v="3"/>
    <x v="8"/>
    <x v="2"/>
    <x v="289"/>
    <x v="74"/>
    <x v="4"/>
    <x v="1"/>
    <x v="219"/>
    <x v="2"/>
    <x v="1"/>
    <x v="0"/>
    <x v="1"/>
    <x v="8"/>
    <x v="4"/>
    <x v="1"/>
    <x v="157"/>
    <x v="1"/>
    <x v="0"/>
    <x v="0"/>
    <x v="5"/>
    <x v="345"/>
    <x v="2"/>
    <x v="8"/>
  </r>
  <r>
    <x v="4"/>
    <x v="6"/>
    <x v="5"/>
    <x v="33"/>
    <x v="119"/>
    <x v="2"/>
    <x v="1"/>
    <x v="110"/>
    <x v="3"/>
    <x v="2"/>
    <x v="1"/>
    <x v="0"/>
    <x v="4"/>
    <x v="5"/>
    <x v="0"/>
    <x v="155"/>
    <x v="0"/>
    <x v="4"/>
    <x v="5"/>
    <x v="3"/>
    <x v="374"/>
    <x v="1"/>
    <x v="12"/>
  </r>
  <r>
    <x v="5"/>
    <x v="7"/>
    <x v="4"/>
    <x v="322"/>
    <x v="256"/>
    <x v="3"/>
    <x v="0"/>
    <x v="326"/>
    <x v="3"/>
    <x v="2"/>
    <x v="1"/>
    <x v="6"/>
    <x v="2"/>
    <x v="6"/>
    <x v="1"/>
    <x v="142"/>
    <x v="0"/>
    <x v="4"/>
    <x v="5"/>
    <x v="4"/>
    <x v="482"/>
    <x v="1"/>
    <x v="17"/>
  </r>
  <r>
    <x v="6"/>
    <x v="1"/>
    <x v="3"/>
    <x v="136"/>
    <x v="196"/>
    <x v="6"/>
    <x v="0"/>
    <x v="112"/>
    <x v="6"/>
    <x v="3"/>
    <x v="0"/>
    <x v="7"/>
    <x v="14"/>
    <x v="8"/>
    <x v="3"/>
    <x v="306"/>
    <x v="3"/>
    <x v="3"/>
    <x v="5"/>
    <x v="9"/>
    <x v="336"/>
    <x v="1"/>
    <x v="3"/>
  </r>
  <r>
    <x v="7"/>
    <x v="7"/>
    <x v="3"/>
    <x v="321"/>
    <x v="13"/>
    <x v="3"/>
    <x v="0"/>
    <x v="94"/>
    <x v="7"/>
    <x v="3"/>
    <x v="0"/>
    <x v="7"/>
    <x v="4"/>
    <x v="8"/>
    <x v="3"/>
    <x v="249"/>
    <x v="3"/>
    <x v="4"/>
    <x v="2"/>
    <x v="4"/>
    <x v="277"/>
    <x v="1"/>
    <x v="12"/>
  </r>
  <r>
    <x v="8"/>
    <x v="1"/>
    <x v="7"/>
    <x v="259"/>
    <x v="282"/>
    <x v="6"/>
    <x v="0"/>
    <x v="107"/>
    <x v="6"/>
    <x v="3"/>
    <x v="2"/>
    <x v="9"/>
    <x v="6"/>
    <x v="2"/>
    <x v="0"/>
    <x v="61"/>
    <x v="3"/>
    <x v="0"/>
    <x v="2"/>
    <x v="9"/>
    <x v="144"/>
    <x v="1"/>
    <x v="2"/>
  </r>
  <r>
    <x v="9"/>
    <x v="2"/>
    <x v="5"/>
    <x v="202"/>
    <x v="241"/>
    <x v="7"/>
    <x v="1"/>
    <x v="171"/>
    <x v="2"/>
    <x v="1"/>
    <x v="1"/>
    <x v="0"/>
    <x v="0"/>
    <x v="5"/>
    <x v="0"/>
    <x v="238"/>
    <x v="1"/>
    <x v="0"/>
    <x v="4"/>
    <x v="10"/>
    <x v="246"/>
    <x v="2"/>
    <x v="8"/>
  </r>
  <r>
    <x v="10"/>
    <x v="7"/>
    <x v="4"/>
    <x v="77"/>
    <x v="151"/>
    <x v="3"/>
    <x v="0"/>
    <x v="375"/>
    <x v="0"/>
    <x v="3"/>
    <x v="1"/>
    <x v="6"/>
    <x v="10"/>
    <x v="6"/>
    <x v="1"/>
    <x v="233"/>
    <x v="4"/>
    <x v="0"/>
    <x v="0"/>
    <x v="4"/>
    <x v="12"/>
    <x v="0"/>
    <x v="2"/>
  </r>
  <r>
    <x v="11"/>
    <x v="1"/>
    <x v="5"/>
    <x v="100"/>
    <x v="149"/>
    <x v="6"/>
    <x v="0"/>
    <x v="99"/>
    <x v="7"/>
    <x v="3"/>
    <x v="1"/>
    <x v="0"/>
    <x v="15"/>
    <x v="5"/>
    <x v="2"/>
    <x v="226"/>
    <x v="0"/>
    <x v="4"/>
    <x v="2"/>
    <x v="9"/>
    <x v="166"/>
    <x v="2"/>
    <x v="0"/>
  </r>
  <r>
    <x v="12"/>
    <x v="2"/>
    <x v="5"/>
    <x v="90"/>
    <x v="131"/>
    <x v="7"/>
    <x v="1"/>
    <x v="306"/>
    <x v="6"/>
    <x v="3"/>
    <x v="1"/>
    <x v="0"/>
    <x v="17"/>
    <x v="5"/>
    <x v="1"/>
    <x v="239"/>
    <x v="0"/>
    <x v="1"/>
    <x v="1"/>
    <x v="10"/>
    <x v="371"/>
    <x v="1"/>
    <x v="2"/>
  </r>
  <r>
    <x v="13"/>
    <x v="7"/>
    <x v="4"/>
    <x v="276"/>
    <x v="72"/>
    <x v="3"/>
    <x v="0"/>
    <x v="276"/>
    <x v="6"/>
    <x v="3"/>
    <x v="1"/>
    <x v="6"/>
    <x v="15"/>
    <x v="6"/>
    <x v="3"/>
    <x v="255"/>
    <x v="1"/>
    <x v="1"/>
    <x v="2"/>
    <x v="4"/>
    <x v="273"/>
    <x v="0"/>
    <x v="6"/>
  </r>
  <r>
    <x v="14"/>
    <x v="9"/>
    <x v="2"/>
    <x v="80"/>
    <x v="110"/>
    <x v="5"/>
    <x v="0"/>
    <x v="190"/>
    <x v="3"/>
    <x v="2"/>
    <x v="0"/>
    <x v="1"/>
    <x v="3"/>
    <x v="4"/>
    <x v="1"/>
    <x v="119"/>
    <x v="4"/>
    <x v="4"/>
    <x v="5"/>
    <x v="7"/>
    <x v="287"/>
    <x v="1"/>
    <x v="15"/>
  </r>
  <r>
    <x v="15"/>
    <x v="3"/>
    <x v="6"/>
    <x v="227"/>
    <x v="23"/>
    <x v="0"/>
    <x v="0"/>
    <x v="266"/>
    <x v="7"/>
    <x v="3"/>
    <x v="1"/>
    <x v="5"/>
    <x v="13"/>
    <x v="7"/>
    <x v="4"/>
    <x v="285"/>
    <x v="3"/>
    <x v="0"/>
    <x v="4"/>
    <x v="2"/>
    <x v="330"/>
    <x v="2"/>
    <x v="13"/>
  </r>
  <r>
    <x v="16"/>
    <x v="6"/>
    <x v="6"/>
    <x v="295"/>
    <x v="46"/>
    <x v="2"/>
    <x v="1"/>
    <x v="163"/>
    <x v="0"/>
    <x v="3"/>
    <x v="1"/>
    <x v="5"/>
    <x v="4"/>
    <x v="7"/>
    <x v="4"/>
    <x v="220"/>
    <x v="4"/>
    <x v="0"/>
    <x v="0"/>
    <x v="3"/>
    <x v="190"/>
    <x v="2"/>
    <x v="13"/>
  </r>
  <r>
    <x v="17"/>
    <x v="6"/>
    <x v="1"/>
    <x v="11"/>
    <x v="42"/>
    <x v="2"/>
    <x v="1"/>
    <x v="484"/>
    <x v="6"/>
    <x v="3"/>
    <x v="0"/>
    <x v="8"/>
    <x v="9"/>
    <x v="3"/>
    <x v="1"/>
    <x v="137"/>
    <x v="2"/>
    <x v="4"/>
    <x v="5"/>
    <x v="3"/>
    <x v="48"/>
    <x v="2"/>
    <x v="11"/>
  </r>
  <r>
    <x v="18"/>
    <x v="7"/>
    <x v="0"/>
    <x v="263"/>
    <x v="27"/>
    <x v="3"/>
    <x v="0"/>
    <x v="3"/>
    <x v="0"/>
    <x v="3"/>
    <x v="0"/>
    <x v="2"/>
    <x v="8"/>
    <x v="9"/>
    <x v="4"/>
    <x v="325"/>
    <x v="0"/>
    <x v="1"/>
    <x v="1"/>
    <x v="4"/>
    <x v="93"/>
    <x v="1"/>
    <x v="5"/>
  </r>
  <r>
    <x v="19"/>
    <x v="2"/>
    <x v="1"/>
    <x v="272"/>
    <x v="48"/>
    <x v="7"/>
    <x v="1"/>
    <x v="301"/>
    <x v="2"/>
    <x v="1"/>
    <x v="0"/>
    <x v="8"/>
    <x v="10"/>
    <x v="3"/>
    <x v="4"/>
    <x v="135"/>
    <x v="3"/>
    <x v="0"/>
    <x v="0"/>
    <x v="10"/>
    <x v="217"/>
    <x v="0"/>
    <x v="3"/>
  </r>
  <r>
    <x v="20"/>
    <x v="7"/>
    <x v="4"/>
    <x v="21"/>
    <x v="77"/>
    <x v="3"/>
    <x v="0"/>
    <x v="264"/>
    <x v="1"/>
    <x v="2"/>
    <x v="1"/>
    <x v="6"/>
    <x v="1"/>
    <x v="6"/>
    <x v="1"/>
    <x v="117"/>
    <x v="2"/>
    <x v="4"/>
    <x v="2"/>
    <x v="4"/>
    <x v="313"/>
    <x v="0"/>
    <x v="0"/>
  </r>
  <r>
    <x v="21"/>
    <x v="1"/>
    <x v="1"/>
    <x v="196"/>
    <x v="313"/>
    <x v="6"/>
    <x v="0"/>
    <x v="69"/>
    <x v="4"/>
    <x v="1"/>
    <x v="0"/>
    <x v="8"/>
    <x v="19"/>
    <x v="3"/>
    <x v="3"/>
    <x v="172"/>
    <x v="2"/>
    <x v="3"/>
    <x v="1"/>
    <x v="9"/>
    <x v="240"/>
    <x v="2"/>
    <x v="3"/>
  </r>
  <r>
    <x v="22"/>
    <x v="8"/>
    <x v="0"/>
    <x v="236"/>
    <x v="0"/>
    <x v="4"/>
    <x v="1"/>
    <x v="421"/>
    <x v="1"/>
    <x v="2"/>
    <x v="0"/>
    <x v="2"/>
    <x v="12"/>
    <x v="9"/>
    <x v="0"/>
    <x v="334"/>
    <x v="0"/>
    <x v="0"/>
    <x v="4"/>
    <x v="5"/>
    <x v="300"/>
    <x v="2"/>
    <x v="11"/>
  </r>
  <r>
    <x v="23"/>
    <x v="4"/>
    <x v="8"/>
    <x v="92"/>
    <x v="210"/>
    <x v="9"/>
    <x v="1"/>
    <x v="51"/>
    <x v="6"/>
    <x v="3"/>
    <x v="2"/>
    <x v="10"/>
    <x v="1"/>
    <x v="0"/>
    <x v="1"/>
    <x v="0"/>
    <x v="4"/>
    <x v="0"/>
    <x v="5"/>
    <x v="13"/>
    <x v="108"/>
    <x v="0"/>
    <x v="15"/>
  </r>
  <r>
    <x v="24"/>
    <x v="6"/>
    <x v="8"/>
    <x v="253"/>
    <x v="18"/>
    <x v="2"/>
    <x v="1"/>
    <x v="204"/>
    <x v="6"/>
    <x v="3"/>
    <x v="2"/>
    <x v="10"/>
    <x v="2"/>
    <x v="0"/>
    <x v="3"/>
    <x v="3"/>
    <x v="0"/>
    <x v="4"/>
    <x v="5"/>
    <x v="3"/>
    <x v="52"/>
    <x v="2"/>
    <x v="5"/>
  </r>
  <r>
    <x v="25"/>
    <x v="8"/>
    <x v="4"/>
    <x v="231"/>
    <x v="259"/>
    <x v="4"/>
    <x v="1"/>
    <x v="132"/>
    <x v="0"/>
    <x v="3"/>
    <x v="1"/>
    <x v="6"/>
    <x v="12"/>
    <x v="6"/>
    <x v="3"/>
    <x v="241"/>
    <x v="3"/>
    <x v="1"/>
    <x v="4"/>
    <x v="5"/>
    <x v="181"/>
    <x v="0"/>
    <x v="4"/>
  </r>
  <r>
    <x v="26"/>
    <x v="7"/>
    <x v="2"/>
    <x v="135"/>
    <x v="208"/>
    <x v="3"/>
    <x v="0"/>
    <x v="82"/>
    <x v="0"/>
    <x v="3"/>
    <x v="0"/>
    <x v="1"/>
    <x v="11"/>
    <x v="4"/>
    <x v="0"/>
    <x v="183"/>
    <x v="1"/>
    <x v="4"/>
    <x v="1"/>
    <x v="4"/>
    <x v="369"/>
    <x v="1"/>
    <x v="14"/>
  </r>
  <r>
    <x v="27"/>
    <x v="2"/>
    <x v="6"/>
    <x v="85"/>
    <x v="213"/>
    <x v="7"/>
    <x v="1"/>
    <x v="196"/>
    <x v="7"/>
    <x v="3"/>
    <x v="1"/>
    <x v="5"/>
    <x v="6"/>
    <x v="7"/>
    <x v="5"/>
    <x v="264"/>
    <x v="0"/>
    <x v="0"/>
    <x v="0"/>
    <x v="10"/>
    <x v="15"/>
    <x v="1"/>
    <x v="8"/>
  </r>
  <r>
    <x v="28"/>
    <x v="5"/>
    <x v="7"/>
    <x v="108"/>
    <x v="160"/>
    <x v="8"/>
    <x v="0"/>
    <x v="63"/>
    <x v="7"/>
    <x v="3"/>
    <x v="2"/>
    <x v="9"/>
    <x v="2"/>
    <x v="2"/>
    <x v="1"/>
    <x v="20"/>
    <x v="2"/>
    <x v="1"/>
    <x v="1"/>
    <x v="11"/>
    <x v="239"/>
    <x v="0"/>
    <x v="12"/>
  </r>
  <r>
    <x v="29"/>
    <x v="7"/>
    <x v="9"/>
    <x v="167"/>
    <x v="272"/>
    <x v="3"/>
    <x v="0"/>
    <x v="21"/>
    <x v="1"/>
    <x v="2"/>
    <x v="2"/>
    <x v="4"/>
    <x v="19"/>
    <x v="1"/>
    <x v="4"/>
    <x v="84"/>
    <x v="3"/>
    <x v="3"/>
    <x v="0"/>
    <x v="4"/>
    <x v="168"/>
    <x v="0"/>
    <x v="5"/>
  </r>
  <r>
    <x v="30"/>
    <x v="1"/>
    <x v="3"/>
    <x v="6"/>
    <x v="135"/>
    <x v="6"/>
    <x v="0"/>
    <x v="258"/>
    <x v="0"/>
    <x v="3"/>
    <x v="0"/>
    <x v="7"/>
    <x v="11"/>
    <x v="8"/>
    <x v="0"/>
    <x v="300"/>
    <x v="2"/>
    <x v="4"/>
    <x v="5"/>
    <x v="9"/>
    <x v="267"/>
    <x v="2"/>
    <x v="6"/>
  </r>
  <r>
    <x v="31"/>
    <x v="5"/>
    <x v="5"/>
    <x v="68"/>
    <x v="151"/>
    <x v="8"/>
    <x v="0"/>
    <x v="483"/>
    <x v="1"/>
    <x v="2"/>
    <x v="1"/>
    <x v="0"/>
    <x v="20"/>
    <x v="5"/>
    <x v="1"/>
    <x v="250"/>
    <x v="0"/>
    <x v="1"/>
    <x v="4"/>
    <x v="11"/>
    <x v="130"/>
    <x v="2"/>
    <x v="2"/>
  </r>
  <r>
    <x v="32"/>
    <x v="6"/>
    <x v="8"/>
    <x v="253"/>
    <x v="39"/>
    <x v="2"/>
    <x v="1"/>
    <x v="390"/>
    <x v="0"/>
    <x v="3"/>
    <x v="2"/>
    <x v="10"/>
    <x v="3"/>
    <x v="0"/>
    <x v="0"/>
    <x v="9"/>
    <x v="1"/>
    <x v="0"/>
    <x v="5"/>
    <x v="15"/>
    <x v="196"/>
    <x v="0"/>
    <x v="5"/>
  </r>
  <r>
    <x v="33"/>
    <x v="2"/>
    <x v="9"/>
    <x v="98"/>
    <x v="203"/>
    <x v="7"/>
    <x v="1"/>
    <x v="357"/>
    <x v="7"/>
    <x v="3"/>
    <x v="2"/>
    <x v="4"/>
    <x v="18"/>
    <x v="1"/>
    <x v="4"/>
    <x v="80"/>
    <x v="3"/>
    <x v="3"/>
    <x v="5"/>
    <x v="10"/>
    <x v="365"/>
    <x v="0"/>
    <x v="9"/>
  </r>
  <r>
    <x v="34"/>
    <x v="2"/>
    <x v="2"/>
    <x v="204"/>
    <x v="276"/>
    <x v="7"/>
    <x v="1"/>
    <x v="117"/>
    <x v="1"/>
    <x v="2"/>
    <x v="0"/>
    <x v="1"/>
    <x v="4"/>
    <x v="4"/>
    <x v="4"/>
    <x v="123"/>
    <x v="2"/>
    <x v="3"/>
    <x v="0"/>
    <x v="10"/>
    <x v="30"/>
    <x v="1"/>
    <x v="10"/>
  </r>
  <r>
    <x v="35"/>
    <x v="8"/>
    <x v="0"/>
    <x v="55"/>
    <x v="147"/>
    <x v="4"/>
    <x v="1"/>
    <x v="466"/>
    <x v="5"/>
    <x v="0"/>
    <x v="0"/>
    <x v="2"/>
    <x v="10"/>
    <x v="9"/>
    <x v="0"/>
    <x v="330"/>
    <x v="0"/>
    <x v="4"/>
    <x v="4"/>
    <x v="5"/>
    <x v="432"/>
    <x v="0"/>
    <x v="10"/>
  </r>
  <r>
    <x v="36"/>
    <x v="5"/>
    <x v="4"/>
    <x v="78"/>
    <x v="208"/>
    <x v="8"/>
    <x v="0"/>
    <x v="347"/>
    <x v="2"/>
    <x v="1"/>
    <x v="1"/>
    <x v="6"/>
    <x v="20"/>
    <x v="6"/>
    <x v="2"/>
    <x v="272"/>
    <x v="2"/>
    <x v="0"/>
    <x v="4"/>
    <x v="11"/>
    <x v="112"/>
    <x v="0"/>
    <x v="14"/>
  </r>
  <r>
    <x v="37"/>
    <x v="7"/>
    <x v="8"/>
    <x v="132"/>
    <x v="194"/>
    <x v="3"/>
    <x v="0"/>
    <x v="279"/>
    <x v="7"/>
    <x v="3"/>
    <x v="2"/>
    <x v="10"/>
    <x v="5"/>
    <x v="10"/>
    <x v="0"/>
    <x v="17"/>
    <x v="0"/>
    <x v="1"/>
    <x v="4"/>
    <x v="4"/>
    <x v="486"/>
    <x v="0"/>
    <x v="1"/>
  </r>
  <r>
    <x v="38"/>
    <x v="9"/>
    <x v="6"/>
    <x v="54"/>
    <x v="157"/>
    <x v="5"/>
    <x v="0"/>
    <x v="294"/>
    <x v="6"/>
    <x v="3"/>
    <x v="1"/>
    <x v="5"/>
    <x v="20"/>
    <x v="7"/>
    <x v="0"/>
    <x v="310"/>
    <x v="0"/>
    <x v="4"/>
    <x v="2"/>
    <x v="6"/>
    <x v="222"/>
    <x v="0"/>
    <x v="9"/>
  </r>
  <r>
    <x v="39"/>
    <x v="6"/>
    <x v="7"/>
    <x v="101"/>
    <x v="121"/>
    <x v="2"/>
    <x v="1"/>
    <x v="98"/>
    <x v="1"/>
    <x v="2"/>
    <x v="2"/>
    <x v="9"/>
    <x v="8"/>
    <x v="2"/>
    <x v="3"/>
    <x v="66"/>
    <x v="4"/>
    <x v="4"/>
    <x v="4"/>
    <x v="3"/>
    <x v="107"/>
    <x v="2"/>
    <x v="13"/>
  </r>
  <r>
    <x v="40"/>
    <x v="9"/>
    <x v="4"/>
    <x v="40"/>
    <x v="167"/>
    <x v="5"/>
    <x v="0"/>
    <x v="369"/>
    <x v="7"/>
    <x v="3"/>
    <x v="1"/>
    <x v="6"/>
    <x v="8"/>
    <x v="6"/>
    <x v="1"/>
    <x v="219"/>
    <x v="0"/>
    <x v="0"/>
    <x v="2"/>
    <x v="6"/>
    <x v="290"/>
    <x v="2"/>
    <x v="5"/>
  </r>
  <r>
    <x v="41"/>
    <x v="8"/>
    <x v="6"/>
    <x v="76"/>
    <x v="139"/>
    <x v="4"/>
    <x v="1"/>
    <x v="237"/>
    <x v="4"/>
    <x v="1"/>
    <x v="1"/>
    <x v="5"/>
    <x v="1"/>
    <x v="7"/>
    <x v="0"/>
    <x v="152"/>
    <x v="1"/>
    <x v="0"/>
    <x v="2"/>
    <x v="5"/>
    <x v="298"/>
    <x v="2"/>
    <x v="13"/>
  </r>
  <r>
    <x v="42"/>
    <x v="0"/>
    <x v="9"/>
    <x v="314"/>
    <x v="325"/>
    <x v="0"/>
    <x v="1"/>
    <x v="157"/>
    <x v="7"/>
    <x v="3"/>
    <x v="2"/>
    <x v="4"/>
    <x v="8"/>
    <x v="1"/>
    <x v="3"/>
    <x v="56"/>
    <x v="1"/>
    <x v="0"/>
    <x v="0"/>
    <x v="0"/>
    <x v="158"/>
    <x v="1"/>
    <x v="2"/>
  </r>
  <r>
    <x v="43"/>
    <x v="5"/>
    <x v="5"/>
    <x v="260"/>
    <x v="294"/>
    <x v="8"/>
    <x v="0"/>
    <x v="352"/>
    <x v="7"/>
    <x v="3"/>
    <x v="1"/>
    <x v="0"/>
    <x v="16"/>
    <x v="5"/>
    <x v="1"/>
    <x v="234"/>
    <x v="4"/>
    <x v="0"/>
    <x v="0"/>
    <x v="11"/>
    <x v="270"/>
    <x v="0"/>
    <x v="3"/>
  </r>
  <r>
    <x v="44"/>
    <x v="8"/>
    <x v="4"/>
    <x v="140"/>
    <x v="242"/>
    <x v="4"/>
    <x v="1"/>
    <x v="318"/>
    <x v="1"/>
    <x v="2"/>
    <x v="1"/>
    <x v="6"/>
    <x v="19"/>
    <x v="6"/>
    <x v="4"/>
    <x v="265"/>
    <x v="2"/>
    <x v="1"/>
    <x v="1"/>
    <x v="5"/>
    <x v="105"/>
    <x v="0"/>
    <x v="9"/>
  </r>
  <r>
    <x v="45"/>
    <x v="5"/>
    <x v="1"/>
    <x v="117"/>
    <x v="146"/>
    <x v="8"/>
    <x v="0"/>
    <x v="100"/>
    <x v="7"/>
    <x v="3"/>
    <x v="0"/>
    <x v="8"/>
    <x v="15"/>
    <x v="3"/>
    <x v="3"/>
    <x v="156"/>
    <x v="3"/>
    <x v="4"/>
    <x v="2"/>
    <x v="12"/>
    <x v="423"/>
    <x v="1"/>
    <x v="9"/>
  </r>
  <r>
    <x v="46"/>
    <x v="5"/>
    <x v="1"/>
    <x v="290"/>
    <x v="30"/>
    <x v="8"/>
    <x v="0"/>
    <x v="452"/>
    <x v="4"/>
    <x v="1"/>
    <x v="0"/>
    <x v="8"/>
    <x v="19"/>
    <x v="3"/>
    <x v="4"/>
    <x v="169"/>
    <x v="0"/>
    <x v="1"/>
    <x v="2"/>
    <x v="11"/>
    <x v="80"/>
    <x v="1"/>
    <x v="10"/>
  </r>
  <r>
    <x v="47"/>
    <x v="8"/>
    <x v="3"/>
    <x v="197"/>
    <x v="329"/>
    <x v="4"/>
    <x v="1"/>
    <x v="48"/>
    <x v="2"/>
    <x v="1"/>
    <x v="0"/>
    <x v="7"/>
    <x v="19"/>
    <x v="8"/>
    <x v="0"/>
    <x v="319"/>
    <x v="0"/>
    <x v="3"/>
    <x v="0"/>
    <x v="5"/>
    <x v="447"/>
    <x v="1"/>
    <x v="15"/>
  </r>
  <r>
    <x v="48"/>
    <x v="3"/>
    <x v="2"/>
    <x v="197"/>
    <x v="222"/>
    <x v="1"/>
    <x v="0"/>
    <x v="247"/>
    <x v="7"/>
    <x v="3"/>
    <x v="0"/>
    <x v="1"/>
    <x v="6"/>
    <x v="4"/>
    <x v="1"/>
    <x v="144"/>
    <x v="1"/>
    <x v="1"/>
    <x v="5"/>
    <x v="2"/>
    <x v="229"/>
    <x v="2"/>
    <x v="15"/>
  </r>
  <r>
    <x v="49"/>
    <x v="9"/>
    <x v="5"/>
    <x v="296"/>
    <x v="66"/>
    <x v="5"/>
    <x v="0"/>
    <x v="322"/>
    <x v="1"/>
    <x v="2"/>
    <x v="1"/>
    <x v="0"/>
    <x v="7"/>
    <x v="5"/>
    <x v="3"/>
    <x v="182"/>
    <x v="0"/>
    <x v="4"/>
    <x v="0"/>
    <x v="6"/>
    <x v="224"/>
    <x v="1"/>
    <x v="2"/>
  </r>
  <r>
    <x v="50"/>
    <x v="1"/>
    <x v="7"/>
    <x v="265"/>
    <x v="297"/>
    <x v="6"/>
    <x v="0"/>
    <x v="159"/>
    <x v="4"/>
    <x v="1"/>
    <x v="2"/>
    <x v="9"/>
    <x v="8"/>
    <x v="2"/>
    <x v="2"/>
    <x v="69"/>
    <x v="4"/>
    <x v="0"/>
    <x v="0"/>
    <x v="9"/>
    <x v="465"/>
    <x v="0"/>
    <x v="7"/>
  </r>
  <r>
    <x v="51"/>
    <x v="4"/>
    <x v="0"/>
    <x v="201"/>
    <x v="240"/>
    <x v="9"/>
    <x v="1"/>
    <x v="275"/>
    <x v="5"/>
    <x v="0"/>
    <x v="0"/>
    <x v="2"/>
    <x v="12"/>
    <x v="9"/>
    <x v="1"/>
    <x v="333"/>
    <x v="1"/>
    <x v="4"/>
    <x v="4"/>
    <x v="13"/>
    <x v="156"/>
    <x v="2"/>
    <x v="7"/>
  </r>
  <r>
    <x v="52"/>
    <x v="7"/>
    <x v="1"/>
    <x v="287"/>
    <x v="51"/>
    <x v="3"/>
    <x v="0"/>
    <x v="62"/>
    <x v="4"/>
    <x v="1"/>
    <x v="0"/>
    <x v="8"/>
    <x v="3"/>
    <x v="3"/>
    <x v="0"/>
    <x v="110"/>
    <x v="2"/>
    <x v="0"/>
    <x v="1"/>
    <x v="4"/>
    <x v="355"/>
    <x v="0"/>
    <x v="6"/>
  </r>
  <r>
    <x v="53"/>
    <x v="2"/>
    <x v="7"/>
    <x v="217"/>
    <x v="265"/>
    <x v="7"/>
    <x v="1"/>
    <x v="203"/>
    <x v="0"/>
    <x v="3"/>
    <x v="2"/>
    <x v="9"/>
    <x v="19"/>
    <x v="2"/>
    <x v="3"/>
    <x v="100"/>
    <x v="3"/>
    <x v="0"/>
    <x v="4"/>
    <x v="10"/>
    <x v="405"/>
    <x v="0"/>
    <x v="1"/>
  </r>
  <r>
    <x v="54"/>
    <x v="0"/>
    <x v="7"/>
    <x v="105"/>
    <x v="114"/>
    <x v="0"/>
    <x v="1"/>
    <x v="56"/>
    <x v="4"/>
    <x v="1"/>
    <x v="2"/>
    <x v="9"/>
    <x v="9"/>
    <x v="2"/>
    <x v="4"/>
    <x v="69"/>
    <x v="0"/>
    <x v="3"/>
    <x v="2"/>
    <x v="0"/>
    <x v="243"/>
    <x v="2"/>
    <x v="7"/>
  </r>
  <r>
    <x v="55"/>
    <x v="0"/>
    <x v="1"/>
    <x v="250"/>
    <x v="312"/>
    <x v="0"/>
    <x v="1"/>
    <x v="469"/>
    <x v="1"/>
    <x v="2"/>
    <x v="0"/>
    <x v="8"/>
    <x v="6"/>
    <x v="3"/>
    <x v="0"/>
    <x v="127"/>
    <x v="3"/>
    <x v="4"/>
    <x v="4"/>
    <x v="1"/>
    <x v="165"/>
    <x v="0"/>
    <x v="14"/>
  </r>
  <r>
    <x v="56"/>
    <x v="2"/>
    <x v="9"/>
    <x v="135"/>
    <x v="195"/>
    <x v="7"/>
    <x v="1"/>
    <x v="250"/>
    <x v="2"/>
    <x v="1"/>
    <x v="2"/>
    <x v="4"/>
    <x v="18"/>
    <x v="1"/>
    <x v="1"/>
    <x v="93"/>
    <x v="0"/>
    <x v="0"/>
    <x v="0"/>
    <x v="10"/>
    <x v="334"/>
    <x v="2"/>
    <x v="14"/>
  </r>
  <r>
    <x v="57"/>
    <x v="6"/>
    <x v="8"/>
    <x v="154"/>
    <x v="272"/>
    <x v="2"/>
    <x v="1"/>
    <x v="320"/>
    <x v="4"/>
    <x v="1"/>
    <x v="2"/>
    <x v="10"/>
    <x v="8"/>
    <x v="0"/>
    <x v="1"/>
    <x v="31"/>
    <x v="0"/>
    <x v="0"/>
    <x v="5"/>
    <x v="3"/>
    <x v="415"/>
    <x v="1"/>
    <x v="5"/>
  </r>
  <r>
    <x v="58"/>
    <x v="4"/>
    <x v="1"/>
    <x v="48"/>
    <x v="57"/>
    <x v="9"/>
    <x v="1"/>
    <x v="111"/>
    <x v="4"/>
    <x v="1"/>
    <x v="0"/>
    <x v="8"/>
    <x v="8"/>
    <x v="3"/>
    <x v="2"/>
    <x v="132"/>
    <x v="0"/>
    <x v="3"/>
    <x v="0"/>
    <x v="13"/>
    <x v="92"/>
    <x v="0"/>
    <x v="2"/>
  </r>
  <r>
    <x v="59"/>
    <x v="7"/>
    <x v="8"/>
    <x v="92"/>
    <x v="197"/>
    <x v="3"/>
    <x v="0"/>
    <x v="289"/>
    <x v="2"/>
    <x v="1"/>
    <x v="2"/>
    <x v="10"/>
    <x v="7"/>
    <x v="0"/>
    <x v="3"/>
    <x v="22"/>
    <x v="4"/>
    <x v="0"/>
    <x v="4"/>
    <x v="4"/>
    <x v="478"/>
    <x v="1"/>
    <x v="15"/>
  </r>
  <r>
    <x v="60"/>
    <x v="1"/>
    <x v="8"/>
    <x v="168"/>
    <x v="261"/>
    <x v="6"/>
    <x v="0"/>
    <x v="79"/>
    <x v="7"/>
    <x v="3"/>
    <x v="2"/>
    <x v="10"/>
    <x v="16"/>
    <x v="0"/>
    <x v="0"/>
    <x v="57"/>
    <x v="4"/>
    <x v="3"/>
    <x v="0"/>
    <x v="9"/>
    <x v="278"/>
    <x v="2"/>
    <x v="7"/>
  </r>
  <r>
    <x v="61"/>
    <x v="9"/>
    <x v="9"/>
    <x v="138"/>
    <x v="212"/>
    <x v="5"/>
    <x v="0"/>
    <x v="220"/>
    <x v="6"/>
    <x v="3"/>
    <x v="2"/>
    <x v="4"/>
    <x v="15"/>
    <x v="1"/>
    <x v="0"/>
    <x v="83"/>
    <x v="3"/>
    <x v="1"/>
    <x v="0"/>
    <x v="6"/>
    <x v="261"/>
    <x v="0"/>
    <x v="16"/>
  </r>
  <r>
    <x v="62"/>
    <x v="5"/>
    <x v="1"/>
    <x v="3"/>
    <x v="45"/>
    <x v="8"/>
    <x v="0"/>
    <x v="139"/>
    <x v="0"/>
    <x v="3"/>
    <x v="0"/>
    <x v="8"/>
    <x v="15"/>
    <x v="3"/>
    <x v="2"/>
    <x v="160"/>
    <x v="2"/>
    <x v="3"/>
    <x v="1"/>
    <x v="11"/>
    <x v="408"/>
    <x v="1"/>
    <x v="2"/>
  </r>
  <r>
    <x v="63"/>
    <x v="9"/>
    <x v="9"/>
    <x v="88"/>
    <x v="120"/>
    <x v="5"/>
    <x v="0"/>
    <x v="417"/>
    <x v="5"/>
    <x v="0"/>
    <x v="2"/>
    <x v="4"/>
    <x v="3"/>
    <x v="1"/>
    <x v="3"/>
    <x v="21"/>
    <x v="1"/>
    <x v="4"/>
    <x v="2"/>
    <x v="6"/>
    <x v="66"/>
    <x v="2"/>
    <x v="1"/>
  </r>
  <r>
    <x v="64"/>
    <x v="1"/>
    <x v="5"/>
    <x v="87"/>
    <x v="94"/>
    <x v="6"/>
    <x v="0"/>
    <x v="315"/>
    <x v="5"/>
    <x v="0"/>
    <x v="1"/>
    <x v="0"/>
    <x v="7"/>
    <x v="5"/>
    <x v="3"/>
    <x v="182"/>
    <x v="4"/>
    <x v="4"/>
    <x v="2"/>
    <x v="9"/>
    <x v="315"/>
    <x v="1"/>
    <x v="12"/>
  </r>
  <r>
    <x v="65"/>
    <x v="7"/>
    <x v="9"/>
    <x v="8"/>
    <x v="52"/>
    <x v="3"/>
    <x v="0"/>
    <x v="475"/>
    <x v="2"/>
    <x v="1"/>
    <x v="2"/>
    <x v="4"/>
    <x v="19"/>
    <x v="1"/>
    <x v="2"/>
    <x v="93"/>
    <x v="4"/>
    <x v="0"/>
    <x v="2"/>
    <x v="4"/>
    <x v="50"/>
    <x v="0"/>
    <x v="8"/>
  </r>
  <r>
    <x v="66"/>
    <x v="5"/>
    <x v="4"/>
    <x v="89"/>
    <x v="139"/>
    <x v="8"/>
    <x v="0"/>
    <x v="463"/>
    <x v="3"/>
    <x v="2"/>
    <x v="1"/>
    <x v="6"/>
    <x v="7"/>
    <x v="6"/>
    <x v="3"/>
    <x v="210"/>
    <x v="0"/>
    <x v="1"/>
    <x v="1"/>
    <x v="11"/>
    <x v="5"/>
    <x v="2"/>
    <x v="13"/>
  </r>
  <r>
    <x v="67"/>
    <x v="9"/>
    <x v="6"/>
    <x v="149"/>
    <x v="204"/>
    <x v="5"/>
    <x v="0"/>
    <x v="372"/>
    <x v="4"/>
    <x v="1"/>
    <x v="1"/>
    <x v="5"/>
    <x v="7"/>
    <x v="7"/>
    <x v="4"/>
    <x v="261"/>
    <x v="3"/>
    <x v="3"/>
    <x v="2"/>
    <x v="6"/>
    <x v="94"/>
    <x v="1"/>
    <x v="11"/>
  </r>
  <r>
    <x v="68"/>
    <x v="7"/>
    <x v="0"/>
    <x v="70"/>
    <x v="99"/>
    <x v="3"/>
    <x v="0"/>
    <x v="76"/>
    <x v="1"/>
    <x v="2"/>
    <x v="0"/>
    <x v="2"/>
    <x v="16"/>
    <x v="9"/>
    <x v="2"/>
    <x v="337"/>
    <x v="0"/>
    <x v="0"/>
    <x v="0"/>
    <x v="4"/>
    <x v="483"/>
    <x v="1"/>
    <x v="3"/>
  </r>
  <r>
    <x v="69"/>
    <x v="3"/>
    <x v="3"/>
    <x v="255"/>
    <x v="22"/>
    <x v="1"/>
    <x v="0"/>
    <x v="401"/>
    <x v="6"/>
    <x v="3"/>
    <x v="0"/>
    <x v="7"/>
    <x v="2"/>
    <x v="8"/>
    <x v="4"/>
    <x v="204"/>
    <x v="0"/>
    <x v="1"/>
    <x v="1"/>
    <x v="2"/>
    <x v="262"/>
    <x v="2"/>
    <x v="11"/>
  </r>
  <r>
    <x v="70"/>
    <x v="2"/>
    <x v="9"/>
    <x v="318"/>
    <x v="52"/>
    <x v="7"/>
    <x v="1"/>
    <x v="410"/>
    <x v="1"/>
    <x v="2"/>
    <x v="2"/>
    <x v="4"/>
    <x v="4"/>
    <x v="1"/>
    <x v="1"/>
    <x v="35"/>
    <x v="0"/>
    <x v="0"/>
    <x v="4"/>
    <x v="10"/>
    <x v="238"/>
    <x v="2"/>
    <x v="7"/>
  </r>
  <r>
    <x v="71"/>
    <x v="7"/>
    <x v="2"/>
    <x v="141"/>
    <x v="243"/>
    <x v="3"/>
    <x v="0"/>
    <x v="367"/>
    <x v="4"/>
    <x v="1"/>
    <x v="0"/>
    <x v="1"/>
    <x v="1"/>
    <x v="4"/>
    <x v="1"/>
    <x v="104"/>
    <x v="2"/>
    <x v="4"/>
    <x v="0"/>
    <x v="4"/>
    <x v="391"/>
    <x v="0"/>
    <x v="11"/>
  </r>
  <r>
    <x v="72"/>
    <x v="9"/>
    <x v="5"/>
    <x v="35"/>
    <x v="162"/>
    <x v="5"/>
    <x v="0"/>
    <x v="331"/>
    <x v="8"/>
    <x v="2"/>
    <x v="1"/>
    <x v="0"/>
    <x v="1"/>
    <x v="5"/>
    <x v="3"/>
    <x v="107"/>
    <x v="3"/>
    <x v="0"/>
    <x v="0"/>
    <x v="6"/>
    <x v="114"/>
    <x v="1"/>
    <x v="13"/>
  </r>
  <r>
    <x v="73"/>
    <x v="2"/>
    <x v="2"/>
    <x v="268"/>
    <x v="290"/>
    <x v="7"/>
    <x v="1"/>
    <x v="30"/>
    <x v="7"/>
    <x v="3"/>
    <x v="0"/>
    <x v="1"/>
    <x v="3"/>
    <x v="4"/>
    <x v="2"/>
    <x v="116"/>
    <x v="4"/>
    <x v="1"/>
    <x v="4"/>
    <x v="10"/>
    <x v="132"/>
    <x v="1"/>
    <x v="12"/>
  </r>
  <r>
    <x v="74"/>
    <x v="7"/>
    <x v="4"/>
    <x v="286"/>
    <x v="71"/>
    <x v="3"/>
    <x v="0"/>
    <x v="168"/>
    <x v="1"/>
    <x v="2"/>
    <x v="1"/>
    <x v="6"/>
    <x v="10"/>
    <x v="6"/>
    <x v="4"/>
    <x v="221"/>
    <x v="4"/>
    <x v="0"/>
    <x v="5"/>
    <x v="4"/>
    <x v="1"/>
    <x v="1"/>
    <x v="5"/>
  </r>
  <r>
    <x v="75"/>
    <x v="6"/>
    <x v="1"/>
    <x v="177"/>
    <x v="195"/>
    <x v="2"/>
    <x v="1"/>
    <x v="457"/>
    <x v="2"/>
    <x v="1"/>
    <x v="0"/>
    <x v="8"/>
    <x v="18"/>
    <x v="3"/>
    <x v="1"/>
    <x v="175"/>
    <x v="2"/>
    <x v="0"/>
    <x v="2"/>
    <x v="3"/>
    <x v="212"/>
    <x v="0"/>
    <x v="14"/>
  </r>
  <r>
    <x v="76"/>
    <x v="4"/>
    <x v="1"/>
    <x v="95"/>
    <x v="189"/>
    <x v="9"/>
    <x v="1"/>
    <x v="207"/>
    <x v="1"/>
    <x v="2"/>
    <x v="0"/>
    <x v="8"/>
    <x v="12"/>
    <x v="3"/>
    <x v="3"/>
    <x v="146"/>
    <x v="1"/>
    <x v="4"/>
    <x v="4"/>
    <x v="13"/>
    <x v="143"/>
    <x v="1"/>
    <x v="5"/>
  </r>
  <r>
    <x v="77"/>
    <x v="8"/>
    <x v="2"/>
    <x v="157"/>
    <x v="170"/>
    <x v="4"/>
    <x v="1"/>
    <x v="249"/>
    <x v="6"/>
    <x v="3"/>
    <x v="0"/>
    <x v="1"/>
    <x v="8"/>
    <x v="4"/>
    <x v="0"/>
    <x v="162"/>
    <x v="3"/>
    <x v="0"/>
    <x v="4"/>
    <x v="5"/>
    <x v="291"/>
    <x v="2"/>
    <x v="10"/>
  </r>
  <r>
    <x v="78"/>
    <x v="2"/>
    <x v="7"/>
    <x v="65"/>
    <x v="105"/>
    <x v="7"/>
    <x v="1"/>
    <x v="118"/>
    <x v="7"/>
    <x v="3"/>
    <x v="2"/>
    <x v="9"/>
    <x v="2"/>
    <x v="2"/>
    <x v="0"/>
    <x v="23"/>
    <x v="1"/>
    <x v="4"/>
    <x v="4"/>
    <x v="10"/>
    <x v="490"/>
    <x v="1"/>
    <x v="10"/>
  </r>
  <r>
    <x v="79"/>
    <x v="0"/>
    <x v="9"/>
    <x v="1"/>
    <x v="64"/>
    <x v="0"/>
    <x v="1"/>
    <x v="92"/>
    <x v="7"/>
    <x v="3"/>
    <x v="2"/>
    <x v="4"/>
    <x v="10"/>
    <x v="1"/>
    <x v="3"/>
    <x v="64"/>
    <x v="2"/>
    <x v="3"/>
    <x v="5"/>
    <x v="0"/>
    <x v="343"/>
    <x v="0"/>
    <x v="0"/>
  </r>
  <r>
    <x v="80"/>
    <x v="4"/>
    <x v="4"/>
    <x v="261"/>
    <x v="25"/>
    <x v="9"/>
    <x v="1"/>
    <x v="332"/>
    <x v="5"/>
    <x v="0"/>
    <x v="1"/>
    <x v="6"/>
    <x v="12"/>
    <x v="6"/>
    <x v="1"/>
    <x v="247"/>
    <x v="2"/>
    <x v="3"/>
    <x v="0"/>
    <x v="13"/>
    <x v="441"/>
    <x v="2"/>
    <x v="15"/>
  </r>
  <r>
    <x v="81"/>
    <x v="2"/>
    <x v="7"/>
    <x v="202"/>
    <x v="287"/>
    <x v="7"/>
    <x v="1"/>
    <x v="389"/>
    <x v="6"/>
    <x v="3"/>
    <x v="2"/>
    <x v="9"/>
    <x v="2"/>
    <x v="2"/>
    <x v="3"/>
    <x v="18"/>
    <x v="0"/>
    <x v="4"/>
    <x v="2"/>
    <x v="10"/>
    <x v="218"/>
    <x v="1"/>
    <x v="8"/>
  </r>
  <r>
    <x v="82"/>
    <x v="2"/>
    <x v="2"/>
    <x v="185"/>
    <x v="220"/>
    <x v="7"/>
    <x v="1"/>
    <x v="312"/>
    <x v="3"/>
    <x v="2"/>
    <x v="0"/>
    <x v="1"/>
    <x v="18"/>
    <x v="4"/>
    <x v="3"/>
    <x v="202"/>
    <x v="2"/>
    <x v="0"/>
    <x v="2"/>
    <x v="10"/>
    <x v="115"/>
    <x v="2"/>
    <x v="2"/>
  </r>
  <r>
    <x v="83"/>
    <x v="7"/>
    <x v="3"/>
    <x v="319"/>
    <x v="328"/>
    <x v="3"/>
    <x v="0"/>
    <x v="402"/>
    <x v="6"/>
    <x v="3"/>
    <x v="0"/>
    <x v="7"/>
    <x v="18"/>
    <x v="8"/>
    <x v="3"/>
    <x v="315"/>
    <x v="1"/>
    <x v="1"/>
    <x v="4"/>
    <x v="4"/>
    <x v="437"/>
    <x v="1"/>
    <x v="9"/>
  </r>
  <r>
    <x v="84"/>
    <x v="6"/>
    <x v="8"/>
    <x v="324"/>
    <x v="116"/>
    <x v="2"/>
    <x v="1"/>
    <x v="174"/>
    <x v="0"/>
    <x v="3"/>
    <x v="2"/>
    <x v="10"/>
    <x v="7"/>
    <x v="0"/>
    <x v="0"/>
    <x v="29"/>
    <x v="1"/>
    <x v="0"/>
    <x v="5"/>
    <x v="3"/>
    <x v="78"/>
    <x v="0"/>
    <x v="9"/>
  </r>
  <r>
    <x v="85"/>
    <x v="5"/>
    <x v="4"/>
    <x v="102"/>
    <x v="187"/>
    <x v="8"/>
    <x v="0"/>
    <x v="245"/>
    <x v="7"/>
    <x v="3"/>
    <x v="1"/>
    <x v="6"/>
    <x v="20"/>
    <x v="6"/>
    <x v="4"/>
    <x v="269"/>
    <x v="3"/>
    <x v="0"/>
    <x v="2"/>
    <x v="11"/>
    <x v="282"/>
    <x v="2"/>
    <x v="3"/>
  </r>
  <r>
    <x v="86"/>
    <x v="1"/>
    <x v="6"/>
    <x v="163"/>
    <x v="268"/>
    <x v="6"/>
    <x v="0"/>
    <x v="239"/>
    <x v="0"/>
    <x v="3"/>
    <x v="1"/>
    <x v="5"/>
    <x v="8"/>
    <x v="7"/>
    <x v="4"/>
    <x v="268"/>
    <x v="2"/>
    <x v="0"/>
    <x v="2"/>
    <x v="9"/>
    <x v="72"/>
    <x v="2"/>
    <x v="14"/>
  </r>
  <r>
    <x v="87"/>
    <x v="0"/>
    <x v="3"/>
    <x v="155"/>
    <x v="252"/>
    <x v="0"/>
    <x v="1"/>
    <x v="325"/>
    <x v="0"/>
    <x v="1"/>
    <x v="0"/>
    <x v="7"/>
    <x v="6"/>
    <x v="8"/>
    <x v="1"/>
    <x v="277"/>
    <x v="3"/>
    <x v="3"/>
    <x v="5"/>
    <x v="0"/>
    <x v="407"/>
    <x v="1"/>
    <x v="8"/>
  </r>
  <r>
    <x v="88"/>
    <x v="7"/>
    <x v="6"/>
    <x v="111"/>
    <x v="195"/>
    <x v="3"/>
    <x v="0"/>
    <x v="226"/>
    <x v="7"/>
    <x v="3"/>
    <x v="1"/>
    <x v="5"/>
    <x v="15"/>
    <x v="7"/>
    <x v="0"/>
    <x v="298"/>
    <x v="3"/>
    <x v="3"/>
    <x v="5"/>
    <x v="4"/>
    <x v="232"/>
    <x v="0"/>
    <x v="14"/>
  </r>
  <r>
    <x v="89"/>
    <x v="9"/>
    <x v="2"/>
    <x v="213"/>
    <x v="240"/>
    <x v="5"/>
    <x v="0"/>
    <x v="295"/>
    <x v="4"/>
    <x v="1"/>
    <x v="0"/>
    <x v="1"/>
    <x v="5"/>
    <x v="4"/>
    <x v="3"/>
    <x v="133"/>
    <x v="0"/>
    <x v="3"/>
    <x v="5"/>
    <x v="6"/>
    <x v="236"/>
    <x v="0"/>
    <x v="7"/>
  </r>
  <r>
    <x v="90"/>
    <x v="9"/>
    <x v="8"/>
    <x v="139"/>
    <x v="144"/>
    <x v="5"/>
    <x v="0"/>
    <x v="140"/>
    <x v="3"/>
    <x v="2"/>
    <x v="2"/>
    <x v="10"/>
    <x v="4"/>
    <x v="0"/>
    <x v="0"/>
    <x v="13"/>
    <x v="3"/>
    <x v="3"/>
    <x v="4"/>
    <x v="6"/>
    <x v="378"/>
    <x v="1"/>
    <x v="7"/>
  </r>
  <r>
    <x v="91"/>
    <x v="7"/>
    <x v="8"/>
    <x v="162"/>
    <x v="207"/>
    <x v="3"/>
    <x v="0"/>
    <x v="432"/>
    <x v="1"/>
    <x v="2"/>
    <x v="2"/>
    <x v="10"/>
    <x v="10"/>
    <x v="0"/>
    <x v="0"/>
    <x v="41"/>
    <x v="2"/>
    <x v="1"/>
    <x v="1"/>
    <x v="4"/>
    <x v="62"/>
    <x v="2"/>
    <x v="2"/>
  </r>
  <r>
    <x v="92"/>
    <x v="3"/>
    <x v="5"/>
    <x v="43"/>
    <x v="104"/>
    <x v="1"/>
    <x v="0"/>
    <x v="348"/>
    <x v="2"/>
    <x v="1"/>
    <x v="1"/>
    <x v="0"/>
    <x v="18"/>
    <x v="5"/>
    <x v="2"/>
    <x v="240"/>
    <x v="2"/>
    <x v="1"/>
    <x v="5"/>
    <x v="2"/>
    <x v="419"/>
    <x v="0"/>
    <x v="8"/>
  </r>
  <r>
    <x v="93"/>
    <x v="0"/>
    <x v="4"/>
    <x v="123"/>
    <x v="152"/>
    <x v="0"/>
    <x v="1"/>
    <x v="286"/>
    <x v="2"/>
    <x v="1"/>
    <x v="1"/>
    <x v="6"/>
    <x v="7"/>
    <x v="6"/>
    <x v="3"/>
    <x v="210"/>
    <x v="2"/>
    <x v="3"/>
    <x v="4"/>
    <x v="0"/>
    <x v="177"/>
    <x v="1"/>
    <x v="3"/>
  </r>
  <r>
    <x v="94"/>
    <x v="1"/>
    <x v="6"/>
    <x v="39"/>
    <x v="69"/>
    <x v="6"/>
    <x v="0"/>
    <x v="470"/>
    <x v="5"/>
    <x v="0"/>
    <x v="1"/>
    <x v="5"/>
    <x v="19"/>
    <x v="7"/>
    <x v="3"/>
    <x v="303"/>
    <x v="3"/>
    <x v="0"/>
    <x v="1"/>
    <x v="9"/>
    <x v="481"/>
    <x v="2"/>
    <x v="16"/>
  </r>
  <r>
    <x v="95"/>
    <x v="5"/>
    <x v="3"/>
    <x v="182"/>
    <x v="279"/>
    <x v="8"/>
    <x v="0"/>
    <x v="351"/>
    <x v="0"/>
    <x v="3"/>
    <x v="0"/>
    <x v="7"/>
    <x v="13"/>
    <x v="8"/>
    <x v="3"/>
    <x v="301"/>
    <x v="3"/>
    <x v="1"/>
    <x v="4"/>
    <x v="11"/>
    <x v="362"/>
    <x v="1"/>
    <x v="12"/>
  </r>
  <r>
    <x v="96"/>
    <x v="0"/>
    <x v="8"/>
    <x v="145"/>
    <x v="248"/>
    <x v="0"/>
    <x v="1"/>
    <x v="64"/>
    <x v="7"/>
    <x v="3"/>
    <x v="2"/>
    <x v="10"/>
    <x v="7"/>
    <x v="0"/>
    <x v="0"/>
    <x v="29"/>
    <x v="0"/>
    <x v="0"/>
    <x v="1"/>
    <x v="0"/>
    <x v="433"/>
    <x v="0"/>
    <x v="14"/>
  </r>
  <r>
    <x v="97"/>
    <x v="3"/>
    <x v="1"/>
    <x v="93"/>
    <x v="111"/>
    <x v="1"/>
    <x v="0"/>
    <x v="436"/>
    <x v="2"/>
    <x v="1"/>
    <x v="0"/>
    <x v="8"/>
    <x v="5"/>
    <x v="3"/>
    <x v="3"/>
    <x v="342"/>
    <x v="3"/>
    <x v="0"/>
    <x v="5"/>
    <x v="2"/>
    <x v="141"/>
    <x v="2"/>
    <x v="4"/>
  </r>
  <r>
    <x v="98"/>
    <x v="6"/>
    <x v="9"/>
    <x v="72"/>
    <x v="101"/>
    <x v="2"/>
    <x v="1"/>
    <x v="120"/>
    <x v="1"/>
    <x v="2"/>
    <x v="2"/>
    <x v="4"/>
    <x v="9"/>
    <x v="1"/>
    <x v="1"/>
    <x v="65"/>
    <x v="2"/>
    <x v="1"/>
    <x v="5"/>
    <x v="3"/>
    <x v="358"/>
    <x v="1"/>
    <x v="16"/>
  </r>
  <r>
    <x v="99"/>
    <x v="2"/>
    <x v="7"/>
    <x v="220"/>
    <x v="304"/>
    <x v="7"/>
    <x v="1"/>
    <x v="281"/>
    <x v="5"/>
    <x v="0"/>
    <x v="2"/>
    <x v="9"/>
    <x v="19"/>
    <x v="2"/>
    <x v="2"/>
    <x v="102"/>
    <x v="4"/>
    <x v="3"/>
    <x v="2"/>
    <x v="10"/>
    <x v="351"/>
    <x v="1"/>
    <x v="3"/>
  </r>
  <r>
    <x v="100"/>
    <x v="0"/>
    <x v="1"/>
    <x v="118"/>
    <x v="216"/>
    <x v="0"/>
    <x v="1"/>
    <x v="93"/>
    <x v="0"/>
    <x v="3"/>
    <x v="0"/>
    <x v="8"/>
    <x v="4"/>
    <x v="3"/>
    <x v="1"/>
    <x v="113"/>
    <x v="2"/>
    <x v="3"/>
    <x v="0"/>
    <x v="0"/>
    <x v="100"/>
    <x v="1"/>
    <x v="11"/>
  </r>
  <r>
    <x v="101"/>
    <x v="0"/>
    <x v="4"/>
    <x v="72"/>
    <x v="155"/>
    <x v="0"/>
    <x v="1"/>
    <x v="423"/>
    <x v="7"/>
    <x v="3"/>
    <x v="1"/>
    <x v="6"/>
    <x v="16"/>
    <x v="6"/>
    <x v="0"/>
    <x v="269"/>
    <x v="1"/>
    <x v="0"/>
    <x v="4"/>
    <x v="0"/>
    <x v="376"/>
    <x v="1"/>
    <x v="16"/>
  </r>
  <r>
    <x v="102"/>
    <x v="5"/>
    <x v="9"/>
    <x v="130"/>
    <x v="205"/>
    <x v="8"/>
    <x v="0"/>
    <x v="403"/>
    <x v="1"/>
    <x v="2"/>
    <x v="2"/>
    <x v="4"/>
    <x v="5"/>
    <x v="1"/>
    <x v="4"/>
    <x v="37"/>
    <x v="2"/>
    <x v="0"/>
    <x v="5"/>
    <x v="11"/>
    <x v="275"/>
    <x v="1"/>
    <x v="0"/>
  </r>
  <r>
    <x v="103"/>
    <x v="6"/>
    <x v="8"/>
    <x v="176"/>
    <x v="185"/>
    <x v="2"/>
    <x v="1"/>
    <x v="7"/>
    <x v="6"/>
    <x v="3"/>
    <x v="2"/>
    <x v="10"/>
    <x v="9"/>
    <x v="0"/>
    <x v="2"/>
    <x v="34"/>
    <x v="3"/>
    <x v="0"/>
    <x v="5"/>
    <x v="3"/>
    <x v="234"/>
    <x v="2"/>
    <x v="2"/>
  </r>
  <r>
    <x v="104"/>
    <x v="9"/>
    <x v="2"/>
    <x v="257"/>
    <x v="3"/>
    <x v="5"/>
    <x v="0"/>
    <x v="88"/>
    <x v="2"/>
    <x v="1"/>
    <x v="0"/>
    <x v="1"/>
    <x v="9"/>
    <x v="4"/>
    <x v="1"/>
    <x v="167"/>
    <x v="2"/>
    <x v="4"/>
    <x v="5"/>
    <x v="6"/>
    <x v="242"/>
    <x v="2"/>
    <x v="1"/>
  </r>
  <r>
    <x v="105"/>
    <x v="1"/>
    <x v="4"/>
    <x v="269"/>
    <x v="280"/>
    <x v="6"/>
    <x v="0"/>
    <x v="215"/>
    <x v="2"/>
    <x v="1"/>
    <x v="1"/>
    <x v="6"/>
    <x v="3"/>
    <x v="6"/>
    <x v="2"/>
    <x v="160"/>
    <x v="1"/>
    <x v="0"/>
    <x v="1"/>
    <x v="9"/>
    <x v="43"/>
    <x v="0"/>
    <x v="1"/>
  </r>
  <r>
    <x v="106"/>
    <x v="4"/>
    <x v="2"/>
    <x v="135"/>
    <x v="186"/>
    <x v="9"/>
    <x v="1"/>
    <x v="471"/>
    <x v="6"/>
    <x v="3"/>
    <x v="0"/>
    <x v="1"/>
    <x v="6"/>
    <x v="4"/>
    <x v="3"/>
    <x v="138"/>
    <x v="3"/>
    <x v="4"/>
    <x v="5"/>
    <x v="13"/>
    <x v="372"/>
    <x v="0"/>
    <x v="14"/>
  </r>
  <r>
    <x v="107"/>
    <x v="6"/>
    <x v="2"/>
    <x v="104"/>
    <x v="125"/>
    <x v="2"/>
    <x v="1"/>
    <x v="84"/>
    <x v="4"/>
    <x v="1"/>
    <x v="0"/>
    <x v="1"/>
    <x v="17"/>
    <x v="4"/>
    <x v="3"/>
    <x v="198"/>
    <x v="0"/>
    <x v="1"/>
    <x v="0"/>
    <x v="3"/>
    <x v="68"/>
    <x v="1"/>
    <x v="6"/>
  </r>
  <r>
    <x v="108"/>
    <x v="4"/>
    <x v="6"/>
    <x v="191"/>
    <x v="276"/>
    <x v="9"/>
    <x v="1"/>
    <x v="230"/>
    <x v="1"/>
    <x v="2"/>
    <x v="1"/>
    <x v="5"/>
    <x v="15"/>
    <x v="7"/>
    <x v="0"/>
    <x v="298"/>
    <x v="2"/>
    <x v="1"/>
    <x v="2"/>
    <x v="13"/>
    <x v="497"/>
    <x v="2"/>
    <x v="10"/>
  </r>
  <r>
    <x v="109"/>
    <x v="2"/>
    <x v="2"/>
    <x v="136"/>
    <x v="196"/>
    <x v="7"/>
    <x v="1"/>
    <x v="199"/>
    <x v="3"/>
    <x v="2"/>
    <x v="0"/>
    <x v="1"/>
    <x v="1"/>
    <x v="4"/>
    <x v="4"/>
    <x v="99"/>
    <x v="0"/>
    <x v="4"/>
    <x v="2"/>
    <x v="10"/>
    <x v="227"/>
    <x v="2"/>
    <x v="3"/>
  </r>
  <r>
    <x v="110"/>
    <x v="2"/>
    <x v="6"/>
    <x v="91"/>
    <x v="187"/>
    <x v="7"/>
    <x v="1"/>
    <x v="27"/>
    <x v="5"/>
    <x v="0"/>
    <x v="1"/>
    <x v="5"/>
    <x v="5"/>
    <x v="7"/>
    <x v="2"/>
    <x v="246"/>
    <x v="0"/>
    <x v="0"/>
    <x v="0"/>
    <x v="10"/>
    <x v="77"/>
    <x v="1"/>
    <x v="3"/>
  </r>
  <r>
    <x v="111"/>
    <x v="9"/>
    <x v="9"/>
    <x v="26"/>
    <x v="100"/>
    <x v="5"/>
    <x v="0"/>
    <x v="135"/>
    <x v="3"/>
    <x v="2"/>
    <x v="2"/>
    <x v="4"/>
    <x v="12"/>
    <x v="1"/>
    <x v="1"/>
    <x v="73"/>
    <x v="1"/>
    <x v="3"/>
    <x v="5"/>
    <x v="6"/>
    <x v="310"/>
    <x v="0"/>
    <x v="15"/>
  </r>
  <r>
    <x v="112"/>
    <x v="4"/>
    <x v="7"/>
    <x v="245"/>
    <x v="298"/>
    <x v="9"/>
    <x v="1"/>
    <x v="349"/>
    <x v="7"/>
    <x v="3"/>
    <x v="2"/>
    <x v="9"/>
    <x v="5"/>
    <x v="2"/>
    <x v="1"/>
    <x v="52"/>
    <x v="1"/>
    <x v="1"/>
    <x v="0"/>
    <x v="13"/>
    <x v="377"/>
    <x v="1"/>
    <x v="9"/>
  </r>
  <r>
    <x v="113"/>
    <x v="9"/>
    <x v="1"/>
    <x v="25"/>
    <x v="141"/>
    <x v="5"/>
    <x v="0"/>
    <x v="188"/>
    <x v="5"/>
    <x v="0"/>
    <x v="0"/>
    <x v="8"/>
    <x v="3"/>
    <x v="3"/>
    <x v="0"/>
    <x v="110"/>
    <x v="3"/>
    <x v="0"/>
    <x v="0"/>
    <x v="6"/>
    <x v="426"/>
    <x v="1"/>
    <x v="3"/>
  </r>
  <r>
    <x v="114"/>
    <x v="3"/>
    <x v="8"/>
    <x v="260"/>
    <x v="304"/>
    <x v="1"/>
    <x v="0"/>
    <x v="66"/>
    <x v="2"/>
    <x v="1"/>
    <x v="2"/>
    <x v="10"/>
    <x v="6"/>
    <x v="0"/>
    <x v="3"/>
    <x v="18"/>
    <x v="4"/>
    <x v="0"/>
    <x v="1"/>
    <x v="2"/>
    <x v="314"/>
    <x v="1"/>
    <x v="3"/>
  </r>
  <r>
    <x v="115"/>
    <x v="1"/>
    <x v="1"/>
    <x v="254"/>
    <x v="327"/>
    <x v="6"/>
    <x v="0"/>
    <x v="222"/>
    <x v="1"/>
    <x v="2"/>
    <x v="0"/>
    <x v="8"/>
    <x v="2"/>
    <x v="3"/>
    <x v="3"/>
    <x v="105"/>
    <x v="3"/>
    <x v="1"/>
    <x v="1"/>
    <x v="9"/>
    <x v="450"/>
    <x v="2"/>
    <x v="7"/>
  </r>
  <r>
    <x v="116"/>
    <x v="0"/>
    <x v="9"/>
    <x v="323"/>
    <x v="113"/>
    <x v="0"/>
    <x v="1"/>
    <x v="122"/>
    <x v="7"/>
    <x v="3"/>
    <x v="2"/>
    <x v="4"/>
    <x v="16"/>
    <x v="1"/>
    <x v="0"/>
    <x v="88"/>
    <x v="0"/>
    <x v="3"/>
    <x v="0"/>
    <x v="0"/>
    <x v="388"/>
    <x v="1"/>
    <x v="4"/>
  </r>
  <r>
    <x v="117"/>
    <x v="8"/>
    <x v="2"/>
    <x v="316"/>
    <x v="17"/>
    <x v="4"/>
    <x v="1"/>
    <x v="134"/>
    <x v="0"/>
    <x v="3"/>
    <x v="0"/>
    <x v="1"/>
    <x v="21"/>
    <x v="4"/>
    <x v="3"/>
    <x v="146"/>
    <x v="3"/>
    <x v="4"/>
    <x v="1"/>
    <x v="5"/>
    <x v="461"/>
    <x v="2"/>
    <x v="4"/>
  </r>
  <r>
    <x v="118"/>
    <x v="1"/>
    <x v="3"/>
    <x v="201"/>
    <x v="318"/>
    <x v="6"/>
    <x v="0"/>
    <x v="119"/>
    <x v="4"/>
    <x v="1"/>
    <x v="0"/>
    <x v="7"/>
    <x v="14"/>
    <x v="8"/>
    <x v="3"/>
    <x v="306"/>
    <x v="1"/>
    <x v="3"/>
    <x v="0"/>
    <x v="9"/>
    <x v="352"/>
    <x v="2"/>
    <x v="7"/>
  </r>
  <r>
    <x v="119"/>
    <x v="2"/>
    <x v="6"/>
    <x v="149"/>
    <x v="171"/>
    <x v="7"/>
    <x v="1"/>
    <x v="202"/>
    <x v="7"/>
    <x v="3"/>
    <x v="1"/>
    <x v="5"/>
    <x v="8"/>
    <x v="7"/>
    <x v="4"/>
    <x v="268"/>
    <x v="2"/>
    <x v="0"/>
    <x v="4"/>
    <x v="10"/>
    <x v="57"/>
    <x v="1"/>
    <x v="11"/>
  </r>
  <r>
    <x v="120"/>
    <x v="6"/>
    <x v="9"/>
    <x v="321"/>
    <x v="96"/>
    <x v="2"/>
    <x v="1"/>
    <x v="2"/>
    <x v="1"/>
    <x v="2"/>
    <x v="2"/>
    <x v="4"/>
    <x v="3"/>
    <x v="1"/>
    <x v="0"/>
    <x v="27"/>
    <x v="3"/>
    <x v="4"/>
    <x v="0"/>
    <x v="3"/>
    <x v="487"/>
    <x v="0"/>
    <x v="12"/>
  </r>
  <r>
    <x v="121"/>
    <x v="0"/>
    <x v="1"/>
    <x v="22"/>
    <x v="31"/>
    <x v="0"/>
    <x v="1"/>
    <x v="361"/>
    <x v="4"/>
    <x v="1"/>
    <x v="0"/>
    <x v="8"/>
    <x v="13"/>
    <x v="3"/>
    <x v="1"/>
    <x v="154"/>
    <x v="2"/>
    <x v="0"/>
    <x v="2"/>
    <x v="0"/>
    <x v="296"/>
    <x v="2"/>
    <x v="12"/>
  </r>
  <r>
    <x v="122"/>
    <x v="3"/>
    <x v="2"/>
    <x v="214"/>
    <x v="275"/>
    <x v="1"/>
    <x v="0"/>
    <x v="267"/>
    <x v="6"/>
    <x v="3"/>
    <x v="0"/>
    <x v="1"/>
    <x v="14"/>
    <x v="4"/>
    <x v="4"/>
    <x v="185"/>
    <x v="4"/>
    <x v="3"/>
    <x v="0"/>
    <x v="2"/>
    <x v="463"/>
    <x v="1"/>
    <x v="9"/>
  </r>
  <r>
    <x v="123"/>
    <x v="1"/>
    <x v="9"/>
    <x v="114"/>
    <x v="223"/>
    <x v="6"/>
    <x v="0"/>
    <x v="303"/>
    <x v="2"/>
    <x v="1"/>
    <x v="2"/>
    <x v="4"/>
    <x v="2"/>
    <x v="1"/>
    <x v="1"/>
    <x v="15"/>
    <x v="2"/>
    <x v="4"/>
    <x v="5"/>
    <x v="9"/>
    <x v="21"/>
    <x v="0"/>
    <x v="4"/>
  </r>
  <r>
    <x v="124"/>
    <x v="3"/>
    <x v="2"/>
    <x v="12"/>
    <x v="54"/>
    <x v="1"/>
    <x v="0"/>
    <x v="58"/>
    <x v="1"/>
    <x v="2"/>
    <x v="0"/>
    <x v="1"/>
    <x v="2"/>
    <x v="4"/>
    <x v="4"/>
    <x v="108"/>
    <x v="2"/>
    <x v="0"/>
    <x v="2"/>
    <x v="2"/>
    <x v="193"/>
    <x v="1"/>
    <x v="12"/>
  </r>
  <r>
    <x v="125"/>
    <x v="2"/>
    <x v="0"/>
    <x v="209"/>
    <x v="270"/>
    <x v="7"/>
    <x v="1"/>
    <x v="212"/>
    <x v="1"/>
    <x v="2"/>
    <x v="0"/>
    <x v="2"/>
    <x v="10"/>
    <x v="9"/>
    <x v="1"/>
    <x v="329"/>
    <x v="4"/>
    <x v="4"/>
    <x v="0"/>
    <x v="10"/>
    <x v="247"/>
    <x v="2"/>
    <x v="15"/>
  </r>
  <r>
    <x v="126"/>
    <x v="5"/>
    <x v="4"/>
    <x v="42"/>
    <x v="51"/>
    <x v="8"/>
    <x v="0"/>
    <x v="424"/>
    <x v="4"/>
    <x v="1"/>
    <x v="1"/>
    <x v="6"/>
    <x v="15"/>
    <x v="6"/>
    <x v="2"/>
    <x v="260"/>
    <x v="2"/>
    <x v="3"/>
    <x v="2"/>
    <x v="11"/>
    <x v="214"/>
    <x v="1"/>
    <x v="7"/>
  </r>
  <r>
    <x v="127"/>
    <x v="1"/>
    <x v="5"/>
    <x v="139"/>
    <x v="191"/>
    <x v="6"/>
    <x v="0"/>
    <x v="160"/>
    <x v="1"/>
    <x v="2"/>
    <x v="1"/>
    <x v="0"/>
    <x v="10"/>
    <x v="5"/>
    <x v="3"/>
    <x v="203"/>
    <x v="3"/>
    <x v="0"/>
    <x v="4"/>
    <x v="9"/>
    <x v="418"/>
    <x v="2"/>
    <x v="7"/>
  </r>
  <r>
    <x v="128"/>
    <x v="5"/>
    <x v="4"/>
    <x v="167"/>
    <x v="250"/>
    <x v="8"/>
    <x v="0"/>
    <x v="244"/>
    <x v="7"/>
    <x v="3"/>
    <x v="1"/>
    <x v="6"/>
    <x v="11"/>
    <x v="6"/>
    <x v="1"/>
    <x v="243"/>
    <x v="4"/>
    <x v="1"/>
    <x v="5"/>
    <x v="11"/>
    <x v="124"/>
    <x v="0"/>
    <x v="5"/>
  </r>
  <r>
    <x v="129"/>
    <x v="3"/>
    <x v="2"/>
    <x v="285"/>
    <x v="314"/>
    <x v="1"/>
    <x v="0"/>
    <x v="137"/>
    <x v="1"/>
    <x v="2"/>
    <x v="0"/>
    <x v="1"/>
    <x v="14"/>
    <x v="4"/>
    <x v="0"/>
    <x v="197"/>
    <x v="4"/>
    <x v="1"/>
    <x v="4"/>
    <x v="2"/>
    <x v="421"/>
    <x v="0"/>
    <x v="15"/>
  </r>
  <r>
    <x v="130"/>
    <x v="1"/>
    <x v="8"/>
    <x v="175"/>
    <x v="228"/>
    <x v="6"/>
    <x v="0"/>
    <x v="338"/>
    <x v="2"/>
    <x v="1"/>
    <x v="2"/>
    <x v="10"/>
    <x v="11"/>
    <x v="0"/>
    <x v="4"/>
    <x v="36"/>
    <x v="3"/>
    <x v="3"/>
    <x v="5"/>
    <x v="9"/>
    <x v="89"/>
    <x v="1"/>
    <x v="13"/>
  </r>
  <r>
    <x v="131"/>
    <x v="8"/>
    <x v="3"/>
    <x v="37"/>
    <x v="100"/>
    <x v="4"/>
    <x v="1"/>
    <x v="255"/>
    <x v="7"/>
    <x v="3"/>
    <x v="0"/>
    <x v="7"/>
    <x v="6"/>
    <x v="8"/>
    <x v="2"/>
    <x v="275"/>
    <x v="4"/>
    <x v="4"/>
    <x v="1"/>
    <x v="5"/>
    <x v="326"/>
    <x v="1"/>
    <x v="15"/>
  </r>
  <r>
    <x v="132"/>
    <x v="8"/>
    <x v="5"/>
    <x v="91"/>
    <x v="187"/>
    <x v="4"/>
    <x v="1"/>
    <x v="116"/>
    <x v="3"/>
    <x v="2"/>
    <x v="1"/>
    <x v="0"/>
    <x v="6"/>
    <x v="5"/>
    <x v="1"/>
    <x v="179"/>
    <x v="3"/>
    <x v="1"/>
    <x v="4"/>
    <x v="5"/>
    <x v="191"/>
    <x v="1"/>
    <x v="3"/>
  </r>
  <r>
    <x v="133"/>
    <x v="9"/>
    <x v="4"/>
    <x v="154"/>
    <x v="285"/>
    <x v="5"/>
    <x v="0"/>
    <x v="28"/>
    <x v="2"/>
    <x v="1"/>
    <x v="1"/>
    <x v="6"/>
    <x v="3"/>
    <x v="6"/>
    <x v="1"/>
    <x v="164"/>
    <x v="3"/>
    <x v="3"/>
    <x v="4"/>
    <x v="6"/>
    <x v="31"/>
    <x v="2"/>
    <x v="5"/>
  </r>
  <r>
    <x v="134"/>
    <x v="8"/>
    <x v="6"/>
    <x v="83"/>
    <x v="102"/>
    <x v="4"/>
    <x v="1"/>
    <x v="236"/>
    <x v="3"/>
    <x v="2"/>
    <x v="1"/>
    <x v="5"/>
    <x v="5"/>
    <x v="7"/>
    <x v="4"/>
    <x v="236"/>
    <x v="4"/>
    <x v="1"/>
    <x v="0"/>
    <x v="5"/>
    <x v="475"/>
    <x v="2"/>
    <x v="5"/>
  </r>
  <r>
    <x v="135"/>
    <x v="7"/>
    <x v="4"/>
    <x v="264"/>
    <x v="8"/>
    <x v="3"/>
    <x v="0"/>
    <x v="155"/>
    <x v="1"/>
    <x v="2"/>
    <x v="1"/>
    <x v="6"/>
    <x v="14"/>
    <x v="6"/>
    <x v="2"/>
    <x v="254"/>
    <x v="3"/>
    <x v="4"/>
    <x v="5"/>
    <x v="4"/>
    <x v="279"/>
    <x v="0"/>
    <x v="6"/>
  </r>
  <r>
    <x v="136"/>
    <x v="0"/>
    <x v="9"/>
    <x v="159"/>
    <x v="217"/>
    <x v="0"/>
    <x v="1"/>
    <x v="340"/>
    <x v="0"/>
    <x v="3"/>
    <x v="2"/>
    <x v="4"/>
    <x v="8"/>
    <x v="1"/>
    <x v="0"/>
    <x v="61"/>
    <x v="0"/>
    <x v="0"/>
    <x v="1"/>
    <x v="0"/>
    <x v="148"/>
    <x v="0"/>
    <x v="0"/>
  </r>
  <r>
    <x v="137"/>
    <x v="4"/>
    <x v="9"/>
    <x v="34"/>
    <x v="44"/>
    <x v="9"/>
    <x v="1"/>
    <x v="411"/>
    <x v="2"/>
    <x v="1"/>
    <x v="2"/>
    <x v="4"/>
    <x v="11"/>
    <x v="1"/>
    <x v="1"/>
    <x v="71"/>
    <x v="2"/>
    <x v="0"/>
    <x v="4"/>
    <x v="13"/>
    <x v="257"/>
    <x v="1"/>
    <x v="1"/>
  </r>
  <r>
    <x v="138"/>
    <x v="6"/>
    <x v="0"/>
    <x v="225"/>
    <x v="311"/>
    <x v="2"/>
    <x v="1"/>
    <x v="392"/>
    <x v="0"/>
    <x v="3"/>
    <x v="0"/>
    <x v="2"/>
    <x v="19"/>
    <x v="9"/>
    <x v="0"/>
    <x v="343"/>
    <x v="1"/>
    <x v="0"/>
    <x v="5"/>
    <x v="3"/>
    <x v="459"/>
    <x v="0"/>
    <x v="0"/>
  </r>
  <r>
    <x v="139"/>
    <x v="9"/>
    <x v="4"/>
    <x v="112"/>
    <x v="187"/>
    <x v="5"/>
    <x v="0"/>
    <x v="142"/>
    <x v="7"/>
    <x v="3"/>
    <x v="1"/>
    <x v="6"/>
    <x v="20"/>
    <x v="6"/>
    <x v="4"/>
    <x v="269"/>
    <x v="3"/>
    <x v="3"/>
    <x v="4"/>
    <x v="6"/>
    <x v="458"/>
    <x v="1"/>
    <x v="3"/>
  </r>
  <r>
    <x v="140"/>
    <x v="6"/>
    <x v="5"/>
    <x v="41"/>
    <x v="143"/>
    <x v="2"/>
    <x v="1"/>
    <x v="434"/>
    <x v="7"/>
    <x v="3"/>
    <x v="1"/>
    <x v="0"/>
    <x v="17"/>
    <x v="5"/>
    <x v="0"/>
    <x v="244"/>
    <x v="4"/>
    <x v="3"/>
    <x v="5"/>
    <x v="3"/>
    <x v="10"/>
    <x v="2"/>
    <x v="6"/>
  </r>
  <r>
    <x v="141"/>
    <x v="6"/>
    <x v="2"/>
    <x v="225"/>
    <x v="300"/>
    <x v="2"/>
    <x v="1"/>
    <x v="5"/>
    <x v="7"/>
    <x v="3"/>
    <x v="0"/>
    <x v="1"/>
    <x v="10"/>
    <x v="4"/>
    <x v="1"/>
    <x v="173"/>
    <x v="1"/>
    <x v="1"/>
    <x v="4"/>
    <x v="3"/>
    <x v="434"/>
    <x v="0"/>
    <x v="0"/>
  </r>
  <r>
    <x v="142"/>
    <x v="4"/>
    <x v="7"/>
    <x v="181"/>
    <x v="193"/>
    <x v="9"/>
    <x v="1"/>
    <x v="71"/>
    <x v="3"/>
    <x v="2"/>
    <x v="2"/>
    <x v="9"/>
    <x v="3"/>
    <x v="2"/>
    <x v="0"/>
    <x v="37"/>
    <x v="3"/>
    <x v="3"/>
    <x v="1"/>
    <x v="13"/>
    <x v="209"/>
    <x v="1"/>
    <x v="11"/>
  </r>
  <r>
    <x v="143"/>
    <x v="9"/>
    <x v="5"/>
    <x v="106"/>
    <x v="225"/>
    <x v="5"/>
    <x v="0"/>
    <x v="113"/>
    <x v="6"/>
    <x v="3"/>
    <x v="1"/>
    <x v="0"/>
    <x v="18"/>
    <x v="5"/>
    <x v="2"/>
    <x v="240"/>
    <x v="0"/>
    <x v="0"/>
    <x v="1"/>
    <x v="6"/>
    <x v="84"/>
    <x v="0"/>
    <x v="9"/>
  </r>
  <r>
    <x v="144"/>
    <x v="8"/>
    <x v="7"/>
    <x v="69"/>
    <x v="98"/>
    <x v="4"/>
    <x v="1"/>
    <x v="61"/>
    <x v="2"/>
    <x v="1"/>
    <x v="2"/>
    <x v="9"/>
    <x v="18"/>
    <x v="2"/>
    <x v="1"/>
    <x v="102"/>
    <x v="2"/>
    <x v="0"/>
    <x v="4"/>
    <x v="5"/>
    <x v="188"/>
    <x v="2"/>
    <x v="14"/>
  </r>
  <r>
    <x v="145"/>
    <x v="2"/>
    <x v="0"/>
    <x v="168"/>
    <x v="240"/>
    <x v="7"/>
    <x v="1"/>
    <x v="468"/>
    <x v="7"/>
    <x v="3"/>
    <x v="0"/>
    <x v="2"/>
    <x v="11"/>
    <x v="9"/>
    <x v="3"/>
    <x v="328"/>
    <x v="3"/>
    <x v="4"/>
    <x v="2"/>
    <x v="10"/>
    <x v="67"/>
    <x v="0"/>
    <x v="7"/>
  </r>
  <r>
    <x v="146"/>
    <x v="5"/>
    <x v="6"/>
    <x v="246"/>
    <x v="22"/>
    <x v="8"/>
    <x v="0"/>
    <x v="308"/>
    <x v="5"/>
    <x v="0"/>
    <x v="1"/>
    <x v="5"/>
    <x v="5"/>
    <x v="7"/>
    <x v="1"/>
    <x v="248"/>
    <x v="3"/>
    <x v="1"/>
    <x v="1"/>
    <x v="11"/>
    <x v="324"/>
    <x v="1"/>
    <x v="11"/>
  </r>
  <r>
    <x v="147"/>
    <x v="2"/>
    <x v="1"/>
    <x v="73"/>
    <x v="135"/>
    <x v="7"/>
    <x v="1"/>
    <x v="83"/>
    <x v="7"/>
    <x v="3"/>
    <x v="0"/>
    <x v="8"/>
    <x v="6"/>
    <x v="3"/>
    <x v="2"/>
    <x v="122"/>
    <x v="3"/>
    <x v="1"/>
    <x v="4"/>
    <x v="10"/>
    <x v="9"/>
    <x v="0"/>
    <x v="6"/>
  </r>
  <r>
    <x v="148"/>
    <x v="9"/>
    <x v="4"/>
    <x v="28"/>
    <x v="155"/>
    <x v="5"/>
    <x v="0"/>
    <x v="77"/>
    <x v="2"/>
    <x v="1"/>
    <x v="1"/>
    <x v="6"/>
    <x v="20"/>
    <x v="6"/>
    <x v="2"/>
    <x v="272"/>
    <x v="3"/>
    <x v="4"/>
    <x v="4"/>
    <x v="6"/>
    <x v="357"/>
    <x v="2"/>
    <x v="16"/>
  </r>
  <r>
    <x v="149"/>
    <x v="7"/>
    <x v="8"/>
    <x v="311"/>
    <x v="76"/>
    <x v="3"/>
    <x v="0"/>
    <x v="49"/>
    <x v="1"/>
    <x v="2"/>
    <x v="2"/>
    <x v="10"/>
    <x v="2"/>
    <x v="0"/>
    <x v="2"/>
    <x v="4"/>
    <x v="0"/>
    <x v="3"/>
    <x v="2"/>
    <x v="4"/>
    <x v="13"/>
    <x v="2"/>
    <x v="10"/>
  </r>
  <r>
    <x v="150"/>
    <x v="1"/>
    <x v="5"/>
    <x v="148"/>
    <x v="201"/>
    <x v="6"/>
    <x v="0"/>
    <x v="482"/>
    <x v="7"/>
    <x v="3"/>
    <x v="1"/>
    <x v="0"/>
    <x v="16"/>
    <x v="5"/>
    <x v="4"/>
    <x v="223"/>
    <x v="1"/>
    <x v="4"/>
    <x v="1"/>
    <x v="9"/>
    <x v="317"/>
    <x v="2"/>
    <x v="6"/>
  </r>
  <r>
    <x v="151"/>
    <x v="4"/>
    <x v="3"/>
    <x v="134"/>
    <x v="235"/>
    <x v="9"/>
    <x v="1"/>
    <x v="263"/>
    <x v="7"/>
    <x v="3"/>
    <x v="0"/>
    <x v="7"/>
    <x v="15"/>
    <x v="8"/>
    <x v="0"/>
    <x v="313"/>
    <x v="0"/>
    <x v="0"/>
    <x v="0"/>
    <x v="13"/>
    <x v="323"/>
    <x v="2"/>
    <x v="2"/>
  </r>
  <r>
    <x v="152"/>
    <x v="7"/>
    <x v="7"/>
    <x v="233"/>
    <x v="239"/>
    <x v="3"/>
    <x v="0"/>
    <x v="408"/>
    <x v="2"/>
    <x v="1"/>
    <x v="2"/>
    <x v="9"/>
    <x v="14"/>
    <x v="2"/>
    <x v="3"/>
    <x v="87"/>
    <x v="3"/>
    <x v="4"/>
    <x v="4"/>
    <x v="4"/>
    <x v="389"/>
    <x v="1"/>
    <x v="6"/>
  </r>
  <r>
    <x v="153"/>
    <x v="9"/>
    <x v="2"/>
    <x v="222"/>
    <x v="251"/>
    <x v="5"/>
    <x v="0"/>
    <x v="360"/>
    <x v="3"/>
    <x v="2"/>
    <x v="0"/>
    <x v="1"/>
    <x v="9"/>
    <x v="4"/>
    <x v="1"/>
    <x v="167"/>
    <x v="4"/>
    <x v="3"/>
    <x v="0"/>
    <x v="6"/>
    <x v="53"/>
    <x v="2"/>
    <x v="6"/>
  </r>
  <r>
    <x v="154"/>
    <x v="4"/>
    <x v="2"/>
    <x v="200"/>
    <x v="306"/>
    <x v="9"/>
    <x v="1"/>
    <x v="102"/>
    <x v="5"/>
    <x v="0"/>
    <x v="0"/>
    <x v="1"/>
    <x v="3"/>
    <x v="4"/>
    <x v="2"/>
    <x v="116"/>
    <x v="1"/>
    <x v="0"/>
    <x v="1"/>
    <x v="13"/>
    <x v="245"/>
    <x v="0"/>
    <x v="6"/>
  </r>
  <r>
    <x v="155"/>
    <x v="0"/>
    <x v="7"/>
    <x v="102"/>
    <x v="124"/>
    <x v="0"/>
    <x v="1"/>
    <x v="297"/>
    <x v="3"/>
    <x v="2"/>
    <x v="2"/>
    <x v="9"/>
    <x v="2"/>
    <x v="2"/>
    <x v="2"/>
    <x v="19"/>
    <x v="1"/>
    <x v="4"/>
    <x v="0"/>
    <x v="0"/>
    <x v="95"/>
    <x v="1"/>
    <x v="3"/>
  </r>
  <r>
    <x v="156"/>
    <x v="8"/>
    <x v="4"/>
    <x v="138"/>
    <x v="237"/>
    <x v="4"/>
    <x v="1"/>
    <x v="198"/>
    <x v="2"/>
    <x v="1"/>
    <x v="1"/>
    <x v="6"/>
    <x v="9"/>
    <x v="6"/>
    <x v="4"/>
    <x v="216"/>
    <x v="0"/>
    <x v="3"/>
    <x v="5"/>
    <x v="5"/>
    <x v="104"/>
    <x v="1"/>
    <x v="16"/>
  </r>
  <r>
    <x v="157"/>
    <x v="4"/>
    <x v="0"/>
    <x v="135"/>
    <x v="163"/>
    <x v="9"/>
    <x v="1"/>
    <x v="126"/>
    <x v="4"/>
    <x v="1"/>
    <x v="0"/>
    <x v="2"/>
    <x v="4"/>
    <x v="9"/>
    <x v="1"/>
    <x v="318"/>
    <x v="1"/>
    <x v="1"/>
    <x v="1"/>
    <x v="13"/>
    <x v="342"/>
    <x v="2"/>
    <x v="14"/>
  </r>
  <r>
    <x v="158"/>
    <x v="0"/>
    <x v="1"/>
    <x v="286"/>
    <x v="7"/>
    <x v="0"/>
    <x v="1"/>
    <x v="365"/>
    <x v="2"/>
    <x v="1"/>
    <x v="0"/>
    <x v="8"/>
    <x v="11"/>
    <x v="3"/>
    <x v="4"/>
    <x v="139"/>
    <x v="3"/>
    <x v="1"/>
    <x v="1"/>
    <x v="0"/>
    <x v="474"/>
    <x v="0"/>
    <x v="5"/>
  </r>
  <r>
    <x v="159"/>
    <x v="3"/>
    <x v="2"/>
    <x v="204"/>
    <x v="310"/>
    <x v="1"/>
    <x v="0"/>
    <x v="241"/>
    <x v="5"/>
    <x v="0"/>
    <x v="0"/>
    <x v="1"/>
    <x v="16"/>
    <x v="4"/>
    <x v="1"/>
    <x v="201"/>
    <x v="0"/>
    <x v="0"/>
    <x v="5"/>
    <x v="2"/>
    <x v="153"/>
    <x v="2"/>
    <x v="10"/>
  </r>
  <r>
    <x v="160"/>
    <x v="3"/>
    <x v="2"/>
    <x v="155"/>
    <x v="180"/>
    <x v="1"/>
    <x v="0"/>
    <x v="412"/>
    <x v="7"/>
    <x v="3"/>
    <x v="0"/>
    <x v="1"/>
    <x v="1"/>
    <x v="4"/>
    <x v="1"/>
    <x v="104"/>
    <x v="3"/>
    <x v="0"/>
    <x v="5"/>
    <x v="2"/>
    <x v="103"/>
    <x v="1"/>
    <x v="8"/>
  </r>
  <r>
    <x v="161"/>
    <x v="0"/>
    <x v="7"/>
    <x v="45"/>
    <x v="136"/>
    <x v="0"/>
    <x v="1"/>
    <x v="422"/>
    <x v="4"/>
    <x v="1"/>
    <x v="2"/>
    <x v="9"/>
    <x v="7"/>
    <x v="2"/>
    <x v="0"/>
    <x v="67"/>
    <x v="1"/>
    <x v="4"/>
    <x v="1"/>
    <x v="0"/>
    <x v="384"/>
    <x v="1"/>
    <x v="10"/>
  </r>
  <r>
    <x v="162"/>
    <x v="3"/>
    <x v="5"/>
    <x v="21"/>
    <x v="64"/>
    <x v="1"/>
    <x v="0"/>
    <x v="269"/>
    <x v="7"/>
    <x v="3"/>
    <x v="1"/>
    <x v="0"/>
    <x v="14"/>
    <x v="5"/>
    <x v="0"/>
    <x v="228"/>
    <x v="1"/>
    <x v="4"/>
    <x v="5"/>
    <x v="2"/>
    <x v="27"/>
    <x v="0"/>
    <x v="0"/>
  </r>
  <r>
    <x v="163"/>
    <x v="3"/>
    <x v="4"/>
    <x v="199"/>
    <x v="285"/>
    <x v="1"/>
    <x v="0"/>
    <x v="430"/>
    <x v="0"/>
    <x v="3"/>
    <x v="1"/>
    <x v="6"/>
    <x v="15"/>
    <x v="6"/>
    <x v="3"/>
    <x v="255"/>
    <x v="1"/>
    <x v="4"/>
    <x v="0"/>
    <x v="2"/>
    <x v="332"/>
    <x v="2"/>
    <x v="5"/>
  </r>
  <r>
    <x v="164"/>
    <x v="2"/>
    <x v="4"/>
    <x v="270"/>
    <x v="58"/>
    <x v="7"/>
    <x v="1"/>
    <x v="191"/>
    <x v="5"/>
    <x v="0"/>
    <x v="1"/>
    <x v="6"/>
    <x v="19"/>
    <x v="6"/>
    <x v="1"/>
    <x v="273"/>
    <x v="1"/>
    <x v="1"/>
    <x v="2"/>
    <x v="10"/>
    <x v="207"/>
    <x v="0"/>
    <x v="2"/>
  </r>
  <r>
    <x v="165"/>
    <x v="0"/>
    <x v="0"/>
    <x v="62"/>
    <x v="103"/>
    <x v="0"/>
    <x v="1"/>
    <x v="429"/>
    <x v="1"/>
    <x v="2"/>
    <x v="0"/>
    <x v="2"/>
    <x v="12"/>
    <x v="9"/>
    <x v="1"/>
    <x v="333"/>
    <x v="3"/>
    <x v="0"/>
    <x v="0"/>
    <x v="0"/>
    <x v="76"/>
    <x v="0"/>
    <x v="6"/>
  </r>
  <r>
    <x v="166"/>
    <x v="9"/>
    <x v="2"/>
    <x v="182"/>
    <x v="264"/>
    <x v="5"/>
    <x v="0"/>
    <x v="435"/>
    <x v="6"/>
    <x v="3"/>
    <x v="0"/>
    <x v="1"/>
    <x v="6"/>
    <x v="4"/>
    <x v="2"/>
    <x v="140"/>
    <x v="4"/>
    <x v="3"/>
    <x v="2"/>
    <x v="6"/>
    <x v="182"/>
    <x v="0"/>
    <x v="12"/>
  </r>
  <r>
    <x v="167"/>
    <x v="5"/>
    <x v="6"/>
    <x v="202"/>
    <x v="213"/>
    <x v="8"/>
    <x v="0"/>
    <x v="330"/>
    <x v="3"/>
    <x v="2"/>
    <x v="1"/>
    <x v="5"/>
    <x v="1"/>
    <x v="7"/>
    <x v="0"/>
    <x v="152"/>
    <x v="0"/>
    <x v="4"/>
    <x v="1"/>
    <x v="11"/>
    <x v="25"/>
    <x v="0"/>
    <x v="8"/>
  </r>
  <r>
    <x v="168"/>
    <x v="2"/>
    <x v="0"/>
    <x v="5"/>
    <x v="67"/>
    <x v="7"/>
    <x v="1"/>
    <x v="45"/>
    <x v="0"/>
    <x v="3"/>
    <x v="0"/>
    <x v="2"/>
    <x v="20"/>
    <x v="9"/>
    <x v="2"/>
    <x v="341"/>
    <x v="4"/>
    <x v="3"/>
    <x v="1"/>
    <x v="10"/>
    <x v="286"/>
    <x v="1"/>
    <x v="15"/>
  </r>
  <r>
    <x v="169"/>
    <x v="4"/>
    <x v="2"/>
    <x v="301"/>
    <x v="309"/>
    <x v="9"/>
    <x v="1"/>
    <x v="35"/>
    <x v="0"/>
    <x v="3"/>
    <x v="0"/>
    <x v="1"/>
    <x v="8"/>
    <x v="4"/>
    <x v="3"/>
    <x v="149"/>
    <x v="1"/>
    <x v="4"/>
    <x v="2"/>
    <x v="13"/>
    <x v="175"/>
    <x v="0"/>
    <x v="9"/>
  </r>
  <r>
    <x v="170"/>
    <x v="7"/>
    <x v="4"/>
    <x v="58"/>
    <x v="174"/>
    <x v="3"/>
    <x v="0"/>
    <x v="428"/>
    <x v="4"/>
    <x v="1"/>
    <x v="1"/>
    <x v="6"/>
    <x v="19"/>
    <x v="6"/>
    <x v="1"/>
    <x v="273"/>
    <x v="3"/>
    <x v="4"/>
    <x v="4"/>
    <x v="4"/>
    <x v="136"/>
    <x v="2"/>
    <x v="1"/>
  </r>
  <r>
    <x v="171"/>
    <x v="4"/>
    <x v="9"/>
    <x v="284"/>
    <x v="304"/>
    <x v="9"/>
    <x v="1"/>
    <x v="355"/>
    <x v="4"/>
    <x v="1"/>
    <x v="2"/>
    <x v="4"/>
    <x v="6"/>
    <x v="1"/>
    <x v="4"/>
    <x v="44"/>
    <x v="0"/>
    <x v="0"/>
    <x v="4"/>
    <x v="14"/>
    <x v="445"/>
    <x v="2"/>
    <x v="3"/>
  </r>
  <r>
    <x v="172"/>
    <x v="5"/>
    <x v="9"/>
    <x v="144"/>
    <x v="257"/>
    <x v="8"/>
    <x v="0"/>
    <x v="114"/>
    <x v="7"/>
    <x v="3"/>
    <x v="2"/>
    <x v="4"/>
    <x v="17"/>
    <x v="1"/>
    <x v="3"/>
    <x v="81"/>
    <x v="4"/>
    <x v="1"/>
    <x v="2"/>
    <x v="11"/>
    <x v="2"/>
    <x v="2"/>
    <x v="2"/>
  </r>
  <r>
    <x v="173"/>
    <x v="7"/>
    <x v="8"/>
    <x v="41"/>
    <x v="168"/>
    <x v="3"/>
    <x v="0"/>
    <x v="461"/>
    <x v="7"/>
    <x v="3"/>
    <x v="2"/>
    <x v="10"/>
    <x v="19"/>
    <x v="0"/>
    <x v="1"/>
    <x v="62"/>
    <x v="3"/>
    <x v="1"/>
    <x v="5"/>
    <x v="4"/>
    <x v="163"/>
    <x v="2"/>
    <x v="6"/>
  </r>
  <r>
    <x v="174"/>
    <x v="5"/>
    <x v="8"/>
    <x v="20"/>
    <x v="30"/>
    <x v="8"/>
    <x v="0"/>
    <x v="298"/>
    <x v="0"/>
    <x v="3"/>
    <x v="2"/>
    <x v="10"/>
    <x v="11"/>
    <x v="0"/>
    <x v="0"/>
    <x v="45"/>
    <x v="2"/>
    <x v="3"/>
    <x v="4"/>
    <x v="11"/>
    <x v="476"/>
    <x v="1"/>
    <x v="11"/>
  </r>
  <r>
    <x v="175"/>
    <x v="3"/>
    <x v="7"/>
    <x v="143"/>
    <x v="219"/>
    <x v="1"/>
    <x v="0"/>
    <x v="161"/>
    <x v="2"/>
    <x v="1"/>
    <x v="2"/>
    <x v="9"/>
    <x v="12"/>
    <x v="2"/>
    <x v="0"/>
    <x v="88"/>
    <x v="1"/>
    <x v="3"/>
    <x v="4"/>
    <x v="2"/>
    <x v="75"/>
    <x v="1"/>
    <x v="13"/>
  </r>
  <r>
    <x v="176"/>
    <x v="4"/>
    <x v="9"/>
    <x v="99"/>
    <x v="136"/>
    <x v="6"/>
    <x v="1"/>
    <x v="231"/>
    <x v="5"/>
    <x v="0"/>
    <x v="2"/>
    <x v="4"/>
    <x v="14"/>
    <x v="1"/>
    <x v="3"/>
    <x v="74"/>
    <x v="4"/>
    <x v="4"/>
    <x v="2"/>
    <x v="13"/>
    <x v="131"/>
    <x v="2"/>
    <x v="10"/>
  </r>
  <r>
    <x v="177"/>
    <x v="7"/>
    <x v="1"/>
    <x v="67"/>
    <x v="194"/>
    <x v="3"/>
    <x v="0"/>
    <x v="260"/>
    <x v="3"/>
    <x v="2"/>
    <x v="0"/>
    <x v="8"/>
    <x v="15"/>
    <x v="3"/>
    <x v="2"/>
    <x v="160"/>
    <x v="2"/>
    <x v="3"/>
    <x v="4"/>
    <x v="4"/>
    <x v="448"/>
    <x v="2"/>
    <x v="1"/>
  </r>
  <r>
    <x v="178"/>
    <x v="1"/>
    <x v="6"/>
    <x v="274"/>
    <x v="315"/>
    <x v="6"/>
    <x v="0"/>
    <x v="211"/>
    <x v="0"/>
    <x v="3"/>
    <x v="1"/>
    <x v="5"/>
    <x v="19"/>
    <x v="7"/>
    <x v="3"/>
    <x v="303"/>
    <x v="1"/>
    <x v="1"/>
    <x v="5"/>
    <x v="9"/>
    <x v="455"/>
    <x v="0"/>
    <x v="4"/>
  </r>
  <r>
    <x v="179"/>
    <x v="5"/>
    <x v="7"/>
    <x v="44"/>
    <x v="61"/>
    <x v="8"/>
    <x v="0"/>
    <x v="114"/>
    <x v="4"/>
    <x v="1"/>
    <x v="2"/>
    <x v="9"/>
    <x v="19"/>
    <x v="2"/>
    <x v="4"/>
    <x v="98"/>
    <x v="3"/>
    <x v="0"/>
    <x v="4"/>
    <x v="11"/>
    <x v="364"/>
    <x v="2"/>
    <x v="9"/>
  </r>
  <r>
    <x v="180"/>
    <x v="1"/>
    <x v="9"/>
    <x v="153"/>
    <x v="271"/>
    <x v="6"/>
    <x v="0"/>
    <x v="305"/>
    <x v="1"/>
    <x v="2"/>
    <x v="2"/>
    <x v="4"/>
    <x v="10"/>
    <x v="1"/>
    <x v="3"/>
    <x v="64"/>
    <x v="3"/>
    <x v="1"/>
    <x v="1"/>
    <x v="9"/>
    <x v="304"/>
    <x v="1"/>
    <x v="4"/>
  </r>
  <r>
    <x v="181"/>
    <x v="8"/>
    <x v="5"/>
    <x v="147"/>
    <x v="238"/>
    <x v="4"/>
    <x v="1"/>
    <x v="57"/>
    <x v="2"/>
    <x v="1"/>
    <x v="1"/>
    <x v="0"/>
    <x v="7"/>
    <x v="5"/>
    <x v="4"/>
    <x v="177"/>
    <x v="4"/>
    <x v="4"/>
    <x v="4"/>
    <x v="5"/>
    <x v="387"/>
    <x v="2"/>
    <x v="5"/>
  </r>
  <r>
    <x v="182"/>
    <x v="1"/>
    <x v="6"/>
    <x v="229"/>
    <x v="36"/>
    <x v="6"/>
    <x v="0"/>
    <x v="186"/>
    <x v="5"/>
    <x v="0"/>
    <x v="1"/>
    <x v="5"/>
    <x v="20"/>
    <x v="7"/>
    <x v="4"/>
    <x v="302"/>
    <x v="3"/>
    <x v="3"/>
    <x v="5"/>
    <x v="9"/>
    <x v="106"/>
    <x v="1"/>
    <x v="3"/>
  </r>
  <r>
    <x v="183"/>
    <x v="5"/>
    <x v="5"/>
    <x v="225"/>
    <x v="244"/>
    <x v="8"/>
    <x v="0"/>
    <x v="125"/>
    <x v="3"/>
    <x v="2"/>
    <x v="1"/>
    <x v="0"/>
    <x v="10"/>
    <x v="5"/>
    <x v="1"/>
    <x v="211"/>
    <x v="1"/>
    <x v="3"/>
    <x v="4"/>
    <x v="11"/>
    <x v="254"/>
    <x v="1"/>
    <x v="0"/>
  </r>
  <r>
    <x v="184"/>
    <x v="2"/>
    <x v="7"/>
    <x v="171"/>
    <x v="277"/>
    <x v="7"/>
    <x v="1"/>
    <x v="342"/>
    <x v="7"/>
    <x v="3"/>
    <x v="2"/>
    <x v="9"/>
    <x v="15"/>
    <x v="2"/>
    <x v="4"/>
    <x v="88"/>
    <x v="0"/>
    <x v="0"/>
    <x v="5"/>
    <x v="10"/>
    <x v="311"/>
    <x v="1"/>
    <x v="11"/>
  </r>
  <r>
    <x v="185"/>
    <x v="4"/>
    <x v="4"/>
    <x v="253"/>
    <x v="296"/>
    <x v="9"/>
    <x v="1"/>
    <x v="479"/>
    <x v="3"/>
    <x v="2"/>
    <x v="1"/>
    <x v="6"/>
    <x v="18"/>
    <x v="6"/>
    <x v="1"/>
    <x v="270"/>
    <x v="0"/>
    <x v="0"/>
    <x v="4"/>
    <x v="13"/>
    <x v="206"/>
    <x v="0"/>
    <x v="5"/>
  </r>
  <r>
    <x v="186"/>
    <x v="0"/>
    <x v="3"/>
    <x v="125"/>
    <x v="231"/>
    <x v="0"/>
    <x v="1"/>
    <x v="87"/>
    <x v="7"/>
    <x v="3"/>
    <x v="0"/>
    <x v="7"/>
    <x v="6"/>
    <x v="8"/>
    <x v="1"/>
    <x v="277"/>
    <x v="0"/>
    <x v="3"/>
    <x v="4"/>
    <x v="0"/>
    <x v="460"/>
    <x v="0"/>
    <x v="16"/>
  </r>
  <r>
    <x v="187"/>
    <x v="0"/>
    <x v="8"/>
    <x v="143"/>
    <x v="162"/>
    <x v="0"/>
    <x v="1"/>
    <x v="450"/>
    <x v="1"/>
    <x v="2"/>
    <x v="2"/>
    <x v="10"/>
    <x v="19"/>
    <x v="0"/>
    <x v="2"/>
    <x v="60"/>
    <x v="1"/>
    <x v="3"/>
    <x v="5"/>
    <x v="0"/>
    <x v="98"/>
    <x v="2"/>
    <x v="13"/>
  </r>
  <r>
    <x v="188"/>
    <x v="4"/>
    <x v="5"/>
    <x v="138"/>
    <x v="212"/>
    <x v="9"/>
    <x v="1"/>
    <x v="265"/>
    <x v="7"/>
    <x v="3"/>
    <x v="1"/>
    <x v="0"/>
    <x v="7"/>
    <x v="5"/>
    <x v="0"/>
    <x v="191"/>
    <x v="0"/>
    <x v="0"/>
    <x v="2"/>
    <x v="13"/>
    <x v="266"/>
    <x v="0"/>
    <x v="16"/>
  </r>
  <r>
    <x v="189"/>
    <x v="0"/>
    <x v="3"/>
    <x v="170"/>
    <x v="215"/>
    <x v="0"/>
    <x v="1"/>
    <x v="485"/>
    <x v="4"/>
    <x v="1"/>
    <x v="0"/>
    <x v="7"/>
    <x v="3"/>
    <x v="8"/>
    <x v="1"/>
    <x v="237"/>
    <x v="2"/>
    <x v="0"/>
    <x v="0"/>
    <x v="0"/>
    <x v="8"/>
    <x v="0"/>
    <x v="10"/>
  </r>
  <r>
    <x v="190"/>
    <x v="3"/>
    <x v="5"/>
    <x v="245"/>
    <x v="41"/>
    <x v="1"/>
    <x v="0"/>
    <x v="268"/>
    <x v="4"/>
    <x v="1"/>
    <x v="1"/>
    <x v="0"/>
    <x v="16"/>
    <x v="5"/>
    <x v="0"/>
    <x v="238"/>
    <x v="4"/>
    <x v="0"/>
    <x v="5"/>
    <x v="2"/>
    <x v="333"/>
    <x v="2"/>
    <x v="9"/>
  </r>
  <r>
    <x v="191"/>
    <x v="5"/>
    <x v="5"/>
    <x v="161"/>
    <x v="184"/>
    <x v="8"/>
    <x v="0"/>
    <x v="70"/>
    <x v="2"/>
    <x v="1"/>
    <x v="1"/>
    <x v="0"/>
    <x v="8"/>
    <x v="5"/>
    <x v="1"/>
    <x v="196"/>
    <x v="1"/>
    <x v="4"/>
    <x v="1"/>
    <x v="11"/>
    <x v="126"/>
    <x v="1"/>
    <x v="1"/>
  </r>
  <r>
    <x v="192"/>
    <x v="5"/>
    <x v="5"/>
    <x v="118"/>
    <x v="148"/>
    <x v="8"/>
    <x v="0"/>
    <x v="149"/>
    <x v="0"/>
    <x v="3"/>
    <x v="1"/>
    <x v="0"/>
    <x v="10"/>
    <x v="5"/>
    <x v="2"/>
    <x v="206"/>
    <x v="4"/>
    <x v="3"/>
    <x v="2"/>
    <x v="11"/>
    <x v="449"/>
    <x v="2"/>
    <x v="11"/>
  </r>
  <r>
    <x v="193"/>
    <x v="6"/>
    <x v="8"/>
    <x v="297"/>
    <x v="89"/>
    <x v="2"/>
    <x v="1"/>
    <x v="345"/>
    <x v="2"/>
    <x v="1"/>
    <x v="2"/>
    <x v="10"/>
    <x v="7"/>
    <x v="0"/>
    <x v="2"/>
    <x v="24"/>
    <x v="3"/>
    <x v="0"/>
    <x v="0"/>
    <x v="3"/>
    <x v="347"/>
    <x v="1"/>
    <x v="3"/>
  </r>
  <r>
    <x v="194"/>
    <x v="4"/>
    <x v="6"/>
    <x v="108"/>
    <x v="137"/>
    <x v="9"/>
    <x v="1"/>
    <x v="299"/>
    <x v="3"/>
    <x v="2"/>
    <x v="1"/>
    <x v="5"/>
    <x v="19"/>
    <x v="7"/>
    <x v="4"/>
    <x v="299"/>
    <x v="2"/>
    <x v="3"/>
    <x v="0"/>
    <x v="13"/>
    <x v="385"/>
    <x v="2"/>
    <x v="12"/>
  </r>
  <r>
    <x v="195"/>
    <x v="1"/>
    <x v="7"/>
    <x v="3"/>
    <x v="57"/>
    <x v="6"/>
    <x v="0"/>
    <x v="259"/>
    <x v="7"/>
    <x v="3"/>
    <x v="2"/>
    <x v="9"/>
    <x v="16"/>
    <x v="2"/>
    <x v="0"/>
    <x v="99"/>
    <x v="1"/>
    <x v="3"/>
    <x v="2"/>
    <x v="9"/>
    <x v="328"/>
    <x v="1"/>
    <x v="2"/>
  </r>
  <r>
    <x v="196"/>
    <x v="4"/>
    <x v="4"/>
    <x v="152"/>
    <x v="283"/>
    <x v="9"/>
    <x v="1"/>
    <x v="368"/>
    <x v="1"/>
    <x v="2"/>
    <x v="2"/>
    <x v="6"/>
    <x v="18"/>
    <x v="6"/>
    <x v="1"/>
    <x v="270"/>
    <x v="0"/>
    <x v="4"/>
    <x v="2"/>
    <x v="13"/>
    <x v="430"/>
    <x v="2"/>
    <x v="15"/>
  </r>
  <r>
    <x v="197"/>
    <x v="1"/>
    <x v="0"/>
    <x v="205"/>
    <x v="3"/>
    <x v="6"/>
    <x v="0"/>
    <x v="240"/>
    <x v="4"/>
    <x v="1"/>
    <x v="0"/>
    <x v="2"/>
    <x v="16"/>
    <x v="9"/>
    <x v="0"/>
    <x v="340"/>
    <x v="0"/>
    <x v="0"/>
    <x v="0"/>
    <x v="9"/>
    <x v="226"/>
    <x v="0"/>
    <x v="1"/>
  </r>
  <r>
    <x v="198"/>
    <x v="4"/>
    <x v="2"/>
    <x v="58"/>
    <x v="87"/>
    <x v="9"/>
    <x v="1"/>
    <x v="34"/>
    <x v="0"/>
    <x v="3"/>
    <x v="0"/>
    <x v="1"/>
    <x v="18"/>
    <x v="4"/>
    <x v="3"/>
    <x v="202"/>
    <x v="1"/>
    <x v="3"/>
    <x v="5"/>
    <x v="13"/>
    <x v="446"/>
    <x v="0"/>
    <x v="1"/>
  </r>
  <r>
    <x v="199"/>
    <x v="8"/>
    <x v="9"/>
    <x v="252"/>
    <x v="284"/>
    <x v="4"/>
    <x v="1"/>
    <x v="177"/>
    <x v="3"/>
    <x v="2"/>
    <x v="2"/>
    <x v="4"/>
    <x v="2"/>
    <x v="1"/>
    <x v="3"/>
    <x v="12"/>
    <x v="4"/>
    <x v="1"/>
    <x v="0"/>
    <x v="5"/>
    <x v="28"/>
    <x v="0"/>
    <x v="4"/>
  </r>
  <r>
    <x v="200"/>
    <x v="9"/>
    <x v="6"/>
    <x v="57"/>
    <x v="119"/>
    <x v="5"/>
    <x v="0"/>
    <x v="426"/>
    <x v="1"/>
    <x v="2"/>
    <x v="1"/>
    <x v="5"/>
    <x v="20"/>
    <x v="7"/>
    <x v="0"/>
    <x v="310"/>
    <x v="3"/>
    <x v="3"/>
    <x v="0"/>
    <x v="6"/>
    <x v="280"/>
    <x v="0"/>
    <x v="12"/>
  </r>
  <r>
    <x v="201"/>
    <x v="2"/>
    <x v="4"/>
    <x v="78"/>
    <x v="88"/>
    <x v="7"/>
    <x v="1"/>
    <x v="457"/>
    <x v="4"/>
    <x v="1"/>
    <x v="1"/>
    <x v="6"/>
    <x v="6"/>
    <x v="6"/>
    <x v="1"/>
    <x v="207"/>
    <x v="0"/>
    <x v="1"/>
    <x v="1"/>
    <x v="10"/>
    <x v="281"/>
    <x v="1"/>
    <x v="14"/>
  </r>
  <r>
    <x v="202"/>
    <x v="3"/>
    <x v="9"/>
    <x v="54"/>
    <x v="92"/>
    <x v="1"/>
    <x v="0"/>
    <x v="233"/>
    <x v="7"/>
    <x v="3"/>
    <x v="2"/>
    <x v="4"/>
    <x v="8"/>
    <x v="1"/>
    <x v="1"/>
    <x v="60"/>
    <x v="1"/>
    <x v="1"/>
    <x v="4"/>
    <x v="2"/>
    <x v="292"/>
    <x v="2"/>
    <x v="9"/>
  </r>
  <r>
    <x v="203"/>
    <x v="0"/>
    <x v="5"/>
    <x v="59"/>
    <x v="122"/>
    <x v="0"/>
    <x v="1"/>
    <x v="25"/>
    <x v="6"/>
    <x v="3"/>
    <x v="1"/>
    <x v="0"/>
    <x v="18"/>
    <x v="5"/>
    <x v="3"/>
    <x v="235"/>
    <x v="3"/>
    <x v="0"/>
    <x v="0"/>
    <x v="0"/>
    <x v="467"/>
    <x v="2"/>
    <x v="2"/>
  </r>
  <r>
    <x v="204"/>
    <x v="4"/>
    <x v="1"/>
    <x v="61"/>
    <x v="153"/>
    <x v="9"/>
    <x v="1"/>
    <x v="418"/>
    <x v="3"/>
    <x v="2"/>
    <x v="0"/>
    <x v="8"/>
    <x v="18"/>
    <x v="3"/>
    <x v="3"/>
    <x v="170"/>
    <x v="2"/>
    <x v="0"/>
    <x v="1"/>
    <x v="13"/>
    <x v="235"/>
    <x v="0"/>
    <x v="15"/>
  </r>
  <r>
    <x v="205"/>
    <x v="0"/>
    <x v="0"/>
    <x v="173"/>
    <x v="206"/>
    <x v="0"/>
    <x v="1"/>
    <x v="415"/>
    <x v="7"/>
    <x v="3"/>
    <x v="0"/>
    <x v="2"/>
    <x v="12"/>
    <x v="9"/>
    <x v="0"/>
    <x v="334"/>
    <x v="1"/>
    <x v="4"/>
    <x v="4"/>
    <x v="0"/>
    <x v="162"/>
    <x v="0"/>
    <x v="12"/>
  </r>
  <r>
    <x v="206"/>
    <x v="7"/>
    <x v="3"/>
    <x v="157"/>
    <x v="254"/>
    <x v="3"/>
    <x v="0"/>
    <x v="26"/>
    <x v="6"/>
    <x v="3"/>
    <x v="0"/>
    <x v="7"/>
    <x v="7"/>
    <x v="8"/>
    <x v="1"/>
    <x v="281"/>
    <x v="2"/>
    <x v="0"/>
    <x v="1"/>
    <x v="4"/>
    <x v="11"/>
    <x v="2"/>
    <x v="10"/>
  </r>
  <r>
    <x v="207"/>
    <x v="5"/>
    <x v="3"/>
    <x v="223"/>
    <x v="241"/>
    <x v="8"/>
    <x v="0"/>
    <x v="277"/>
    <x v="6"/>
    <x v="3"/>
    <x v="0"/>
    <x v="7"/>
    <x v="8"/>
    <x v="8"/>
    <x v="3"/>
    <x v="283"/>
    <x v="3"/>
    <x v="0"/>
    <x v="4"/>
    <x v="11"/>
    <x v="403"/>
    <x v="1"/>
    <x v="8"/>
  </r>
  <r>
    <x v="208"/>
    <x v="0"/>
    <x v="4"/>
    <x v="192"/>
    <x v="288"/>
    <x v="0"/>
    <x v="1"/>
    <x v="167"/>
    <x v="6"/>
    <x v="3"/>
    <x v="1"/>
    <x v="6"/>
    <x v="19"/>
    <x v="6"/>
    <x v="1"/>
    <x v="273"/>
    <x v="2"/>
    <x v="0"/>
    <x v="0"/>
    <x v="0"/>
    <x v="237"/>
    <x v="2"/>
    <x v="11"/>
  </r>
  <r>
    <x v="209"/>
    <x v="5"/>
    <x v="9"/>
    <x v="58"/>
    <x v="161"/>
    <x v="8"/>
    <x v="0"/>
    <x v="270"/>
    <x v="0"/>
    <x v="3"/>
    <x v="2"/>
    <x v="4"/>
    <x v="7"/>
    <x v="1"/>
    <x v="1"/>
    <x v="54"/>
    <x v="2"/>
    <x v="0"/>
    <x v="5"/>
    <x v="11"/>
    <x v="435"/>
    <x v="0"/>
    <x v="1"/>
  </r>
  <r>
    <x v="210"/>
    <x v="7"/>
    <x v="7"/>
    <x v="17"/>
    <x v="82"/>
    <x v="3"/>
    <x v="0"/>
    <x v="157"/>
    <x v="3"/>
    <x v="2"/>
    <x v="2"/>
    <x v="9"/>
    <x v="3"/>
    <x v="2"/>
    <x v="3"/>
    <x v="32"/>
    <x v="2"/>
    <x v="3"/>
    <x v="4"/>
    <x v="4"/>
    <x v="197"/>
    <x v="0"/>
    <x v="5"/>
  </r>
  <r>
    <x v="211"/>
    <x v="9"/>
    <x v="9"/>
    <x v="230"/>
    <x v="37"/>
    <x v="5"/>
    <x v="0"/>
    <x v="453"/>
    <x v="7"/>
    <x v="3"/>
    <x v="2"/>
    <x v="4"/>
    <x v="19"/>
    <x v="1"/>
    <x v="0"/>
    <x v="96"/>
    <x v="1"/>
    <x v="1"/>
    <x v="0"/>
    <x v="6"/>
    <x v="203"/>
    <x v="1"/>
    <x v="15"/>
  </r>
  <r>
    <x v="212"/>
    <x v="1"/>
    <x v="3"/>
    <x v="60"/>
    <x v="163"/>
    <x v="6"/>
    <x v="0"/>
    <x v="68"/>
    <x v="1"/>
    <x v="2"/>
    <x v="0"/>
    <x v="7"/>
    <x v="10"/>
    <x v="8"/>
    <x v="1"/>
    <x v="292"/>
    <x v="0"/>
    <x v="0"/>
    <x v="2"/>
    <x v="9"/>
    <x v="414"/>
    <x v="0"/>
    <x v="14"/>
  </r>
  <r>
    <x v="213"/>
    <x v="7"/>
    <x v="2"/>
    <x v="294"/>
    <x v="122"/>
    <x v="3"/>
    <x v="0"/>
    <x v="273"/>
    <x v="5"/>
    <x v="0"/>
    <x v="0"/>
    <x v="1"/>
    <x v="4"/>
    <x v="4"/>
    <x v="0"/>
    <x v="131"/>
    <x v="3"/>
    <x v="1"/>
    <x v="0"/>
    <x v="4"/>
    <x v="46"/>
    <x v="1"/>
    <x v="1"/>
  </r>
  <r>
    <x v="214"/>
    <x v="4"/>
    <x v="6"/>
    <x v="324"/>
    <x v="75"/>
    <x v="9"/>
    <x v="1"/>
    <x v="181"/>
    <x v="1"/>
    <x v="2"/>
    <x v="1"/>
    <x v="5"/>
    <x v="2"/>
    <x v="7"/>
    <x v="4"/>
    <x v="186"/>
    <x v="2"/>
    <x v="0"/>
    <x v="1"/>
    <x v="13"/>
    <x v="39"/>
    <x v="1"/>
    <x v="9"/>
  </r>
  <r>
    <x v="215"/>
    <x v="6"/>
    <x v="1"/>
    <x v="313"/>
    <x v="78"/>
    <x v="2"/>
    <x v="1"/>
    <x v="108"/>
    <x v="5"/>
    <x v="0"/>
    <x v="0"/>
    <x v="8"/>
    <x v="7"/>
    <x v="3"/>
    <x v="4"/>
    <x v="124"/>
    <x v="1"/>
    <x v="0"/>
    <x v="1"/>
    <x v="3"/>
    <x v="272"/>
    <x v="2"/>
    <x v="12"/>
  </r>
  <r>
    <x v="216"/>
    <x v="9"/>
    <x v="8"/>
    <x v="305"/>
    <x v="25"/>
    <x v="5"/>
    <x v="0"/>
    <x v="300"/>
    <x v="7"/>
    <x v="3"/>
    <x v="2"/>
    <x v="10"/>
    <x v="9"/>
    <x v="0"/>
    <x v="3"/>
    <x v="32"/>
    <x v="2"/>
    <x v="3"/>
    <x v="2"/>
    <x v="6"/>
    <x v="283"/>
    <x v="1"/>
    <x v="15"/>
  </r>
  <r>
    <x v="217"/>
    <x v="1"/>
    <x v="6"/>
    <x v="187"/>
    <x v="211"/>
    <x v="6"/>
    <x v="0"/>
    <x v="24"/>
    <x v="5"/>
    <x v="0"/>
    <x v="1"/>
    <x v="5"/>
    <x v="16"/>
    <x v="7"/>
    <x v="0"/>
    <x v="302"/>
    <x v="3"/>
    <x v="3"/>
    <x v="5"/>
    <x v="9"/>
    <x v="305"/>
    <x v="1"/>
    <x v="4"/>
  </r>
  <r>
    <x v="218"/>
    <x v="5"/>
    <x v="4"/>
    <x v="271"/>
    <x v="293"/>
    <x v="8"/>
    <x v="0"/>
    <x v="22"/>
    <x v="2"/>
    <x v="1"/>
    <x v="1"/>
    <x v="6"/>
    <x v="10"/>
    <x v="6"/>
    <x v="1"/>
    <x v="233"/>
    <x v="2"/>
    <x v="3"/>
    <x v="2"/>
    <x v="11"/>
    <x v="16"/>
    <x v="1"/>
    <x v="14"/>
  </r>
  <r>
    <x v="219"/>
    <x v="9"/>
    <x v="3"/>
    <x v="193"/>
    <x v="279"/>
    <x v="5"/>
    <x v="0"/>
    <x v="144"/>
    <x v="5"/>
    <x v="0"/>
    <x v="0"/>
    <x v="7"/>
    <x v="1"/>
    <x v="8"/>
    <x v="0"/>
    <x v="176"/>
    <x v="4"/>
    <x v="4"/>
    <x v="2"/>
    <x v="6"/>
    <x v="340"/>
    <x v="2"/>
    <x v="12"/>
  </r>
  <r>
    <x v="220"/>
    <x v="0"/>
    <x v="9"/>
    <x v="16"/>
    <x v="101"/>
    <x v="0"/>
    <x v="1"/>
    <x v="291"/>
    <x v="5"/>
    <x v="0"/>
    <x v="2"/>
    <x v="4"/>
    <x v="19"/>
    <x v="1"/>
    <x v="3"/>
    <x v="89"/>
    <x v="1"/>
    <x v="4"/>
    <x v="1"/>
    <x v="0"/>
    <x v="382"/>
    <x v="2"/>
    <x v="16"/>
  </r>
  <r>
    <x v="221"/>
    <x v="7"/>
    <x v="0"/>
    <x v="324"/>
    <x v="20"/>
    <x v="3"/>
    <x v="0"/>
    <x v="180"/>
    <x v="2"/>
    <x v="1"/>
    <x v="0"/>
    <x v="2"/>
    <x v="13"/>
    <x v="9"/>
    <x v="1"/>
    <x v="335"/>
    <x v="3"/>
    <x v="0"/>
    <x v="4"/>
    <x v="4"/>
    <x v="301"/>
    <x v="0"/>
    <x v="9"/>
  </r>
  <r>
    <x v="222"/>
    <x v="6"/>
    <x v="9"/>
    <x v="212"/>
    <x v="273"/>
    <x v="2"/>
    <x v="1"/>
    <x v="287"/>
    <x v="6"/>
    <x v="3"/>
    <x v="2"/>
    <x v="4"/>
    <x v="2"/>
    <x v="1"/>
    <x v="3"/>
    <x v="12"/>
    <x v="0"/>
    <x v="3"/>
    <x v="2"/>
    <x v="3"/>
    <x v="228"/>
    <x v="1"/>
    <x v="6"/>
  </r>
  <r>
    <x v="223"/>
    <x v="1"/>
    <x v="8"/>
    <x v="194"/>
    <x v="246"/>
    <x v="6"/>
    <x v="0"/>
    <x v="414"/>
    <x v="3"/>
    <x v="2"/>
    <x v="2"/>
    <x v="10"/>
    <x v="8"/>
    <x v="0"/>
    <x v="3"/>
    <x v="28"/>
    <x v="0"/>
    <x v="0"/>
    <x v="5"/>
    <x v="9"/>
    <x v="176"/>
    <x v="2"/>
    <x v="1"/>
  </r>
  <r>
    <x v="224"/>
    <x v="3"/>
    <x v="3"/>
    <x v="208"/>
    <x v="5"/>
    <x v="1"/>
    <x v="0"/>
    <x v="313"/>
    <x v="3"/>
    <x v="2"/>
    <x v="0"/>
    <x v="7"/>
    <x v="9"/>
    <x v="8"/>
    <x v="1"/>
    <x v="289"/>
    <x v="1"/>
    <x v="0"/>
    <x v="5"/>
    <x v="2"/>
    <x v="349"/>
    <x v="0"/>
    <x v="3"/>
  </r>
  <r>
    <x v="225"/>
    <x v="8"/>
    <x v="4"/>
    <x v="52"/>
    <x v="134"/>
    <x v="4"/>
    <x v="1"/>
    <x v="173"/>
    <x v="5"/>
    <x v="0"/>
    <x v="1"/>
    <x v="6"/>
    <x v="3"/>
    <x v="6"/>
    <x v="3"/>
    <x v="156"/>
    <x v="0"/>
    <x v="1"/>
    <x v="4"/>
    <x v="5"/>
    <x v="135"/>
    <x v="0"/>
    <x v="5"/>
  </r>
  <r>
    <x v="226"/>
    <x v="1"/>
    <x v="1"/>
    <x v="210"/>
    <x v="236"/>
    <x v="6"/>
    <x v="0"/>
    <x v="378"/>
    <x v="3"/>
    <x v="2"/>
    <x v="0"/>
    <x v="8"/>
    <x v="18"/>
    <x v="3"/>
    <x v="4"/>
    <x v="165"/>
    <x v="0"/>
    <x v="0"/>
    <x v="1"/>
    <x v="9"/>
    <x v="252"/>
    <x v="1"/>
    <x v="4"/>
  </r>
  <r>
    <x v="227"/>
    <x v="8"/>
    <x v="4"/>
    <x v="248"/>
    <x v="324"/>
    <x v="4"/>
    <x v="1"/>
    <x v="223"/>
    <x v="7"/>
    <x v="3"/>
    <x v="1"/>
    <x v="6"/>
    <x v="14"/>
    <x v="6"/>
    <x v="1"/>
    <x v="258"/>
    <x v="0"/>
    <x v="1"/>
    <x v="0"/>
    <x v="5"/>
    <x v="3"/>
    <x v="1"/>
    <x v="12"/>
  </r>
  <r>
    <x v="228"/>
    <x v="1"/>
    <x v="1"/>
    <x v="17"/>
    <x v="38"/>
    <x v="6"/>
    <x v="0"/>
    <x v="399"/>
    <x v="5"/>
    <x v="0"/>
    <x v="0"/>
    <x v="8"/>
    <x v="6"/>
    <x v="3"/>
    <x v="1"/>
    <x v="126"/>
    <x v="4"/>
    <x v="1"/>
    <x v="5"/>
    <x v="9"/>
    <x v="294"/>
    <x v="1"/>
    <x v="5"/>
  </r>
  <r>
    <x v="229"/>
    <x v="1"/>
    <x v="4"/>
    <x v="116"/>
    <x v="200"/>
    <x v="6"/>
    <x v="0"/>
    <x v="356"/>
    <x v="6"/>
    <x v="3"/>
    <x v="1"/>
    <x v="6"/>
    <x v="17"/>
    <x v="6"/>
    <x v="3"/>
    <x v="263"/>
    <x v="2"/>
    <x v="3"/>
    <x v="4"/>
    <x v="9"/>
    <x v="213"/>
    <x v="2"/>
    <x v="5"/>
  </r>
  <r>
    <x v="230"/>
    <x v="5"/>
    <x v="8"/>
    <x v="160"/>
    <x v="245"/>
    <x v="8"/>
    <x v="0"/>
    <x v="427"/>
    <x v="5"/>
    <x v="0"/>
    <x v="2"/>
    <x v="10"/>
    <x v="7"/>
    <x v="0"/>
    <x v="1"/>
    <x v="26"/>
    <x v="1"/>
    <x v="4"/>
    <x v="1"/>
    <x v="11"/>
    <x v="416"/>
    <x v="1"/>
    <x v="12"/>
  </r>
  <r>
    <x v="231"/>
    <x v="7"/>
    <x v="5"/>
    <x v="206"/>
    <x v="34"/>
    <x v="3"/>
    <x v="0"/>
    <x v="364"/>
    <x v="1"/>
    <x v="2"/>
    <x v="1"/>
    <x v="0"/>
    <x v="15"/>
    <x v="5"/>
    <x v="4"/>
    <x v="218"/>
    <x v="1"/>
    <x v="1"/>
    <x v="0"/>
    <x v="4"/>
    <x v="87"/>
    <x v="1"/>
    <x v="13"/>
  </r>
  <r>
    <x v="232"/>
    <x v="8"/>
    <x v="8"/>
    <x v="175"/>
    <x v="256"/>
    <x v="4"/>
    <x v="1"/>
    <x v="201"/>
    <x v="6"/>
    <x v="3"/>
    <x v="2"/>
    <x v="10"/>
    <x v="5"/>
    <x v="0"/>
    <x v="0"/>
    <x v="17"/>
    <x v="2"/>
    <x v="1"/>
    <x v="1"/>
    <x v="5"/>
    <x v="96"/>
    <x v="1"/>
    <x v="13"/>
  </r>
  <r>
    <x v="233"/>
    <x v="2"/>
    <x v="3"/>
    <x v="96"/>
    <x v="143"/>
    <x v="7"/>
    <x v="1"/>
    <x v="460"/>
    <x v="2"/>
    <x v="1"/>
    <x v="0"/>
    <x v="7"/>
    <x v="8"/>
    <x v="8"/>
    <x v="4"/>
    <x v="280"/>
    <x v="2"/>
    <x v="0"/>
    <x v="0"/>
    <x v="10"/>
    <x v="360"/>
    <x v="2"/>
    <x v="6"/>
  </r>
  <r>
    <x v="234"/>
    <x v="2"/>
    <x v="4"/>
    <x v="75"/>
    <x v="161"/>
    <x v="7"/>
    <x v="1"/>
    <x v="296"/>
    <x v="6"/>
    <x v="3"/>
    <x v="1"/>
    <x v="6"/>
    <x v="4"/>
    <x v="6"/>
    <x v="4"/>
    <x v="171"/>
    <x v="0"/>
    <x v="0"/>
    <x v="2"/>
    <x v="10"/>
    <x v="353"/>
    <x v="1"/>
    <x v="1"/>
  </r>
  <r>
    <x v="235"/>
    <x v="4"/>
    <x v="9"/>
    <x v="257"/>
    <x v="33"/>
    <x v="9"/>
    <x v="1"/>
    <x v="341"/>
    <x v="3"/>
    <x v="2"/>
    <x v="2"/>
    <x v="4"/>
    <x v="19"/>
    <x v="1"/>
    <x v="2"/>
    <x v="93"/>
    <x v="0"/>
    <x v="1"/>
    <x v="2"/>
    <x v="13"/>
    <x v="167"/>
    <x v="1"/>
    <x v="1"/>
  </r>
  <r>
    <x v="236"/>
    <x v="9"/>
    <x v="9"/>
    <x v="280"/>
    <x v="56"/>
    <x v="5"/>
    <x v="0"/>
    <x v="40"/>
    <x v="7"/>
    <x v="3"/>
    <x v="2"/>
    <x v="4"/>
    <x v="10"/>
    <x v="1"/>
    <x v="0"/>
    <x v="70"/>
    <x v="3"/>
    <x v="4"/>
    <x v="0"/>
    <x v="6"/>
    <x v="134"/>
    <x v="1"/>
    <x v="12"/>
  </r>
  <r>
    <x v="237"/>
    <x v="9"/>
    <x v="9"/>
    <x v="74"/>
    <x v="173"/>
    <x v="5"/>
    <x v="0"/>
    <x v="407"/>
    <x v="3"/>
    <x v="2"/>
    <x v="2"/>
    <x v="4"/>
    <x v="16"/>
    <x v="1"/>
    <x v="3"/>
    <x v="79"/>
    <x v="2"/>
    <x v="1"/>
    <x v="2"/>
    <x v="6"/>
    <x v="380"/>
    <x v="0"/>
    <x v="12"/>
  </r>
  <r>
    <x v="238"/>
    <x v="3"/>
    <x v="6"/>
    <x v="259"/>
    <x v="282"/>
    <x v="1"/>
    <x v="0"/>
    <x v="433"/>
    <x v="7"/>
    <x v="3"/>
    <x v="1"/>
    <x v="5"/>
    <x v="16"/>
    <x v="7"/>
    <x v="3"/>
    <x v="295"/>
    <x v="3"/>
    <x v="3"/>
    <x v="5"/>
    <x v="2"/>
    <x v="200"/>
    <x v="0"/>
    <x v="2"/>
  </r>
  <r>
    <x v="239"/>
    <x v="3"/>
    <x v="8"/>
    <x v="8"/>
    <x v="126"/>
    <x v="1"/>
    <x v="0"/>
    <x v="65"/>
    <x v="5"/>
    <x v="0"/>
    <x v="2"/>
    <x v="10"/>
    <x v="15"/>
    <x v="0"/>
    <x v="4"/>
    <x v="49"/>
    <x v="2"/>
    <x v="3"/>
    <x v="4"/>
    <x v="2"/>
    <x v="7"/>
    <x v="0"/>
    <x v="8"/>
  </r>
  <r>
    <x v="240"/>
    <x v="6"/>
    <x v="7"/>
    <x v="87"/>
    <x v="129"/>
    <x v="2"/>
    <x v="1"/>
    <x v="164"/>
    <x v="1"/>
    <x v="2"/>
    <x v="2"/>
    <x v="9"/>
    <x v="14"/>
    <x v="2"/>
    <x v="1"/>
    <x v="94"/>
    <x v="3"/>
    <x v="1"/>
    <x v="4"/>
    <x v="3"/>
    <x v="451"/>
    <x v="1"/>
    <x v="12"/>
  </r>
  <r>
    <x v="241"/>
    <x v="9"/>
    <x v="2"/>
    <x v="166"/>
    <x v="199"/>
    <x v="5"/>
    <x v="0"/>
    <x v="189"/>
    <x v="6"/>
    <x v="3"/>
    <x v="0"/>
    <x v="1"/>
    <x v="19"/>
    <x v="4"/>
    <x v="4"/>
    <x v="201"/>
    <x v="1"/>
    <x v="1"/>
    <x v="2"/>
    <x v="6"/>
    <x v="260"/>
    <x v="0"/>
    <x v="16"/>
  </r>
  <r>
    <x v="242"/>
    <x v="7"/>
    <x v="9"/>
    <x v="140"/>
    <x v="146"/>
    <x v="3"/>
    <x v="0"/>
    <x v="67"/>
    <x v="1"/>
    <x v="2"/>
    <x v="2"/>
    <x v="4"/>
    <x v="5"/>
    <x v="1"/>
    <x v="3"/>
    <x v="39"/>
    <x v="1"/>
    <x v="1"/>
    <x v="0"/>
    <x v="4"/>
    <x v="401"/>
    <x v="0"/>
    <x v="9"/>
  </r>
  <r>
    <x v="243"/>
    <x v="0"/>
    <x v="1"/>
    <x v="262"/>
    <x v="6"/>
    <x v="0"/>
    <x v="1"/>
    <x v="4"/>
    <x v="3"/>
    <x v="2"/>
    <x v="0"/>
    <x v="8"/>
    <x v="19"/>
    <x v="3"/>
    <x v="1"/>
    <x v="180"/>
    <x v="4"/>
    <x v="4"/>
    <x v="1"/>
    <x v="0"/>
    <x v="129"/>
    <x v="1"/>
    <x v="4"/>
  </r>
  <r>
    <x v="244"/>
    <x v="2"/>
    <x v="7"/>
    <x v="22"/>
    <x v="31"/>
    <x v="7"/>
    <x v="1"/>
    <x v="458"/>
    <x v="5"/>
    <x v="0"/>
    <x v="2"/>
    <x v="9"/>
    <x v="7"/>
    <x v="2"/>
    <x v="0"/>
    <x v="67"/>
    <x v="3"/>
    <x v="1"/>
    <x v="2"/>
    <x v="10"/>
    <x v="438"/>
    <x v="2"/>
    <x v="12"/>
  </r>
  <r>
    <x v="245"/>
    <x v="8"/>
    <x v="5"/>
    <x v="236"/>
    <x v="11"/>
    <x v="4"/>
    <x v="1"/>
    <x v="32"/>
    <x v="6"/>
    <x v="3"/>
    <x v="1"/>
    <x v="0"/>
    <x v="13"/>
    <x v="5"/>
    <x v="2"/>
    <x v="217"/>
    <x v="0"/>
    <x v="0"/>
    <x v="1"/>
    <x v="5"/>
    <x v="51"/>
    <x v="1"/>
    <x v="11"/>
  </r>
  <r>
    <x v="246"/>
    <x v="8"/>
    <x v="5"/>
    <x v="302"/>
    <x v="43"/>
    <x v="4"/>
    <x v="1"/>
    <x v="106"/>
    <x v="1"/>
    <x v="2"/>
    <x v="1"/>
    <x v="0"/>
    <x v="9"/>
    <x v="5"/>
    <x v="2"/>
    <x v="199"/>
    <x v="1"/>
    <x v="2"/>
    <x v="0"/>
    <x v="5"/>
    <x v="462"/>
    <x v="0"/>
    <x v="11"/>
  </r>
  <r>
    <x v="247"/>
    <x v="0"/>
    <x v="6"/>
    <x v="153"/>
    <x v="176"/>
    <x v="0"/>
    <x v="1"/>
    <x v="6"/>
    <x v="1"/>
    <x v="2"/>
    <x v="1"/>
    <x v="5"/>
    <x v="6"/>
    <x v="7"/>
    <x v="3"/>
    <x v="252"/>
    <x v="1"/>
    <x v="1"/>
    <x v="1"/>
    <x v="0"/>
    <x v="325"/>
    <x v="0"/>
    <x v="4"/>
  </r>
  <r>
    <x v="248"/>
    <x v="4"/>
    <x v="5"/>
    <x v="175"/>
    <x v="256"/>
    <x v="9"/>
    <x v="1"/>
    <x v="145"/>
    <x v="2"/>
    <x v="1"/>
    <x v="1"/>
    <x v="0"/>
    <x v="9"/>
    <x v="5"/>
    <x v="2"/>
    <x v="199"/>
    <x v="2"/>
    <x v="0"/>
    <x v="5"/>
    <x v="13"/>
    <x v="265"/>
    <x v="2"/>
    <x v="13"/>
  </r>
  <r>
    <x v="249"/>
    <x v="7"/>
    <x v="6"/>
    <x v="239"/>
    <x v="267"/>
    <x v="3"/>
    <x v="0"/>
    <x v="473"/>
    <x v="5"/>
    <x v="0"/>
    <x v="1"/>
    <x v="5"/>
    <x v="16"/>
    <x v="7"/>
    <x v="0"/>
    <x v="302"/>
    <x v="4"/>
    <x v="4"/>
    <x v="2"/>
    <x v="4"/>
    <x v="44"/>
    <x v="0"/>
    <x v="2"/>
  </r>
  <r>
    <x v="250"/>
    <x v="0"/>
    <x v="2"/>
    <x v="158"/>
    <x v="171"/>
    <x v="0"/>
    <x v="1"/>
    <x v="486"/>
    <x v="2"/>
    <x v="1"/>
    <x v="0"/>
    <x v="1"/>
    <x v="10"/>
    <x v="4"/>
    <x v="3"/>
    <x v="166"/>
    <x v="4"/>
    <x v="1"/>
    <x v="4"/>
    <x v="0"/>
    <x v="368"/>
    <x v="1"/>
    <x v="11"/>
  </r>
  <r>
    <x v="251"/>
    <x v="2"/>
    <x v="3"/>
    <x v="48"/>
    <x v="151"/>
    <x v="7"/>
    <x v="1"/>
    <x v="53"/>
    <x v="5"/>
    <x v="0"/>
    <x v="0"/>
    <x v="7"/>
    <x v="7"/>
    <x v="8"/>
    <x v="0"/>
    <x v="284"/>
    <x v="0"/>
    <x v="4"/>
    <x v="1"/>
    <x v="10"/>
    <x v="215"/>
    <x v="2"/>
    <x v="2"/>
  </r>
  <r>
    <x v="252"/>
    <x v="4"/>
    <x v="3"/>
    <x v="202"/>
    <x v="9"/>
    <x v="9"/>
    <x v="1"/>
    <x v="95"/>
    <x v="7"/>
    <x v="3"/>
    <x v="0"/>
    <x v="7"/>
    <x v="3"/>
    <x v="8"/>
    <x v="2"/>
    <x v="231"/>
    <x v="3"/>
    <x v="0"/>
    <x v="1"/>
    <x v="13"/>
    <x v="219"/>
    <x v="1"/>
    <x v="8"/>
  </r>
  <r>
    <x v="253"/>
    <x v="4"/>
    <x v="3"/>
    <x v="32"/>
    <x v="93"/>
    <x v="9"/>
    <x v="1"/>
    <x v="60"/>
    <x v="3"/>
    <x v="2"/>
    <x v="0"/>
    <x v="7"/>
    <x v="4"/>
    <x v="8"/>
    <x v="3"/>
    <x v="249"/>
    <x v="2"/>
    <x v="0"/>
    <x v="5"/>
    <x v="13"/>
    <x v="47"/>
    <x v="2"/>
    <x v="10"/>
  </r>
  <r>
    <x v="254"/>
    <x v="2"/>
    <x v="3"/>
    <x v="167"/>
    <x v="189"/>
    <x v="7"/>
    <x v="1"/>
    <x v="130"/>
    <x v="3"/>
    <x v="2"/>
    <x v="0"/>
    <x v="7"/>
    <x v="13"/>
    <x v="8"/>
    <x v="2"/>
    <x v="305"/>
    <x v="1"/>
    <x v="1"/>
    <x v="1"/>
    <x v="10"/>
    <x v="295"/>
    <x v="0"/>
    <x v="5"/>
  </r>
  <r>
    <x v="255"/>
    <x v="7"/>
    <x v="4"/>
    <x v="40"/>
    <x v="113"/>
    <x v="3"/>
    <x v="0"/>
    <x v="218"/>
    <x v="1"/>
    <x v="2"/>
    <x v="1"/>
    <x v="6"/>
    <x v="19"/>
    <x v="6"/>
    <x v="4"/>
    <x v="265"/>
    <x v="0"/>
    <x v="1"/>
    <x v="0"/>
    <x v="4"/>
    <x v="495"/>
    <x v="0"/>
    <x v="5"/>
  </r>
  <r>
    <x v="256"/>
    <x v="7"/>
    <x v="5"/>
    <x v="67"/>
    <x v="120"/>
    <x v="3"/>
    <x v="0"/>
    <x v="409"/>
    <x v="6"/>
    <x v="3"/>
    <x v="1"/>
    <x v="0"/>
    <x v="7"/>
    <x v="5"/>
    <x v="1"/>
    <x v="188"/>
    <x v="2"/>
    <x v="4"/>
    <x v="0"/>
    <x v="4"/>
    <x v="178"/>
    <x v="0"/>
    <x v="1"/>
  </r>
  <r>
    <x v="257"/>
    <x v="6"/>
    <x v="1"/>
    <x v="94"/>
    <x v="133"/>
    <x v="2"/>
    <x v="1"/>
    <x v="52"/>
    <x v="4"/>
    <x v="1"/>
    <x v="0"/>
    <x v="8"/>
    <x v="18"/>
    <x v="3"/>
    <x v="1"/>
    <x v="175"/>
    <x v="1"/>
    <x v="4"/>
    <x v="0"/>
    <x v="3"/>
    <x v="288"/>
    <x v="0"/>
    <x v="16"/>
  </r>
  <r>
    <x v="258"/>
    <x v="7"/>
    <x v="8"/>
    <x v="212"/>
    <x v="317"/>
    <x v="3"/>
    <x v="0"/>
    <x v="391"/>
    <x v="5"/>
    <x v="0"/>
    <x v="2"/>
    <x v="10"/>
    <x v="11"/>
    <x v="0"/>
    <x v="0"/>
    <x v="45"/>
    <x v="1"/>
    <x v="3"/>
    <x v="2"/>
    <x v="4"/>
    <x v="29"/>
    <x v="0"/>
    <x v="6"/>
  </r>
  <r>
    <x v="259"/>
    <x v="0"/>
    <x v="3"/>
    <x v="294"/>
    <x v="65"/>
    <x v="0"/>
    <x v="1"/>
    <x v="381"/>
    <x v="7"/>
    <x v="3"/>
    <x v="0"/>
    <x v="7"/>
    <x v="17"/>
    <x v="8"/>
    <x v="4"/>
    <x v="309"/>
    <x v="3"/>
    <x v="4"/>
    <x v="1"/>
    <x v="0"/>
    <x v="344"/>
    <x v="1"/>
    <x v="1"/>
  </r>
  <r>
    <x v="260"/>
    <x v="5"/>
    <x v="5"/>
    <x v="84"/>
    <x v="135"/>
    <x v="8"/>
    <x v="0"/>
    <x v="437"/>
    <x v="5"/>
    <x v="0"/>
    <x v="1"/>
    <x v="0"/>
    <x v="4"/>
    <x v="5"/>
    <x v="1"/>
    <x v="151"/>
    <x v="1"/>
    <x v="1"/>
    <x v="5"/>
    <x v="11"/>
    <x v="18"/>
    <x v="1"/>
    <x v="6"/>
  </r>
  <r>
    <x v="261"/>
    <x v="7"/>
    <x v="0"/>
    <x v="129"/>
    <x v="204"/>
    <x v="3"/>
    <x v="0"/>
    <x v="150"/>
    <x v="0"/>
    <x v="3"/>
    <x v="0"/>
    <x v="2"/>
    <x v="6"/>
    <x v="9"/>
    <x v="4"/>
    <x v="322"/>
    <x v="1"/>
    <x v="4"/>
    <x v="1"/>
    <x v="4"/>
    <x v="429"/>
    <x v="0"/>
    <x v="11"/>
  </r>
  <r>
    <x v="262"/>
    <x v="8"/>
    <x v="6"/>
    <x v="33"/>
    <x v="137"/>
    <x v="4"/>
    <x v="1"/>
    <x v="416"/>
    <x v="2"/>
    <x v="1"/>
    <x v="1"/>
    <x v="5"/>
    <x v="6"/>
    <x v="7"/>
    <x v="2"/>
    <x v="257"/>
    <x v="4"/>
    <x v="4"/>
    <x v="0"/>
    <x v="5"/>
    <x v="220"/>
    <x v="1"/>
    <x v="12"/>
  </r>
  <r>
    <x v="263"/>
    <x v="7"/>
    <x v="8"/>
    <x v="213"/>
    <x v="261"/>
    <x v="3"/>
    <x v="0"/>
    <x v="214"/>
    <x v="4"/>
    <x v="1"/>
    <x v="2"/>
    <x v="10"/>
    <x v="6"/>
    <x v="0"/>
    <x v="3"/>
    <x v="18"/>
    <x v="1"/>
    <x v="4"/>
    <x v="4"/>
    <x v="4"/>
    <x v="424"/>
    <x v="0"/>
    <x v="7"/>
  </r>
  <r>
    <x v="264"/>
    <x v="9"/>
    <x v="7"/>
    <x v="27"/>
    <x v="111"/>
    <x v="5"/>
    <x v="0"/>
    <x v="333"/>
    <x v="6"/>
    <x v="3"/>
    <x v="2"/>
    <x v="9"/>
    <x v="6"/>
    <x v="2"/>
    <x v="1"/>
    <x v="60"/>
    <x v="0"/>
    <x v="3"/>
    <x v="0"/>
    <x v="6"/>
    <x v="361"/>
    <x v="1"/>
    <x v="4"/>
  </r>
  <r>
    <x v="265"/>
    <x v="2"/>
    <x v="6"/>
    <x v="86"/>
    <x v="118"/>
    <x v="7"/>
    <x v="1"/>
    <x v="248"/>
    <x v="3"/>
    <x v="2"/>
    <x v="1"/>
    <x v="5"/>
    <x v="19"/>
    <x v="7"/>
    <x v="0"/>
    <x v="308"/>
    <x v="4"/>
    <x v="4"/>
    <x v="1"/>
    <x v="10"/>
    <x v="316"/>
    <x v="1"/>
    <x v="0"/>
  </r>
  <r>
    <x v="266"/>
    <x v="5"/>
    <x v="0"/>
    <x v="8"/>
    <x v="104"/>
    <x v="8"/>
    <x v="0"/>
    <x v="459"/>
    <x v="4"/>
    <x v="1"/>
    <x v="0"/>
    <x v="2"/>
    <x v="8"/>
    <x v="9"/>
    <x v="0"/>
    <x v="327"/>
    <x v="2"/>
    <x v="0"/>
    <x v="2"/>
    <x v="11"/>
    <x v="321"/>
    <x v="2"/>
    <x v="8"/>
  </r>
  <r>
    <x v="267"/>
    <x v="8"/>
    <x v="3"/>
    <x v="16"/>
    <x v="69"/>
    <x v="4"/>
    <x v="1"/>
    <x v="440"/>
    <x v="5"/>
    <x v="0"/>
    <x v="0"/>
    <x v="7"/>
    <x v="18"/>
    <x v="8"/>
    <x v="4"/>
    <x v="311"/>
    <x v="4"/>
    <x v="4"/>
    <x v="0"/>
    <x v="5"/>
    <x v="289"/>
    <x v="0"/>
    <x v="16"/>
  </r>
  <r>
    <x v="268"/>
    <x v="2"/>
    <x v="6"/>
    <x v="178"/>
    <x v="269"/>
    <x v="7"/>
    <x v="1"/>
    <x v="216"/>
    <x v="0"/>
    <x v="3"/>
    <x v="1"/>
    <x v="5"/>
    <x v="8"/>
    <x v="7"/>
    <x v="1"/>
    <x v="274"/>
    <x v="1"/>
    <x v="0"/>
    <x v="0"/>
    <x v="10"/>
    <x v="24"/>
    <x v="0"/>
    <x v="3"/>
  </r>
  <r>
    <x v="269"/>
    <x v="7"/>
    <x v="8"/>
    <x v="97"/>
    <x v="191"/>
    <x v="3"/>
    <x v="0"/>
    <x v="377"/>
    <x v="6"/>
    <x v="3"/>
    <x v="2"/>
    <x v="10"/>
    <x v="13"/>
    <x v="0"/>
    <x v="1"/>
    <x v="50"/>
    <x v="2"/>
    <x v="3"/>
    <x v="2"/>
    <x v="4"/>
    <x v="161"/>
    <x v="2"/>
    <x v="7"/>
  </r>
  <r>
    <x v="270"/>
    <x v="6"/>
    <x v="7"/>
    <x v="37"/>
    <x v="164"/>
    <x v="2"/>
    <x v="1"/>
    <x v="42"/>
    <x v="4"/>
    <x v="1"/>
    <x v="2"/>
    <x v="9"/>
    <x v="1"/>
    <x v="2"/>
    <x v="3"/>
    <x v="7"/>
    <x v="1"/>
    <x v="0"/>
    <x v="0"/>
    <x v="3"/>
    <x v="307"/>
    <x v="0"/>
    <x v="15"/>
  </r>
  <r>
    <x v="271"/>
    <x v="9"/>
    <x v="8"/>
    <x v="232"/>
    <x v="296"/>
    <x v="5"/>
    <x v="0"/>
    <x v="101"/>
    <x v="7"/>
    <x v="3"/>
    <x v="2"/>
    <x v="10"/>
    <x v="5"/>
    <x v="0"/>
    <x v="1"/>
    <x v="16"/>
    <x v="1"/>
    <x v="3"/>
    <x v="4"/>
    <x v="6"/>
    <x v="41"/>
    <x v="2"/>
    <x v="5"/>
  </r>
  <r>
    <x v="272"/>
    <x v="4"/>
    <x v="8"/>
    <x v="198"/>
    <x v="249"/>
    <x v="9"/>
    <x v="1"/>
    <x v="221"/>
    <x v="5"/>
    <x v="0"/>
    <x v="2"/>
    <x v="10"/>
    <x v="19"/>
    <x v="0"/>
    <x v="4"/>
    <x v="55"/>
    <x v="2"/>
    <x v="1"/>
    <x v="5"/>
    <x v="13"/>
    <x v="379"/>
    <x v="0"/>
    <x v="4"/>
  </r>
  <r>
    <x v="273"/>
    <x v="1"/>
    <x v="9"/>
    <x v="303"/>
    <x v="66"/>
    <x v="6"/>
    <x v="0"/>
    <x v="314"/>
    <x v="0"/>
    <x v="3"/>
    <x v="2"/>
    <x v="4"/>
    <x v="17"/>
    <x v="1"/>
    <x v="1"/>
    <x v="89"/>
    <x v="3"/>
    <x v="1"/>
    <x v="2"/>
    <x v="9"/>
    <x v="329"/>
    <x v="2"/>
    <x v="2"/>
  </r>
  <r>
    <x v="274"/>
    <x v="6"/>
    <x v="1"/>
    <x v="184"/>
    <x v="228"/>
    <x v="2"/>
    <x v="1"/>
    <x v="337"/>
    <x v="1"/>
    <x v="2"/>
    <x v="0"/>
    <x v="8"/>
    <x v="8"/>
    <x v="3"/>
    <x v="3"/>
    <x v="130"/>
    <x v="3"/>
    <x v="3"/>
    <x v="5"/>
    <x v="3"/>
    <x v="142"/>
    <x v="2"/>
    <x v="13"/>
  </r>
  <r>
    <x v="275"/>
    <x v="3"/>
    <x v="5"/>
    <x v="216"/>
    <x v="301"/>
    <x v="1"/>
    <x v="0"/>
    <x v="480"/>
    <x v="6"/>
    <x v="3"/>
    <x v="1"/>
    <x v="0"/>
    <x v="15"/>
    <x v="5"/>
    <x v="2"/>
    <x v="226"/>
    <x v="4"/>
    <x v="4"/>
    <x v="1"/>
    <x v="2"/>
    <x v="231"/>
    <x v="1"/>
    <x v="12"/>
  </r>
  <r>
    <x v="276"/>
    <x v="1"/>
    <x v="5"/>
    <x v="180"/>
    <x v="308"/>
    <x v="6"/>
    <x v="0"/>
    <x v="394"/>
    <x v="6"/>
    <x v="3"/>
    <x v="1"/>
    <x v="0"/>
    <x v="1"/>
    <x v="5"/>
    <x v="0"/>
    <x v="111"/>
    <x v="3"/>
    <x v="1"/>
    <x v="4"/>
    <x v="9"/>
    <x v="157"/>
    <x v="0"/>
    <x v="8"/>
  </r>
  <r>
    <x v="277"/>
    <x v="5"/>
    <x v="4"/>
    <x v="199"/>
    <x v="316"/>
    <x v="8"/>
    <x v="0"/>
    <x v="280"/>
    <x v="0"/>
    <x v="3"/>
    <x v="1"/>
    <x v="6"/>
    <x v="10"/>
    <x v="6"/>
    <x v="2"/>
    <x v="229"/>
    <x v="3"/>
    <x v="3"/>
    <x v="5"/>
    <x v="11"/>
    <x v="492"/>
    <x v="0"/>
    <x v="5"/>
  </r>
  <r>
    <x v="278"/>
    <x v="8"/>
    <x v="4"/>
    <x v="124"/>
    <x v="165"/>
    <x v="4"/>
    <x v="1"/>
    <x v="13"/>
    <x v="4"/>
    <x v="1"/>
    <x v="1"/>
    <x v="6"/>
    <x v="16"/>
    <x v="6"/>
    <x v="3"/>
    <x v="261"/>
    <x v="0"/>
    <x v="0"/>
    <x v="2"/>
    <x v="5"/>
    <x v="180"/>
    <x v="2"/>
    <x v="4"/>
  </r>
  <r>
    <x v="279"/>
    <x v="5"/>
    <x v="3"/>
    <x v="63"/>
    <x v="192"/>
    <x v="8"/>
    <x v="0"/>
    <x v="154"/>
    <x v="4"/>
    <x v="1"/>
    <x v="0"/>
    <x v="7"/>
    <x v="1"/>
    <x v="8"/>
    <x v="0"/>
    <x v="176"/>
    <x v="3"/>
    <x v="3"/>
    <x v="2"/>
    <x v="11"/>
    <x v="36"/>
    <x v="0"/>
    <x v="8"/>
  </r>
  <r>
    <x v="280"/>
    <x v="6"/>
    <x v="1"/>
    <x v="241"/>
    <x v="304"/>
    <x v="2"/>
    <x v="1"/>
    <x v="14"/>
    <x v="6"/>
    <x v="3"/>
    <x v="0"/>
    <x v="8"/>
    <x v="6"/>
    <x v="3"/>
    <x v="4"/>
    <x v="118"/>
    <x v="1"/>
    <x v="3"/>
    <x v="2"/>
    <x v="3"/>
    <x v="79"/>
    <x v="2"/>
    <x v="3"/>
  </r>
  <r>
    <x v="281"/>
    <x v="8"/>
    <x v="5"/>
    <x v="218"/>
    <x v="281"/>
    <x v="4"/>
    <x v="1"/>
    <x v="474"/>
    <x v="0"/>
    <x v="3"/>
    <x v="1"/>
    <x v="0"/>
    <x v="3"/>
    <x v="5"/>
    <x v="0"/>
    <x v="141"/>
    <x v="3"/>
    <x v="0"/>
    <x v="5"/>
    <x v="5"/>
    <x v="469"/>
    <x v="1"/>
    <x v="13"/>
  </r>
  <r>
    <x v="282"/>
    <x v="5"/>
    <x v="9"/>
    <x v="302"/>
    <x v="0"/>
    <x v="8"/>
    <x v="0"/>
    <x v="208"/>
    <x v="3"/>
    <x v="2"/>
    <x v="2"/>
    <x v="4"/>
    <x v="6"/>
    <x v="1"/>
    <x v="3"/>
    <x v="48"/>
    <x v="0"/>
    <x v="4"/>
    <x v="4"/>
    <x v="11"/>
    <x v="38"/>
    <x v="1"/>
    <x v="11"/>
  </r>
  <r>
    <x v="283"/>
    <x v="5"/>
    <x v="2"/>
    <x v="234"/>
    <x v="319"/>
    <x v="8"/>
    <x v="0"/>
    <x v="374"/>
    <x v="1"/>
    <x v="2"/>
    <x v="0"/>
    <x v="1"/>
    <x v="2"/>
    <x v="4"/>
    <x v="0"/>
    <x v="112"/>
    <x v="0"/>
    <x v="1"/>
    <x v="1"/>
    <x v="11"/>
    <x v="73"/>
    <x v="0"/>
    <x v="8"/>
  </r>
  <r>
    <x v="284"/>
    <x v="3"/>
    <x v="1"/>
    <x v="82"/>
    <x v="112"/>
    <x v="1"/>
    <x v="0"/>
    <x v="481"/>
    <x v="3"/>
    <x v="2"/>
    <x v="0"/>
    <x v="8"/>
    <x v="14"/>
    <x v="3"/>
    <x v="3"/>
    <x v="150"/>
    <x v="4"/>
    <x v="1"/>
    <x v="2"/>
    <x v="2"/>
    <x v="184"/>
    <x v="2"/>
    <x v="16"/>
  </r>
  <r>
    <x v="285"/>
    <x v="1"/>
    <x v="8"/>
    <x v="55"/>
    <x v="62"/>
    <x v="6"/>
    <x v="0"/>
    <x v="105"/>
    <x v="6"/>
    <x v="3"/>
    <x v="2"/>
    <x v="10"/>
    <x v="13"/>
    <x v="0"/>
    <x v="1"/>
    <x v="50"/>
    <x v="0"/>
    <x v="0"/>
    <x v="5"/>
    <x v="8"/>
    <x v="81"/>
    <x v="2"/>
    <x v="10"/>
  </r>
  <r>
    <x v="286"/>
    <x v="8"/>
    <x v="5"/>
    <x v="77"/>
    <x v="151"/>
    <x v="4"/>
    <x v="1"/>
    <x v="449"/>
    <x v="7"/>
    <x v="3"/>
    <x v="1"/>
    <x v="0"/>
    <x v="3"/>
    <x v="5"/>
    <x v="0"/>
    <x v="141"/>
    <x v="3"/>
    <x v="3"/>
    <x v="0"/>
    <x v="5"/>
    <x v="366"/>
    <x v="0"/>
    <x v="2"/>
  </r>
  <r>
    <x v="287"/>
    <x v="8"/>
    <x v="7"/>
    <x v="89"/>
    <x v="219"/>
    <x v="4"/>
    <x v="1"/>
    <x v="353"/>
    <x v="7"/>
    <x v="3"/>
    <x v="2"/>
    <x v="9"/>
    <x v="3"/>
    <x v="2"/>
    <x v="3"/>
    <x v="32"/>
    <x v="3"/>
    <x v="4"/>
    <x v="2"/>
    <x v="5"/>
    <x v="160"/>
    <x v="1"/>
    <x v="13"/>
  </r>
  <r>
    <x v="288"/>
    <x v="2"/>
    <x v="4"/>
    <x v="176"/>
    <x v="235"/>
    <x v="7"/>
    <x v="1"/>
    <x v="470"/>
    <x v="6"/>
    <x v="3"/>
    <x v="1"/>
    <x v="6"/>
    <x v="9"/>
    <x v="6"/>
    <x v="1"/>
    <x v="227"/>
    <x v="0"/>
    <x v="1"/>
    <x v="0"/>
    <x v="10"/>
    <x v="97"/>
    <x v="2"/>
    <x v="2"/>
  </r>
  <r>
    <x v="289"/>
    <x v="0"/>
    <x v="2"/>
    <x v="282"/>
    <x v="4"/>
    <x v="0"/>
    <x v="1"/>
    <x v="133"/>
    <x v="4"/>
    <x v="1"/>
    <x v="0"/>
    <x v="1"/>
    <x v="5"/>
    <x v="4"/>
    <x v="4"/>
    <x v="131"/>
    <x v="1"/>
    <x v="4"/>
    <x v="2"/>
    <x v="0"/>
    <x v="268"/>
    <x v="2"/>
    <x v="2"/>
  </r>
  <r>
    <x v="290"/>
    <x v="9"/>
    <x v="2"/>
    <x v="122"/>
    <x v="140"/>
    <x v="5"/>
    <x v="0"/>
    <x v="243"/>
    <x v="4"/>
    <x v="1"/>
    <x v="0"/>
    <x v="1"/>
    <x v="10"/>
    <x v="4"/>
    <x v="4"/>
    <x v="162"/>
    <x v="3"/>
    <x v="1"/>
    <x v="4"/>
    <x v="6"/>
    <x v="127"/>
    <x v="1"/>
    <x v="2"/>
  </r>
  <r>
    <x v="291"/>
    <x v="7"/>
    <x v="2"/>
    <x v="133"/>
    <x v="247"/>
    <x v="3"/>
    <x v="0"/>
    <x v="262"/>
    <x v="0"/>
    <x v="3"/>
    <x v="0"/>
    <x v="1"/>
    <x v="5"/>
    <x v="4"/>
    <x v="4"/>
    <x v="131"/>
    <x v="2"/>
    <x v="3"/>
    <x v="1"/>
    <x v="4"/>
    <x v="464"/>
    <x v="1"/>
    <x v="13"/>
  </r>
  <r>
    <x v="292"/>
    <x v="3"/>
    <x v="8"/>
    <x v="109"/>
    <x v="138"/>
    <x v="1"/>
    <x v="0"/>
    <x v="339"/>
    <x v="6"/>
    <x v="3"/>
    <x v="2"/>
    <x v="10"/>
    <x v="10"/>
    <x v="0"/>
    <x v="1"/>
    <x v="38"/>
    <x v="3"/>
    <x v="1"/>
    <x v="1"/>
    <x v="2"/>
    <x v="210"/>
    <x v="2"/>
    <x v="1"/>
  </r>
  <r>
    <x v="293"/>
    <x v="1"/>
    <x v="7"/>
    <x v="172"/>
    <x v="278"/>
    <x v="6"/>
    <x v="0"/>
    <x v="138"/>
    <x v="2"/>
    <x v="1"/>
    <x v="2"/>
    <x v="9"/>
    <x v="20"/>
    <x v="2"/>
    <x v="3"/>
    <x v="101"/>
    <x v="4"/>
    <x v="0"/>
    <x v="5"/>
    <x v="9"/>
    <x v="480"/>
    <x v="2"/>
    <x v="0"/>
  </r>
  <r>
    <x v="294"/>
    <x v="0"/>
    <x v="5"/>
    <x v="4"/>
    <x v="124"/>
    <x v="0"/>
    <x v="1"/>
    <x v="143"/>
    <x v="0"/>
    <x v="3"/>
    <x v="1"/>
    <x v="0"/>
    <x v="7"/>
    <x v="5"/>
    <x v="3"/>
    <x v="182"/>
    <x v="3"/>
    <x v="1"/>
    <x v="0"/>
    <x v="0"/>
    <x v="174"/>
    <x v="0"/>
    <x v="3"/>
  </r>
  <r>
    <x v="295"/>
    <x v="2"/>
    <x v="0"/>
    <x v="130"/>
    <x v="159"/>
    <x v="7"/>
    <x v="1"/>
    <x v="37"/>
    <x v="3"/>
    <x v="2"/>
    <x v="0"/>
    <x v="2"/>
    <x v="11"/>
    <x v="9"/>
    <x v="1"/>
    <x v="331"/>
    <x v="0"/>
    <x v="4"/>
    <x v="5"/>
    <x v="10"/>
    <x v="221"/>
    <x v="0"/>
    <x v="0"/>
  </r>
  <r>
    <x v="296"/>
    <x v="6"/>
    <x v="4"/>
    <x v="54"/>
    <x v="181"/>
    <x v="2"/>
    <x v="1"/>
    <x v="20"/>
    <x v="4"/>
    <x v="1"/>
    <x v="1"/>
    <x v="6"/>
    <x v="12"/>
    <x v="6"/>
    <x v="0"/>
    <x v="251"/>
    <x v="1"/>
    <x v="3"/>
    <x v="3"/>
    <x v="3"/>
    <x v="139"/>
    <x v="2"/>
    <x v="9"/>
  </r>
  <r>
    <x v="297"/>
    <x v="8"/>
    <x v="9"/>
    <x v="258"/>
    <x v="79"/>
    <x v="4"/>
    <x v="1"/>
    <x v="445"/>
    <x v="3"/>
    <x v="2"/>
    <x v="2"/>
    <x v="4"/>
    <x v="15"/>
    <x v="1"/>
    <x v="2"/>
    <x v="78"/>
    <x v="1"/>
    <x v="1"/>
    <x v="1"/>
    <x v="5"/>
    <x v="306"/>
    <x v="2"/>
    <x v="13"/>
  </r>
  <r>
    <x v="298"/>
    <x v="0"/>
    <x v="9"/>
    <x v="165"/>
    <x v="271"/>
    <x v="0"/>
    <x v="1"/>
    <x v="329"/>
    <x v="1"/>
    <x v="2"/>
    <x v="2"/>
    <x v="4"/>
    <x v="13"/>
    <x v="1"/>
    <x v="0"/>
    <x v="77"/>
    <x v="4"/>
    <x v="3"/>
    <x v="4"/>
    <x v="0"/>
    <x v="350"/>
    <x v="2"/>
    <x v="4"/>
  </r>
  <r>
    <x v="299"/>
    <x v="2"/>
    <x v="0"/>
    <x v="12"/>
    <x v="43"/>
    <x v="7"/>
    <x v="1"/>
    <x v="121"/>
    <x v="1"/>
    <x v="2"/>
    <x v="0"/>
    <x v="2"/>
    <x v="8"/>
    <x v="9"/>
    <x v="0"/>
    <x v="327"/>
    <x v="1"/>
    <x v="4"/>
    <x v="1"/>
    <x v="10"/>
    <x v="356"/>
    <x v="0"/>
    <x v="12"/>
  </r>
  <r>
    <x v="300"/>
    <x v="5"/>
    <x v="0"/>
    <x v="243"/>
    <x v="286"/>
    <x v="8"/>
    <x v="0"/>
    <x v="179"/>
    <x v="2"/>
    <x v="1"/>
    <x v="0"/>
    <x v="2"/>
    <x v="4"/>
    <x v="9"/>
    <x v="4"/>
    <x v="312"/>
    <x v="4"/>
    <x v="1"/>
    <x v="4"/>
    <x v="11"/>
    <x v="85"/>
    <x v="2"/>
    <x v="6"/>
  </r>
  <r>
    <x v="301"/>
    <x v="7"/>
    <x v="4"/>
    <x v="242"/>
    <x v="270"/>
    <x v="3"/>
    <x v="0"/>
    <x v="115"/>
    <x v="0"/>
    <x v="3"/>
    <x v="1"/>
    <x v="6"/>
    <x v="19"/>
    <x v="6"/>
    <x v="1"/>
    <x v="273"/>
    <x v="0"/>
    <x v="0"/>
    <x v="2"/>
    <x v="4"/>
    <x v="453"/>
    <x v="1"/>
    <x v="15"/>
  </r>
  <r>
    <x v="302"/>
    <x v="4"/>
    <x v="2"/>
    <x v="13"/>
    <x v="57"/>
    <x v="9"/>
    <x v="1"/>
    <x v="334"/>
    <x v="4"/>
    <x v="1"/>
    <x v="0"/>
    <x v="1"/>
    <x v="17"/>
    <x v="4"/>
    <x v="3"/>
    <x v="198"/>
    <x v="1"/>
    <x v="3"/>
    <x v="4"/>
    <x v="13"/>
    <x v="309"/>
    <x v="1"/>
    <x v="2"/>
  </r>
  <r>
    <x v="303"/>
    <x v="7"/>
    <x v="5"/>
    <x v="89"/>
    <x v="175"/>
    <x v="3"/>
    <x v="0"/>
    <x v="44"/>
    <x v="3"/>
    <x v="2"/>
    <x v="1"/>
    <x v="0"/>
    <x v="8"/>
    <x v="5"/>
    <x v="1"/>
    <x v="196"/>
    <x v="2"/>
    <x v="0"/>
    <x v="2"/>
    <x v="4"/>
    <x v="192"/>
    <x v="2"/>
    <x v="13"/>
  </r>
  <r>
    <x v="304"/>
    <x v="5"/>
    <x v="1"/>
    <x v="161"/>
    <x v="265"/>
    <x v="8"/>
    <x v="0"/>
    <x v="77"/>
    <x v="6"/>
    <x v="3"/>
    <x v="0"/>
    <x v="8"/>
    <x v="17"/>
    <x v="3"/>
    <x v="4"/>
    <x v="161"/>
    <x v="3"/>
    <x v="3"/>
    <x v="2"/>
    <x v="11"/>
    <x v="318"/>
    <x v="1"/>
    <x v="1"/>
  </r>
  <r>
    <x v="305"/>
    <x v="5"/>
    <x v="6"/>
    <x v="300"/>
    <x v="83"/>
    <x v="8"/>
    <x v="0"/>
    <x v="486"/>
    <x v="7"/>
    <x v="3"/>
    <x v="1"/>
    <x v="5"/>
    <x v="6"/>
    <x v="7"/>
    <x v="3"/>
    <x v="252"/>
    <x v="0"/>
    <x v="1"/>
    <x v="0"/>
    <x v="11"/>
    <x v="20"/>
    <x v="1"/>
    <x v="7"/>
  </r>
  <r>
    <x v="306"/>
    <x v="9"/>
    <x v="4"/>
    <x v="64"/>
    <x v="115"/>
    <x v="5"/>
    <x v="0"/>
    <x v="72"/>
    <x v="3"/>
    <x v="2"/>
    <x v="1"/>
    <x v="6"/>
    <x v="3"/>
    <x v="6"/>
    <x v="2"/>
    <x v="160"/>
    <x v="0"/>
    <x v="3"/>
    <x v="4"/>
    <x v="6"/>
    <x v="88"/>
    <x v="1"/>
    <x v="9"/>
  </r>
  <r>
    <x v="307"/>
    <x v="8"/>
    <x v="3"/>
    <x v="172"/>
    <x v="300"/>
    <x v="4"/>
    <x v="1"/>
    <x v="238"/>
    <x v="0"/>
    <x v="3"/>
    <x v="0"/>
    <x v="7"/>
    <x v="2"/>
    <x v="8"/>
    <x v="4"/>
    <x v="204"/>
    <x v="0"/>
    <x v="0"/>
    <x v="0"/>
    <x v="5"/>
    <x v="45"/>
    <x v="1"/>
    <x v="0"/>
  </r>
  <r>
    <x v="308"/>
    <x v="4"/>
    <x v="8"/>
    <x v="140"/>
    <x v="169"/>
    <x v="9"/>
    <x v="1"/>
    <x v="17"/>
    <x v="2"/>
    <x v="1"/>
    <x v="2"/>
    <x v="10"/>
    <x v="12"/>
    <x v="0"/>
    <x v="4"/>
    <x v="40"/>
    <x v="1"/>
    <x v="0"/>
    <x v="4"/>
    <x v="13"/>
    <x v="119"/>
    <x v="1"/>
    <x v="9"/>
  </r>
  <r>
    <x v="309"/>
    <x v="1"/>
    <x v="3"/>
    <x v="273"/>
    <x v="295"/>
    <x v="6"/>
    <x v="0"/>
    <x v="227"/>
    <x v="5"/>
    <x v="0"/>
    <x v="0"/>
    <x v="7"/>
    <x v="20"/>
    <x v="8"/>
    <x v="3"/>
    <x v="317"/>
    <x v="2"/>
    <x v="1"/>
    <x v="5"/>
    <x v="9"/>
    <x v="363"/>
    <x v="2"/>
    <x v="15"/>
  </r>
  <r>
    <x v="310"/>
    <x v="9"/>
    <x v="7"/>
    <x v="250"/>
    <x v="35"/>
    <x v="5"/>
    <x v="0"/>
    <x v="16"/>
    <x v="4"/>
    <x v="1"/>
    <x v="2"/>
    <x v="9"/>
    <x v="13"/>
    <x v="2"/>
    <x v="2"/>
    <x v="86"/>
    <x v="4"/>
    <x v="1"/>
    <x v="5"/>
    <x v="6"/>
    <x v="49"/>
    <x v="2"/>
    <x v="14"/>
  </r>
  <r>
    <x v="311"/>
    <x v="8"/>
    <x v="0"/>
    <x v="81"/>
    <x v="198"/>
    <x v="4"/>
    <x v="1"/>
    <x v="274"/>
    <x v="7"/>
    <x v="3"/>
    <x v="0"/>
    <x v="2"/>
    <x v="13"/>
    <x v="9"/>
    <x v="1"/>
    <x v="335"/>
    <x v="0"/>
    <x v="4"/>
    <x v="1"/>
    <x v="5"/>
    <x v="55"/>
    <x v="2"/>
    <x v="4"/>
  </r>
  <r>
    <x v="312"/>
    <x v="1"/>
    <x v="2"/>
    <x v="69"/>
    <x v="98"/>
    <x v="6"/>
    <x v="0"/>
    <x v="420"/>
    <x v="1"/>
    <x v="2"/>
    <x v="0"/>
    <x v="1"/>
    <x v="7"/>
    <x v="4"/>
    <x v="3"/>
    <x v="146"/>
    <x v="4"/>
    <x v="4"/>
    <x v="4"/>
    <x v="9"/>
    <x v="411"/>
    <x v="2"/>
    <x v="14"/>
  </r>
  <r>
    <x v="313"/>
    <x v="6"/>
    <x v="3"/>
    <x v="278"/>
    <x v="322"/>
    <x v="2"/>
    <x v="1"/>
    <x v="328"/>
    <x v="4"/>
    <x v="1"/>
    <x v="0"/>
    <x v="7"/>
    <x v="17"/>
    <x v="8"/>
    <x v="1"/>
    <x v="316"/>
    <x v="0"/>
    <x v="1"/>
    <x v="0"/>
    <x v="3"/>
    <x v="263"/>
    <x v="0"/>
    <x v="11"/>
  </r>
  <r>
    <x v="314"/>
    <x v="6"/>
    <x v="8"/>
    <x v="197"/>
    <x v="258"/>
    <x v="2"/>
    <x v="1"/>
    <x v="29"/>
    <x v="1"/>
    <x v="2"/>
    <x v="2"/>
    <x v="10"/>
    <x v="10"/>
    <x v="0"/>
    <x v="1"/>
    <x v="38"/>
    <x v="1"/>
    <x v="1"/>
    <x v="0"/>
    <x v="3"/>
    <x v="338"/>
    <x v="0"/>
    <x v="15"/>
  </r>
  <r>
    <x v="315"/>
    <x v="3"/>
    <x v="5"/>
    <x v="55"/>
    <x v="85"/>
    <x v="1"/>
    <x v="0"/>
    <x v="232"/>
    <x v="2"/>
    <x v="1"/>
    <x v="1"/>
    <x v="0"/>
    <x v="11"/>
    <x v="5"/>
    <x v="1"/>
    <x v="214"/>
    <x v="4"/>
    <x v="0"/>
    <x v="4"/>
    <x v="2"/>
    <x v="90"/>
    <x v="2"/>
    <x v="10"/>
  </r>
  <r>
    <x v="316"/>
    <x v="1"/>
    <x v="7"/>
    <x v="249"/>
    <x v="292"/>
    <x v="6"/>
    <x v="0"/>
    <x v="129"/>
    <x v="4"/>
    <x v="1"/>
    <x v="2"/>
    <x v="9"/>
    <x v="8"/>
    <x v="2"/>
    <x v="3"/>
    <x v="66"/>
    <x v="3"/>
    <x v="1"/>
    <x v="4"/>
    <x v="9"/>
    <x v="251"/>
    <x v="2"/>
    <x v="13"/>
  </r>
  <r>
    <x v="317"/>
    <x v="4"/>
    <x v="9"/>
    <x v="239"/>
    <x v="257"/>
    <x v="9"/>
    <x v="1"/>
    <x v="395"/>
    <x v="2"/>
    <x v="1"/>
    <x v="2"/>
    <x v="4"/>
    <x v="17"/>
    <x v="1"/>
    <x v="3"/>
    <x v="81"/>
    <x v="1"/>
    <x v="4"/>
    <x v="1"/>
    <x v="13"/>
    <x v="442"/>
    <x v="1"/>
    <x v="2"/>
  </r>
  <r>
    <x v="318"/>
    <x v="0"/>
    <x v="1"/>
    <x v="281"/>
    <x v="97"/>
    <x v="0"/>
    <x v="1"/>
    <x v="346"/>
    <x v="4"/>
    <x v="1"/>
    <x v="0"/>
    <x v="8"/>
    <x v="14"/>
    <x v="3"/>
    <x v="3"/>
    <x v="150"/>
    <x v="0"/>
    <x v="0"/>
    <x v="2"/>
    <x v="0"/>
    <x v="6"/>
    <x v="1"/>
    <x v="1"/>
  </r>
  <r>
    <x v="319"/>
    <x v="6"/>
    <x v="2"/>
    <x v="29"/>
    <x v="142"/>
    <x v="2"/>
    <x v="1"/>
    <x v="448"/>
    <x v="7"/>
    <x v="3"/>
    <x v="0"/>
    <x v="1"/>
    <x v="3"/>
    <x v="4"/>
    <x v="1"/>
    <x v="119"/>
    <x v="2"/>
    <x v="3"/>
    <x v="1"/>
    <x v="3"/>
    <x v="146"/>
    <x v="1"/>
    <x v="5"/>
  </r>
  <r>
    <x v="320"/>
    <x v="7"/>
    <x v="2"/>
    <x v="73"/>
    <x v="168"/>
    <x v="3"/>
    <x v="0"/>
    <x v="371"/>
    <x v="0"/>
    <x v="3"/>
    <x v="0"/>
    <x v="1"/>
    <x v="9"/>
    <x v="4"/>
    <x v="3"/>
    <x v="158"/>
    <x v="2"/>
    <x v="1"/>
    <x v="4"/>
    <x v="4"/>
    <x v="494"/>
    <x v="1"/>
    <x v="6"/>
  </r>
  <r>
    <x v="321"/>
    <x v="5"/>
    <x v="8"/>
    <x v="209"/>
    <x v="222"/>
    <x v="8"/>
    <x v="0"/>
    <x v="446"/>
    <x v="6"/>
    <x v="3"/>
    <x v="2"/>
    <x v="10"/>
    <x v="5"/>
    <x v="0"/>
    <x v="1"/>
    <x v="16"/>
    <x v="3"/>
    <x v="1"/>
    <x v="1"/>
    <x v="11"/>
    <x v="82"/>
    <x v="1"/>
    <x v="15"/>
  </r>
  <r>
    <x v="322"/>
    <x v="5"/>
    <x v="5"/>
    <x v="107"/>
    <x v="226"/>
    <x v="8"/>
    <x v="0"/>
    <x v="302"/>
    <x v="0"/>
    <x v="3"/>
    <x v="1"/>
    <x v="0"/>
    <x v="8"/>
    <x v="5"/>
    <x v="2"/>
    <x v="193"/>
    <x v="3"/>
    <x v="4"/>
    <x v="0"/>
    <x v="11"/>
    <x v="269"/>
    <x v="0"/>
    <x v="11"/>
  </r>
  <r>
    <x v="323"/>
    <x v="5"/>
    <x v="1"/>
    <x v="78"/>
    <x v="123"/>
    <x v="8"/>
    <x v="0"/>
    <x v="36"/>
    <x v="6"/>
    <x v="3"/>
    <x v="0"/>
    <x v="8"/>
    <x v="10"/>
    <x v="3"/>
    <x v="4"/>
    <x v="135"/>
    <x v="0"/>
    <x v="4"/>
    <x v="2"/>
    <x v="11"/>
    <x v="64"/>
    <x v="1"/>
    <x v="14"/>
  </r>
  <r>
    <x v="324"/>
    <x v="6"/>
    <x v="1"/>
    <x v="266"/>
    <x v="299"/>
    <x v="2"/>
    <x v="1"/>
    <x v="127"/>
    <x v="1"/>
    <x v="2"/>
    <x v="0"/>
    <x v="8"/>
    <x v="2"/>
    <x v="3"/>
    <x v="4"/>
    <x v="103"/>
    <x v="1"/>
    <x v="1"/>
    <x v="2"/>
    <x v="3"/>
    <x v="420"/>
    <x v="2"/>
    <x v="10"/>
  </r>
  <r>
    <x v="325"/>
    <x v="4"/>
    <x v="4"/>
    <x v="199"/>
    <x v="296"/>
    <x v="9"/>
    <x v="1"/>
    <x v="86"/>
    <x v="7"/>
    <x v="3"/>
    <x v="1"/>
    <x v="6"/>
    <x v="16"/>
    <x v="6"/>
    <x v="4"/>
    <x v="256"/>
    <x v="1"/>
    <x v="4"/>
    <x v="5"/>
    <x v="13"/>
    <x v="473"/>
    <x v="2"/>
    <x v="5"/>
  </r>
  <r>
    <x v="326"/>
    <x v="3"/>
    <x v="4"/>
    <x v="233"/>
    <x v="8"/>
    <x v="1"/>
    <x v="0"/>
    <x v="488"/>
    <x v="2"/>
    <x v="1"/>
    <x v="1"/>
    <x v="6"/>
    <x v="9"/>
    <x v="6"/>
    <x v="4"/>
    <x v="216"/>
    <x v="0"/>
    <x v="0"/>
    <x v="4"/>
    <x v="2"/>
    <x v="477"/>
    <x v="0"/>
    <x v="6"/>
  </r>
  <r>
    <x v="327"/>
    <x v="2"/>
    <x v="1"/>
    <x v="310"/>
    <x v="320"/>
    <x v="7"/>
    <x v="1"/>
    <x v="109"/>
    <x v="3"/>
    <x v="2"/>
    <x v="0"/>
    <x v="8"/>
    <x v="15"/>
    <x v="3"/>
    <x v="1"/>
    <x v="164"/>
    <x v="0"/>
    <x v="1"/>
    <x v="4"/>
    <x v="10"/>
    <x v="211"/>
    <x v="0"/>
    <x v="9"/>
  </r>
  <r>
    <x v="328"/>
    <x v="9"/>
    <x v="2"/>
    <x v="49"/>
    <x v="98"/>
    <x v="5"/>
    <x v="0"/>
    <x v="148"/>
    <x v="0"/>
    <x v="3"/>
    <x v="0"/>
    <x v="1"/>
    <x v="13"/>
    <x v="4"/>
    <x v="0"/>
    <x v="192"/>
    <x v="2"/>
    <x v="3"/>
    <x v="2"/>
    <x v="6"/>
    <x v="26"/>
    <x v="0"/>
    <x v="14"/>
  </r>
  <r>
    <x v="329"/>
    <x v="0"/>
    <x v="3"/>
    <x v="277"/>
    <x v="73"/>
    <x v="0"/>
    <x v="1"/>
    <x v="47"/>
    <x v="2"/>
    <x v="1"/>
    <x v="0"/>
    <x v="7"/>
    <x v="5"/>
    <x v="8"/>
    <x v="2"/>
    <x v="267"/>
    <x v="2"/>
    <x v="4"/>
    <x v="4"/>
    <x v="0"/>
    <x v="14"/>
    <x v="1"/>
    <x v="7"/>
  </r>
  <r>
    <x v="330"/>
    <x v="9"/>
    <x v="9"/>
    <x v="50"/>
    <x v="80"/>
    <x v="5"/>
    <x v="0"/>
    <x v="185"/>
    <x v="1"/>
    <x v="2"/>
    <x v="2"/>
    <x v="4"/>
    <x v="12"/>
    <x v="1"/>
    <x v="4"/>
    <x v="69"/>
    <x v="2"/>
    <x v="3"/>
    <x v="0"/>
    <x v="6"/>
    <x v="354"/>
    <x v="1"/>
    <x v="3"/>
  </r>
  <r>
    <x v="331"/>
    <x v="7"/>
    <x v="4"/>
    <x v="91"/>
    <x v="141"/>
    <x v="3"/>
    <x v="0"/>
    <x v="97"/>
    <x v="1"/>
    <x v="2"/>
    <x v="1"/>
    <x v="6"/>
    <x v="2"/>
    <x v="6"/>
    <x v="0"/>
    <x v="145"/>
    <x v="0"/>
    <x v="3"/>
    <x v="2"/>
    <x v="4"/>
    <x v="183"/>
    <x v="2"/>
    <x v="3"/>
  </r>
  <r>
    <x v="332"/>
    <x v="7"/>
    <x v="5"/>
    <x v="138"/>
    <x v="166"/>
    <x v="3"/>
    <x v="0"/>
    <x v="467"/>
    <x v="7"/>
    <x v="3"/>
    <x v="1"/>
    <x v="0"/>
    <x v="15"/>
    <x v="5"/>
    <x v="3"/>
    <x v="222"/>
    <x v="1"/>
    <x v="3"/>
    <x v="4"/>
    <x v="4"/>
    <x v="125"/>
    <x v="2"/>
    <x v="16"/>
  </r>
  <r>
    <x v="333"/>
    <x v="1"/>
    <x v="8"/>
    <x v="46"/>
    <x v="128"/>
    <x v="6"/>
    <x v="0"/>
    <x v="472"/>
    <x v="0"/>
    <x v="3"/>
    <x v="2"/>
    <x v="10"/>
    <x v="8"/>
    <x v="0"/>
    <x v="4"/>
    <x v="25"/>
    <x v="4"/>
    <x v="4"/>
    <x v="4"/>
    <x v="9"/>
    <x v="155"/>
    <x v="1"/>
    <x v="11"/>
  </r>
  <r>
    <x v="334"/>
    <x v="2"/>
    <x v="8"/>
    <x v="78"/>
    <x v="98"/>
    <x v="7"/>
    <x v="1"/>
    <x v="317"/>
    <x v="3"/>
    <x v="2"/>
    <x v="2"/>
    <x v="10"/>
    <x v="1"/>
    <x v="0"/>
    <x v="0"/>
    <x v="1"/>
    <x v="2"/>
    <x v="4"/>
    <x v="5"/>
    <x v="10"/>
    <x v="466"/>
    <x v="1"/>
    <x v="14"/>
  </r>
  <r>
    <x v="335"/>
    <x v="7"/>
    <x v="1"/>
    <x v="47"/>
    <x v="160"/>
    <x v="3"/>
    <x v="0"/>
    <x v="438"/>
    <x v="4"/>
    <x v="1"/>
    <x v="0"/>
    <x v="8"/>
    <x v="15"/>
    <x v="3"/>
    <x v="0"/>
    <x v="168"/>
    <x v="1"/>
    <x v="4"/>
    <x v="4"/>
    <x v="4"/>
    <x v="335"/>
    <x v="1"/>
    <x v="12"/>
  </r>
  <r>
    <x v="336"/>
    <x v="0"/>
    <x v="4"/>
    <x v="67"/>
    <x v="95"/>
    <x v="0"/>
    <x v="1"/>
    <x v="128"/>
    <x v="3"/>
    <x v="2"/>
    <x v="1"/>
    <x v="6"/>
    <x v="15"/>
    <x v="6"/>
    <x v="2"/>
    <x v="260"/>
    <x v="2"/>
    <x v="1"/>
    <x v="1"/>
    <x v="0"/>
    <x v="71"/>
    <x v="2"/>
    <x v="1"/>
  </r>
  <r>
    <x v="337"/>
    <x v="7"/>
    <x v="7"/>
    <x v="299"/>
    <x v="72"/>
    <x v="3"/>
    <x v="0"/>
    <x v="242"/>
    <x v="5"/>
    <x v="0"/>
    <x v="2"/>
    <x v="9"/>
    <x v="16"/>
    <x v="2"/>
    <x v="2"/>
    <x v="97"/>
    <x v="3"/>
    <x v="0"/>
    <x v="0"/>
    <x v="4"/>
    <x v="65"/>
    <x v="1"/>
    <x v="6"/>
  </r>
  <r>
    <x v="338"/>
    <x v="2"/>
    <x v="9"/>
    <x v="156"/>
    <x v="225"/>
    <x v="7"/>
    <x v="1"/>
    <x v="451"/>
    <x v="2"/>
    <x v="1"/>
    <x v="2"/>
    <x v="4"/>
    <x v="2"/>
    <x v="1"/>
    <x v="3"/>
    <x v="12"/>
    <x v="0"/>
    <x v="4"/>
    <x v="1"/>
    <x v="10"/>
    <x v="293"/>
    <x v="0"/>
    <x v="9"/>
  </r>
  <r>
    <x v="339"/>
    <x v="3"/>
    <x v="7"/>
    <x v="66"/>
    <x v="158"/>
    <x v="1"/>
    <x v="0"/>
    <x v="383"/>
    <x v="2"/>
    <x v="1"/>
    <x v="2"/>
    <x v="9"/>
    <x v="13"/>
    <x v="2"/>
    <x v="3"/>
    <x v="82"/>
    <x v="1"/>
    <x v="3"/>
    <x v="0"/>
    <x v="2"/>
    <x v="274"/>
    <x v="0"/>
    <x v="11"/>
  </r>
  <r>
    <x v="340"/>
    <x v="6"/>
    <x v="3"/>
    <x v="210"/>
    <x v="230"/>
    <x v="2"/>
    <x v="1"/>
    <x v="166"/>
    <x v="2"/>
    <x v="1"/>
    <x v="0"/>
    <x v="7"/>
    <x v="15"/>
    <x v="8"/>
    <x v="4"/>
    <x v="307"/>
    <x v="2"/>
    <x v="0"/>
    <x v="5"/>
    <x v="3"/>
    <x v="83"/>
    <x v="0"/>
    <x v="4"/>
  </r>
  <r>
    <x v="341"/>
    <x v="0"/>
    <x v="8"/>
    <x v="264"/>
    <x v="19"/>
    <x v="0"/>
    <x v="1"/>
    <x v="288"/>
    <x v="2"/>
    <x v="1"/>
    <x v="2"/>
    <x v="10"/>
    <x v="2"/>
    <x v="0"/>
    <x v="4"/>
    <x v="2"/>
    <x v="3"/>
    <x v="1"/>
    <x v="5"/>
    <x v="0"/>
    <x v="117"/>
    <x v="2"/>
    <x v="6"/>
  </r>
  <r>
    <x v="342"/>
    <x v="2"/>
    <x v="4"/>
    <x v="53"/>
    <x v="179"/>
    <x v="7"/>
    <x v="1"/>
    <x v="310"/>
    <x v="1"/>
    <x v="2"/>
    <x v="1"/>
    <x v="6"/>
    <x v="16"/>
    <x v="6"/>
    <x v="0"/>
    <x v="269"/>
    <x v="3"/>
    <x v="1"/>
    <x v="2"/>
    <x v="10"/>
    <x v="259"/>
    <x v="1"/>
    <x v="7"/>
  </r>
  <r>
    <x v="343"/>
    <x v="9"/>
    <x v="4"/>
    <x v="184"/>
    <x v="256"/>
    <x v="5"/>
    <x v="0"/>
    <x v="141"/>
    <x v="0"/>
    <x v="3"/>
    <x v="1"/>
    <x v="6"/>
    <x v="18"/>
    <x v="6"/>
    <x v="3"/>
    <x v="266"/>
    <x v="4"/>
    <x v="1"/>
    <x v="1"/>
    <x v="6"/>
    <x v="120"/>
    <x v="0"/>
    <x v="13"/>
  </r>
  <r>
    <x v="344"/>
    <x v="7"/>
    <x v="9"/>
    <x v="219"/>
    <x v="268"/>
    <x v="3"/>
    <x v="0"/>
    <x v="336"/>
    <x v="0"/>
    <x v="3"/>
    <x v="2"/>
    <x v="4"/>
    <x v="20"/>
    <x v="1"/>
    <x v="3"/>
    <x v="92"/>
    <x v="3"/>
    <x v="1"/>
    <x v="1"/>
    <x v="4"/>
    <x v="91"/>
    <x v="0"/>
    <x v="14"/>
  </r>
  <r>
    <x v="345"/>
    <x v="5"/>
    <x v="5"/>
    <x v="164"/>
    <x v="197"/>
    <x v="8"/>
    <x v="0"/>
    <x v="78"/>
    <x v="2"/>
    <x v="1"/>
    <x v="1"/>
    <x v="0"/>
    <x v="13"/>
    <x v="5"/>
    <x v="3"/>
    <x v="215"/>
    <x v="1"/>
    <x v="3"/>
    <x v="2"/>
    <x v="11"/>
    <x v="331"/>
    <x v="2"/>
    <x v="15"/>
  </r>
  <r>
    <x v="346"/>
    <x v="9"/>
    <x v="10"/>
    <x v="140"/>
    <x v="146"/>
    <x v="5"/>
    <x v="0"/>
    <x v="178"/>
    <x v="5"/>
    <x v="0"/>
    <x v="1"/>
    <x v="5"/>
    <x v="11"/>
    <x v="7"/>
    <x v="1"/>
    <x v="286"/>
    <x v="0"/>
    <x v="4"/>
    <x v="2"/>
    <x v="6"/>
    <x v="417"/>
    <x v="0"/>
    <x v="9"/>
  </r>
  <r>
    <x v="347"/>
    <x v="9"/>
    <x v="5"/>
    <x v="56"/>
    <x v="106"/>
    <x v="5"/>
    <x v="0"/>
    <x v="292"/>
    <x v="4"/>
    <x v="1"/>
    <x v="1"/>
    <x v="0"/>
    <x v="2"/>
    <x v="5"/>
    <x v="0"/>
    <x v="129"/>
    <x v="3"/>
    <x v="4"/>
    <x v="1"/>
    <x v="6"/>
    <x v="59"/>
    <x v="2"/>
    <x v="11"/>
  </r>
  <r>
    <x v="348"/>
    <x v="6"/>
    <x v="1"/>
    <x v="317"/>
    <x v="40"/>
    <x v="2"/>
    <x v="1"/>
    <x v="8"/>
    <x v="6"/>
    <x v="3"/>
    <x v="0"/>
    <x v="8"/>
    <x v="15"/>
    <x v="3"/>
    <x v="3"/>
    <x v="156"/>
    <x v="2"/>
    <x v="3"/>
    <x v="2"/>
    <x v="3"/>
    <x v="303"/>
    <x v="1"/>
    <x v="6"/>
  </r>
  <r>
    <x v="349"/>
    <x v="2"/>
    <x v="5"/>
    <x v="188"/>
    <x v="251"/>
    <x v="7"/>
    <x v="1"/>
    <x v="441"/>
    <x v="0"/>
    <x v="3"/>
    <x v="1"/>
    <x v="0"/>
    <x v="5"/>
    <x v="5"/>
    <x v="3"/>
    <x v="159"/>
    <x v="0"/>
    <x v="3"/>
    <x v="2"/>
    <x v="10"/>
    <x v="264"/>
    <x v="2"/>
    <x v="6"/>
  </r>
  <r>
    <x v="350"/>
    <x v="6"/>
    <x v="2"/>
    <x v="111"/>
    <x v="123"/>
    <x v="2"/>
    <x v="1"/>
    <x v="85"/>
    <x v="0"/>
    <x v="3"/>
    <x v="0"/>
    <x v="1"/>
    <x v="15"/>
    <x v="4"/>
    <x v="0"/>
    <x v="200"/>
    <x v="2"/>
    <x v="3"/>
    <x v="0"/>
    <x v="3"/>
    <x v="468"/>
    <x v="0"/>
    <x v="14"/>
  </r>
  <r>
    <x v="351"/>
    <x v="5"/>
    <x v="2"/>
    <x v="80"/>
    <x v="100"/>
    <x v="8"/>
    <x v="0"/>
    <x v="405"/>
    <x v="6"/>
    <x v="3"/>
    <x v="0"/>
    <x v="1"/>
    <x v="19"/>
    <x v="4"/>
    <x v="0"/>
    <x v="213"/>
    <x v="0"/>
    <x v="1"/>
    <x v="4"/>
    <x v="11"/>
    <x v="40"/>
    <x v="0"/>
    <x v="15"/>
  </r>
  <r>
    <x v="352"/>
    <x v="3"/>
    <x v="3"/>
    <x v="189"/>
    <x v="262"/>
    <x v="1"/>
    <x v="0"/>
    <x v="316"/>
    <x v="6"/>
    <x v="3"/>
    <x v="0"/>
    <x v="7"/>
    <x v="9"/>
    <x v="8"/>
    <x v="3"/>
    <x v="287"/>
    <x v="2"/>
    <x v="4"/>
    <x v="4"/>
    <x v="2"/>
    <x v="319"/>
    <x v="0"/>
    <x v="8"/>
  </r>
  <r>
    <x v="353"/>
    <x v="7"/>
    <x v="9"/>
    <x v="117"/>
    <x v="225"/>
    <x v="3"/>
    <x v="0"/>
    <x v="358"/>
    <x v="4"/>
    <x v="1"/>
    <x v="2"/>
    <x v="4"/>
    <x v="5"/>
    <x v="1"/>
    <x v="1"/>
    <x v="43"/>
    <x v="0"/>
    <x v="0"/>
    <x v="2"/>
    <x v="4"/>
    <x v="394"/>
    <x v="1"/>
    <x v="9"/>
  </r>
  <r>
    <x v="354"/>
    <x v="5"/>
    <x v="1"/>
    <x v="0"/>
    <x v="107"/>
    <x v="8"/>
    <x v="0"/>
    <x v="182"/>
    <x v="6"/>
    <x v="3"/>
    <x v="0"/>
    <x v="8"/>
    <x v="3"/>
    <x v="3"/>
    <x v="3"/>
    <x v="106"/>
    <x v="3"/>
    <x v="1"/>
    <x v="1"/>
    <x v="11"/>
    <x v="493"/>
    <x v="1"/>
    <x v="17"/>
  </r>
  <r>
    <x v="355"/>
    <x v="8"/>
    <x v="6"/>
    <x v="149"/>
    <x v="277"/>
    <x v="4"/>
    <x v="1"/>
    <x v="54"/>
    <x v="4"/>
    <x v="1"/>
    <x v="1"/>
    <x v="5"/>
    <x v="12"/>
    <x v="7"/>
    <x v="1"/>
    <x v="288"/>
    <x v="2"/>
    <x v="0"/>
    <x v="0"/>
    <x v="5"/>
    <x v="179"/>
    <x v="2"/>
    <x v="11"/>
  </r>
  <r>
    <x v="356"/>
    <x v="5"/>
    <x v="6"/>
    <x v="113"/>
    <x v="197"/>
    <x v="8"/>
    <x v="0"/>
    <x v="90"/>
    <x v="7"/>
    <x v="3"/>
    <x v="1"/>
    <x v="5"/>
    <x v="4"/>
    <x v="7"/>
    <x v="3"/>
    <x v="225"/>
    <x v="3"/>
    <x v="3"/>
    <x v="0"/>
    <x v="11"/>
    <x v="402"/>
    <x v="2"/>
    <x v="15"/>
  </r>
  <r>
    <x v="357"/>
    <x v="2"/>
    <x v="8"/>
    <x v="196"/>
    <x v="229"/>
    <x v="7"/>
    <x v="1"/>
    <x v="73"/>
    <x v="4"/>
    <x v="1"/>
    <x v="2"/>
    <x v="10"/>
    <x v="16"/>
    <x v="0"/>
    <x v="2"/>
    <x v="53"/>
    <x v="3"/>
    <x v="1"/>
    <x v="2"/>
    <x v="10"/>
    <x v="233"/>
    <x v="0"/>
    <x v="3"/>
  </r>
  <r>
    <x v="358"/>
    <x v="2"/>
    <x v="7"/>
    <x v="103"/>
    <x v="188"/>
    <x v="7"/>
    <x v="1"/>
    <x v="234"/>
    <x v="6"/>
    <x v="3"/>
    <x v="2"/>
    <x v="9"/>
    <x v="3"/>
    <x v="2"/>
    <x v="4"/>
    <x v="30"/>
    <x v="3"/>
    <x v="4"/>
    <x v="1"/>
    <x v="10"/>
    <x v="216"/>
    <x v="2"/>
    <x v="16"/>
  </r>
  <r>
    <x v="359"/>
    <x v="8"/>
    <x v="5"/>
    <x v="212"/>
    <x v="273"/>
    <x v="4"/>
    <x v="1"/>
    <x v="55"/>
    <x v="6"/>
    <x v="3"/>
    <x v="1"/>
    <x v="0"/>
    <x v="19"/>
    <x v="5"/>
    <x v="2"/>
    <x v="245"/>
    <x v="1"/>
    <x v="1"/>
    <x v="1"/>
    <x v="5"/>
    <x v="440"/>
    <x v="2"/>
    <x v="6"/>
  </r>
  <r>
    <x v="360"/>
    <x v="8"/>
    <x v="2"/>
    <x v="237"/>
    <x v="279"/>
    <x v="4"/>
    <x v="1"/>
    <x v="152"/>
    <x v="3"/>
    <x v="2"/>
    <x v="0"/>
    <x v="1"/>
    <x v="7"/>
    <x v="4"/>
    <x v="4"/>
    <x v="143"/>
    <x v="2"/>
    <x v="0"/>
    <x v="2"/>
    <x v="5"/>
    <x v="159"/>
    <x v="0"/>
    <x v="12"/>
  </r>
  <r>
    <x v="361"/>
    <x v="9"/>
    <x v="8"/>
    <x v="163"/>
    <x v="221"/>
    <x v="5"/>
    <x v="0"/>
    <x v="170"/>
    <x v="1"/>
    <x v="2"/>
    <x v="2"/>
    <x v="10"/>
    <x v="20"/>
    <x v="0"/>
    <x v="4"/>
    <x v="57"/>
    <x v="4"/>
    <x v="0"/>
    <x v="2"/>
    <x v="6"/>
    <x v="70"/>
    <x v="2"/>
    <x v="14"/>
  </r>
  <r>
    <x v="362"/>
    <x v="1"/>
    <x v="2"/>
    <x v="315"/>
    <x v="68"/>
    <x v="6"/>
    <x v="0"/>
    <x v="307"/>
    <x v="3"/>
    <x v="2"/>
    <x v="0"/>
    <x v="1"/>
    <x v="19"/>
    <x v="4"/>
    <x v="1"/>
    <x v="212"/>
    <x v="2"/>
    <x v="0"/>
    <x v="5"/>
    <x v="9"/>
    <x v="456"/>
    <x v="2"/>
    <x v="3"/>
  </r>
  <r>
    <x v="363"/>
    <x v="9"/>
    <x v="8"/>
    <x v="23"/>
    <x v="130"/>
    <x v="5"/>
    <x v="0"/>
    <x v="228"/>
    <x v="3"/>
    <x v="2"/>
    <x v="2"/>
    <x v="10"/>
    <x v="5"/>
    <x v="0"/>
    <x v="0"/>
    <x v="17"/>
    <x v="1"/>
    <x v="4"/>
    <x v="4"/>
    <x v="6"/>
    <x v="102"/>
    <x v="2"/>
    <x v="1"/>
  </r>
  <r>
    <x v="364"/>
    <x v="1"/>
    <x v="9"/>
    <x v="69"/>
    <x v="163"/>
    <x v="6"/>
    <x v="0"/>
    <x v="197"/>
    <x v="4"/>
    <x v="1"/>
    <x v="2"/>
    <x v="4"/>
    <x v="16"/>
    <x v="1"/>
    <x v="3"/>
    <x v="79"/>
    <x v="4"/>
    <x v="1"/>
    <x v="0"/>
    <x v="9"/>
    <x v="69"/>
    <x v="0"/>
    <x v="14"/>
  </r>
  <r>
    <x v="365"/>
    <x v="7"/>
    <x v="5"/>
    <x v="27"/>
    <x v="154"/>
    <x v="3"/>
    <x v="0"/>
    <x v="192"/>
    <x v="4"/>
    <x v="1"/>
    <x v="1"/>
    <x v="0"/>
    <x v="1"/>
    <x v="5"/>
    <x v="2"/>
    <x v="109"/>
    <x v="4"/>
    <x v="0"/>
    <x v="4"/>
    <x v="4"/>
    <x v="444"/>
    <x v="1"/>
    <x v="4"/>
  </r>
  <r>
    <x v="366"/>
    <x v="9"/>
    <x v="7"/>
    <x v="5"/>
    <x v="47"/>
    <x v="5"/>
    <x v="0"/>
    <x v="59"/>
    <x v="3"/>
    <x v="2"/>
    <x v="2"/>
    <x v="9"/>
    <x v="19"/>
    <x v="2"/>
    <x v="3"/>
    <x v="100"/>
    <x v="3"/>
    <x v="3"/>
    <x v="2"/>
    <x v="6"/>
    <x v="195"/>
    <x v="0"/>
    <x v="15"/>
  </r>
  <r>
    <x v="367"/>
    <x v="0"/>
    <x v="0"/>
    <x v="326"/>
    <x v="12"/>
    <x v="0"/>
    <x v="1"/>
    <x v="235"/>
    <x v="2"/>
    <x v="1"/>
    <x v="0"/>
    <x v="2"/>
    <x v="15"/>
    <x v="9"/>
    <x v="0"/>
    <x v="338"/>
    <x v="4"/>
    <x v="0"/>
    <x v="2"/>
    <x v="0"/>
    <x v="185"/>
    <x v="0"/>
    <x v="17"/>
  </r>
  <r>
    <x v="368"/>
    <x v="8"/>
    <x v="9"/>
    <x v="64"/>
    <x v="84"/>
    <x v="4"/>
    <x v="1"/>
    <x v="46"/>
    <x v="1"/>
    <x v="2"/>
    <x v="2"/>
    <x v="4"/>
    <x v="11"/>
    <x v="1"/>
    <x v="1"/>
    <x v="71"/>
    <x v="4"/>
    <x v="3"/>
    <x v="1"/>
    <x v="5"/>
    <x v="248"/>
    <x v="1"/>
    <x v="9"/>
  </r>
  <r>
    <x v="369"/>
    <x v="5"/>
    <x v="8"/>
    <x v="126"/>
    <x v="178"/>
    <x v="8"/>
    <x v="0"/>
    <x v="321"/>
    <x v="4"/>
    <x v="1"/>
    <x v="2"/>
    <x v="10"/>
    <x v="9"/>
    <x v="0"/>
    <x v="2"/>
    <x v="34"/>
    <x v="0"/>
    <x v="0"/>
    <x v="4"/>
    <x v="11"/>
    <x v="308"/>
    <x v="0"/>
    <x v="5"/>
  </r>
  <r>
    <x v="370"/>
    <x v="3"/>
    <x v="9"/>
    <x v="191"/>
    <x v="215"/>
    <x v="1"/>
    <x v="0"/>
    <x v="153"/>
    <x v="1"/>
    <x v="2"/>
    <x v="2"/>
    <x v="4"/>
    <x v="5"/>
    <x v="1"/>
    <x v="1"/>
    <x v="43"/>
    <x v="2"/>
    <x v="0"/>
    <x v="2"/>
    <x v="2"/>
    <x v="346"/>
    <x v="2"/>
    <x v="10"/>
  </r>
  <r>
    <x v="371"/>
    <x v="6"/>
    <x v="1"/>
    <x v="10"/>
    <x v="20"/>
    <x v="2"/>
    <x v="1"/>
    <x v="398"/>
    <x v="3"/>
    <x v="2"/>
    <x v="0"/>
    <x v="8"/>
    <x v="5"/>
    <x v="3"/>
    <x v="2"/>
    <x v="115"/>
    <x v="1"/>
    <x v="4"/>
    <x v="4"/>
    <x v="3"/>
    <x v="101"/>
    <x v="1"/>
    <x v="10"/>
  </r>
  <r>
    <x v="372"/>
    <x v="4"/>
    <x v="1"/>
    <x v="247"/>
    <x v="323"/>
    <x v="9"/>
    <x v="1"/>
    <x v="397"/>
    <x v="5"/>
    <x v="0"/>
    <x v="0"/>
    <x v="8"/>
    <x v="1"/>
    <x v="3"/>
    <x v="0"/>
    <x v="85"/>
    <x v="0"/>
    <x v="4"/>
    <x v="1"/>
    <x v="13"/>
    <x v="170"/>
    <x v="1"/>
    <x v="0"/>
  </r>
  <r>
    <x v="373"/>
    <x v="7"/>
    <x v="1"/>
    <x v="133"/>
    <x v="219"/>
    <x v="3"/>
    <x v="0"/>
    <x v="261"/>
    <x v="6"/>
    <x v="3"/>
    <x v="0"/>
    <x v="8"/>
    <x v="13"/>
    <x v="3"/>
    <x v="4"/>
    <x v="147"/>
    <x v="1"/>
    <x v="0"/>
    <x v="5"/>
    <x v="4"/>
    <x v="255"/>
    <x v="1"/>
    <x v="13"/>
  </r>
  <r>
    <x v="374"/>
    <x v="8"/>
    <x v="3"/>
    <x v="75"/>
    <x v="194"/>
    <x v="4"/>
    <x v="1"/>
    <x v="278"/>
    <x v="7"/>
    <x v="3"/>
    <x v="0"/>
    <x v="7"/>
    <x v="20"/>
    <x v="8"/>
    <x v="0"/>
    <x v="320"/>
    <x v="1"/>
    <x v="0"/>
    <x v="2"/>
    <x v="5"/>
    <x v="173"/>
    <x v="1"/>
    <x v="1"/>
  </r>
  <r>
    <x v="375"/>
    <x v="6"/>
    <x v="2"/>
    <x v="302"/>
    <x v="54"/>
    <x v="2"/>
    <x v="1"/>
    <x v="284"/>
    <x v="5"/>
    <x v="0"/>
    <x v="0"/>
    <x v="1"/>
    <x v="9"/>
    <x v="4"/>
    <x v="3"/>
    <x v="158"/>
    <x v="0"/>
    <x v="4"/>
    <x v="5"/>
    <x v="3"/>
    <x v="204"/>
    <x v="2"/>
    <x v="11"/>
  </r>
  <r>
    <x v="376"/>
    <x v="6"/>
    <x v="8"/>
    <x v="9"/>
    <x v="28"/>
    <x v="2"/>
    <x v="1"/>
    <x v="373"/>
    <x v="4"/>
    <x v="1"/>
    <x v="2"/>
    <x v="10"/>
    <x v="3"/>
    <x v="0"/>
    <x v="3"/>
    <x v="7"/>
    <x v="2"/>
    <x v="1"/>
    <x v="2"/>
    <x v="3"/>
    <x v="154"/>
    <x v="2"/>
    <x v="9"/>
  </r>
  <r>
    <x v="377"/>
    <x v="5"/>
    <x v="0"/>
    <x v="192"/>
    <x v="204"/>
    <x v="8"/>
    <x v="0"/>
    <x v="443"/>
    <x v="2"/>
    <x v="1"/>
    <x v="0"/>
    <x v="2"/>
    <x v="8"/>
    <x v="9"/>
    <x v="4"/>
    <x v="325"/>
    <x v="4"/>
    <x v="0"/>
    <x v="1"/>
    <x v="11"/>
    <x v="198"/>
    <x v="2"/>
    <x v="11"/>
  </r>
  <r>
    <x v="378"/>
    <x v="5"/>
    <x v="7"/>
    <x v="309"/>
    <x v="74"/>
    <x v="8"/>
    <x v="0"/>
    <x v="385"/>
    <x v="2"/>
    <x v="1"/>
    <x v="2"/>
    <x v="9"/>
    <x v="17"/>
    <x v="2"/>
    <x v="4"/>
    <x v="95"/>
    <x v="0"/>
    <x v="4"/>
    <x v="5"/>
    <x v="11"/>
    <x v="479"/>
    <x v="2"/>
    <x v="8"/>
  </r>
  <r>
    <x v="379"/>
    <x v="2"/>
    <x v="8"/>
    <x v="146"/>
    <x v="230"/>
    <x v="7"/>
    <x v="1"/>
    <x v="169"/>
    <x v="1"/>
    <x v="2"/>
    <x v="2"/>
    <x v="10"/>
    <x v="4"/>
    <x v="0"/>
    <x v="3"/>
    <x v="10"/>
    <x v="2"/>
    <x v="3"/>
    <x v="0"/>
    <x v="10"/>
    <x v="54"/>
    <x v="2"/>
    <x v="4"/>
  </r>
  <r>
    <x v="380"/>
    <x v="2"/>
    <x v="5"/>
    <x v="4"/>
    <x v="109"/>
    <x v="7"/>
    <x v="1"/>
    <x v="19"/>
    <x v="5"/>
    <x v="0"/>
    <x v="1"/>
    <x v="0"/>
    <x v="2"/>
    <x v="5"/>
    <x v="2"/>
    <x v="125"/>
    <x v="1"/>
    <x v="4"/>
    <x v="4"/>
    <x v="10"/>
    <x v="397"/>
    <x v="2"/>
    <x v="3"/>
  </r>
  <r>
    <x v="381"/>
    <x v="4"/>
    <x v="7"/>
    <x v="70"/>
    <x v="187"/>
    <x v="9"/>
    <x v="1"/>
    <x v="283"/>
    <x v="1"/>
    <x v="2"/>
    <x v="2"/>
    <x v="9"/>
    <x v="5"/>
    <x v="2"/>
    <x v="1"/>
    <x v="52"/>
    <x v="0"/>
    <x v="4"/>
    <x v="5"/>
    <x v="13"/>
    <x v="327"/>
    <x v="0"/>
    <x v="3"/>
  </r>
  <r>
    <x v="382"/>
    <x v="2"/>
    <x v="5"/>
    <x v="195"/>
    <x v="234"/>
    <x v="7"/>
    <x v="1"/>
    <x v="104"/>
    <x v="2"/>
    <x v="1"/>
    <x v="1"/>
    <x v="0"/>
    <x v="17"/>
    <x v="5"/>
    <x v="0"/>
    <x v="244"/>
    <x v="1"/>
    <x v="4"/>
    <x v="1"/>
    <x v="10"/>
    <x v="297"/>
    <x v="0"/>
    <x v="13"/>
  </r>
  <r>
    <x v="383"/>
    <x v="3"/>
    <x v="7"/>
    <x v="46"/>
    <x v="117"/>
    <x v="1"/>
    <x v="0"/>
    <x v="74"/>
    <x v="0"/>
    <x v="3"/>
    <x v="2"/>
    <x v="9"/>
    <x v="7"/>
    <x v="2"/>
    <x v="0"/>
    <x v="67"/>
    <x v="1"/>
    <x v="4"/>
    <x v="0"/>
    <x v="2"/>
    <x v="285"/>
    <x v="2"/>
    <x v="11"/>
  </r>
  <r>
    <x v="384"/>
    <x v="4"/>
    <x v="0"/>
    <x v="214"/>
    <x v="253"/>
    <x v="9"/>
    <x v="1"/>
    <x v="206"/>
    <x v="3"/>
    <x v="2"/>
    <x v="0"/>
    <x v="2"/>
    <x v="6"/>
    <x v="9"/>
    <x v="1"/>
    <x v="324"/>
    <x v="3"/>
    <x v="0"/>
    <x v="0"/>
    <x v="13"/>
    <x v="386"/>
    <x v="1"/>
    <x v="9"/>
  </r>
  <r>
    <x v="385"/>
    <x v="8"/>
    <x v="8"/>
    <x v="216"/>
    <x v="255"/>
    <x v="4"/>
    <x v="1"/>
    <x v="246"/>
    <x v="3"/>
    <x v="2"/>
    <x v="2"/>
    <x v="10"/>
    <x v="16"/>
    <x v="0"/>
    <x v="1"/>
    <x v="55"/>
    <x v="0"/>
    <x v="0"/>
    <x v="4"/>
    <x v="5"/>
    <x v="383"/>
    <x v="1"/>
    <x v="12"/>
  </r>
  <r>
    <x v="386"/>
    <x v="7"/>
    <x v="5"/>
    <x v="256"/>
    <x v="289"/>
    <x v="3"/>
    <x v="0"/>
    <x v="327"/>
    <x v="5"/>
    <x v="0"/>
    <x v="1"/>
    <x v="0"/>
    <x v="11"/>
    <x v="5"/>
    <x v="3"/>
    <x v="209"/>
    <x v="0"/>
    <x v="3"/>
    <x v="2"/>
    <x v="4"/>
    <x v="392"/>
    <x v="0"/>
    <x v="0"/>
  </r>
  <r>
    <x v="387"/>
    <x v="1"/>
    <x v="8"/>
    <x v="294"/>
    <x v="14"/>
    <x v="6"/>
    <x v="0"/>
    <x v="187"/>
    <x v="7"/>
    <x v="3"/>
    <x v="2"/>
    <x v="10"/>
    <x v="19"/>
    <x v="0"/>
    <x v="1"/>
    <x v="62"/>
    <x v="3"/>
    <x v="4"/>
    <x v="5"/>
    <x v="9"/>
    <x v="42"/>
    <x v="2"/>
    <x v="1"/>
  </r>
  <r>
    <x v="388"/>
    <x v="1"/>
    <x v="2"/>
    <x v="211"/>
    <x v="224"/>
    <x v="6"/>
    <x v="0"/>
    <x v="343"/>
    <x v="7"/>
    <x v="3"/>
    <x v="0"/>
    <x v="1"/>
    <x v="20"/>
    <x v="4"/>
    <x v="3"/>
    <x v="208"/>
    <x v="3"/>
    <x v="0"/>
    <x v="5"/>
    <x v="9"/>
    <x v="302"/>
    <x v="2"/>
    <x v="5"/>
  </r>
  <r>
    <x v="389"/>
    <x v="9"/>
    <x v="8"/>
    <x v="298"/>
    <x v="59"/>
    <x v="5"/>
    <x v="0"/>
    <x v="209"/>
    <x v="3"/>
    <x v="2"/>
    <x v="2"/>
    <x v="10"/>
    <x v="13"/>
    <x v="0"/>
    <x v="3"/>
    <x v="46"/>
    <x v="3"/>
    <x v="1"/>
    <x v="5"/>
    <x v="6"/>
    <x v="320"/>
    <x v="2"/>
    <x v="4"/>
  </r>
  <r>
    <x v="390"/>
    <x v="5"/>
    <x v="2"/>
    <x v="21"/>
    <x v="77"/>
    <x v="8"/>
    <x v="0"/>
    <x v="33"/>
    <x v="2"/>
    <x v="1"/>
    <x v="0"/>
    <x v="1"/>
    <x v="12"/>
    <x v="4"/>
    <x v="2"/>
    <x v="181"/>
    <x v="2"/>
    <x v="3"/>
    <x v="5"/>
    <x v="11"/>
    <x v="337"/>
    <x v="2"/>
    <x v="0"/>
  </r>
  <r>
    <x v="391"/>
    <x v="1"/>
    <x v="6"/>
    <x v="292"/>
    <x v="300"/>
    <x v="6"/>
    <x v="0"/>
    <x v="379"/>
    <x v="5"/>
    <x v="0"/>
    <x v="1"/>
    <x v="5"/>
    <x v="6"/>
    <x v="7"/>
    <x v="1"/>
    <x v="262"/>
    <x v="4"/>
    <x v="1"/>
    <x v="2"/>
    <x v="9"/>
    <x v="19"/>
    <x v="0"/>
    <x v="0"/>
  </r>
  <r>
    <x v="392"/>
    <x v="7"/>
    <x v="6"/>
    <x v="184"/>
    <x v="266"/>
    <x v="3"/>
    <x v="0"/>
    <x v="387"/>
    <x v="0"/>
    <x v="3"/>
    <x v="1"/>
    <x v="5"/>
    <x v="15"/>
    <x v="7"/>
    <x v="2"/>
    <x v="293"/>
    <x v="0"/>
    <x v="1"/>
    <x v="2"/>
    <x v="4"/>
    <x v="122"/>
    <x v="1"/>
    <x v="13"/>
  </r>
  <r>
    <x v="393"/>
    <x v="2"/>
    <x v="3"/>
    <x v="30"/>
    <x v="156"/>
    <x v="7"/>
    <x v="1"/>
    <x v="12"/>
    <x v="3"/>
    <x v="2"/>
    <x v="0"/>
    <x v="7"/>
    <x v="19"/>
    <x v="8"/>
    <x v="4"/>
    <x v="314"/>
    <x v="4"/>
    <x v="1"/>
    <x v="2"/>
    <x v="10"/>
    <x v="322"/>
    <x v="1"/>
    <x v="7"/>
  </r>
  <r>
    <x v="394"/>
    <x v="6"/>
    <x v="1"/>
    <x v="150"/>
    <x v="182"/>
    <x v="2"/>
    <x v="1"/>
    <x v="413"/>
    <x v="2"/>
    <x v="1"/>
    <x v="0"/>
    <x v="8"/>
    <x v="5"/>
    <x v="3"/>
    <x v="0"/>
    <x v="120"/>
    <x v="1"/>
    <x v="0"/>
    <x v="0"/>
    <x v="3"/>
    <x v="35"/>
    <x v="0"/>
    <x v="0"/>
  </r>
  <r>
    <x v="395"/>
    <x v="6"/>
    <x v="3"/>
    <x v="320"/>
    <x v="32"/>
    <x v="2"/>
    <x v="1"/>
    <x v="183"/>
    <x v="5"/>
    <x v="0"/>
    <x v="0"/>
    <x v="7"/>
    <x v="19"/>
    <x v="8"/>
    <x v="0"/>
    <x v="319"/>
    <x v="3"/>
    <x v="4"/>
    <x v="0"/>
    <x v="3"/>
    <x v="23"/>
    <x v="2"/>
    <x v="0"/>
  </r>
  <r>
    <x v="396"/>
    <x v="0"/>
    <x v="1"/>
    <x v="326"/>
    <x v="29"/>
    <x v="0"/>
    <x v="1"/>
    <x v="10"/>
    <x v="1"/>
    <x v="2"/>
    <x v="0"/>
    <x v="8"/>
    <x v="12"/>
    <x v="3"/>
    <x v="3"/>
    <x v="146"/>
    <x v="2"/>
    <x v="0"/>
    <x v="5"/>
    <x v="0"/>
    <x v="225"/>
    <x v="1"/>
    <x v="17"/>
  </r>
  <r>
    <x v="397"/>
    <x v="7"/>
    <x v="2"/>
    <x v="137"/>
    <x v="223"/>
    <x v="3"/>
    <x v="0"/>
    <x v="136"/>
    <x v="2"/>
    <x v="1"/>
    <x v="0"/>
    <x v="1"/>
    <x v="16"/>
    <x v="4"/>
    <x v="4"/>
    <x v="190"/>
    <x v="0"/>
    <x v="1"/>
    <x v="4"/>
    <x v="4"/>
    <x v="187"/>
    <x v="2"/>
    <x v="4"/>
  </r>
  <r>
    <x v="398"/>
    <x v="8"/>
    <x v="6"/>
    <x v="291"/>
    <x v="31"/>
    <x v="4"/>
    <x v="1"/>
    <x v="0"/>
    <x v="3"/>
    <x v="2"/>
    <x v="1"/>
    <x v="5"/>
    <x v="10"/>
    <x v="7"/>
    <x v="1"/>
    <x v="282"/>
    <x v="4"/>
    <x v="3"/>
    <x v="5"/>
    <x v="5"/>
    <x v="413"/>
    <x v="1"/>
    <x v="11"/>
  </r>
  <r>
    <x v="399"/>
    <x v="7"/>
    <x v="8"/>
    <x v="109"/>
    <x v="218"/>
    <x v="3"/>
    <x v="0"/>
    <x v="156"/>
    <x v="0"/>
    <x v="3"/>
    <x v="2"/>
    <x v="10"/>
    <x v="18"/>
    <x v="0"/>
    <x v="4"/>
    <x v="53"/>
    <x v="0"/>
    <x v="4"/>
    <x v="5"/>
    <x v="4"/>
    <x v="249"/>
    <x v="2"/>
    <x v="1"/>
  </r>
  <r>
    <x v="400"/>
    <x v="8"/>
    <x v="6"/>
    <x v="135"/>
    <x v="195"/>
    <x v="4"/>
    <x v="1"/>
    <x v="370"/>
    <x v="6"/>
    <x v="3"/>
    <x v="1"/>
    <x v="5"/>
    <x v="9"/>
    <x v="7"/>
    <x v="0"/>
    <x v="279"/>
    <x v="1"/>
    <x v="0"/>
    <x v="5"/>
    <x v="5"/>
    <x v="398"/>
    <x v="2"/>
    <x v="14"/>
  </r>
  <r>
    <x v="401"/>
    <x v="7"/>
    <x v="6"/>
    <x v="9"/>
    <x v="127"/>
    <x v="3"/>
    <x v="0"/>
    <x v="80"/>
    <x v="6"/>
    <x v="3"/>
    <x v="1"/>
    <x v="5"/>
    <x v="8"/>
    <x v="7"/>
    <x v="2"/>
    <x v="271"/>
    <x v="3"/>
    <x v="1"/>
    <x v="2"/>
    <x v="4"/>
    <x v="4"/>
    <x v="0"/>
    <x v="9"/>
  </r>
  <r>
    <x v="402"/>
    <x v="9"/>
    <x v="8"/>
    <x v="268"/>
    <x v="2"/>
    <x v="5"/>
    <x v="0"/>
    <x v="290"/>
    <x v="7"/>
    <x v="3"/>
    <x v="2"/>
    <x v="10"/>
    <x v="3"/>
    <x v="0"/>
    <x v="2"/>
    <x v="8"/>
    <x v="2"/>
    <x v="0"/>
    <x v="1"/>
    <x v="6"/>
    <x v="367"/>
    <x v="2"/>
    <x v="12"/>
  </r>
  <r>
    <x v="403"/>
    <x v="3"/>
    <x v="6"/>
    <x v="18"/>
    <x v="125"/>
    <x v="1"/>
    <x v="0"/>
    <x v="225"/>
    <x v="5"/>
    <x v="0"/>
    <x v="1"/>
    <x v="5"/>
    <x v="18"/>
    <x v="7"/>
    <x v="2"/>
    <x v="304"/>
    <x v="3"/>
    <x v="1"/>
    <x v="4"/>
    <x v="2"/>
    <x v="428"/>
    <x v="0"/>
    <x v="6"/>
  </r>
  <r>
    <x v="404"/>
    <x v="9"/>
    <x v="9"/>
    <x v="54"/>
    <x v="92"/>
    <x v="5"/>
    <x v="0"/>
    <x v="309"/>
    <x v="7"/>
    <x v="3"/>
    <x v="2"/>
    <x v="4"/>
    <x v="5"/>
    <x v="1"/>
    <x v="2"/>
    <x v="42"/>
    <x v="2"/>
    <x v="1"/>
    <x v="2"/>
    <x v="6"/>
    <x v="284"/>
    <x v="2"/>
    <x v="9"/>
  </r>
  <r>
    <x v="405"/>
    <x v="8"/>
    <x v="9"/>
    <x v="316"/>
    <x v="17"/>
    <x v="4"/>
    <x v="1"/>
    <x v="384"/>
    <x v="6"/>
    <x v="3"/>
    <x v="2"/>
    <x v="4"/>
    <x v="2"/>
    <x v="1"/>
    <x v="4"/>
    <x v="11"/>
    <x v="4"/>
    <x v="4"/>
    <x v="0"/>
    <x v="5"/>
    <x v="0"/>
    <x v="0"/>
    <x v="4"/>
  </r>
  <r>
    <x v="406"/>
    <x v="1"/>
    <x v="9"/>
    <x v="279"/>
    <x v="55"/>
    <x v="6"/>
    <x v="0"/>
    <x v="251"/>
    <x v="3"/>
    <x v="2"/>
    <x v="2"/>
    <x v="4"/>
    <x v="18"/>
    <x v="1"/>
    <x v="2"/>
    <x v="90"/>
    <x v="1"/>
    <x v="3"/>
    <x v="2"/>
    <x v="9"/>
    <x v="223"/>
    <x v="2"/>
    <x v="0"/>
  </r>
  <r>
    <x v="407"/>
    <x v="2"/>
    <x v="2"/>
    <x v="255"/>
    <x v="0"/>
    <x v="7"/>
    <x v="1"/>
    <x v="363"/>
    <x v="5"/>
    <x v="0"/>
    <x v="0"/>
    <x v="1"/>
    <x v="13"/>
    <x v="4"/>
    <x v="1"/>
    <x v="189"/>
    <x v="3"/>
    <x v="0"/>
    <x v="2"/>
    <x v="10"/>
    <x v="400"/>
    <x v="1"/>
    <x v="11"/>
  </r>
  <r>
    <x v="408"/>
    <x v="7"/>
    <x v="8"/>
    <x v="115"/>
    <x v="177"/>
    <x v="3"/>
    <x v="0"/>
    <x v="39"/>
    <x v="3"/>
    <x v="2"/>
    <x v="2"/>
    <x v="10"/>
    <x v="14"/>
    <x v="0"/>
    <x v="4"/>
    <x v="47"/>
    <x v="4"/>
    <x v="4"/>
    <x v="4"/>
    <x v="4"/>
    <x v="425"/>
    <x v="2"/>
    <x v="16"/>
  </r>
  <r>
    <x v="409"/>
    <x v="1"/>
    <x v="4"/>
    <x v="110"/>
    <x v="234"/>
    <x v="6"/>
    <x v="0"/>
    <x v="396"/>
    <x v="3"/>
    <x v="2"/>
    <x v="1"/>
    <x v="6"/>
    <x v="16"/>
    <x v="6"/>
    <x v="3"/>
    <x v="261"/>
    <x v="2"/>
    <x v="4"/>
    <x v="0"/>
    <x v="9"/>
    <x v="56"/>
    <x v="0"/>
    <x v="13"/>
  </r>
  <r>
    <x v="410"/>
    <x v="5"/>
    <x v="8"/>
    <x v="161"/>
    <x v="246"/>
    <x v="8"/>
    <x v="0"/>
    <x v="257"/>
    <x v="1"/>
    <x v="2"/>
    <x v="2"/>
    <x v="10"/>
    <x v="20"/>
    <x v="0"/>
    <x v="3"/>
    <x v="59"/>
    <x v="0"/>
    <x v="3"/>
    <x v="0"/>
    <x v="11"/>
    <x v="33"/>
    <x v="0"/>
    <x v="1"/>
  </r>
  <r>
    <x v="411"/>
    <x v="3"/>
    <x v="0"/>
    <x v="91"/>
    <x v="141"/>
    <x v="1"/>
    <x v="0"/>
    <x v="213"/>
    <x v="0"/>
    <x v="3"/>
    <x v="0"/>
    <x v="2"/>
    <x v="1"/>
    <x v="9"/>
    <x v="3"/>
    <x v="259"/>
    <x v="1"/>
    <x v="4"/>
    <x v="2"/>
    <x v="2"/>
    <x v="253"/>
    <x v="0"/>
    <x v="3"/>
  </r>
  <r>
    <x v="412"/>
    <x v="1"/>
    <x v="7"/>
    <x v="150"/>
    <x v="205"/>
    <x v="6"/>
    <x v="0"/>
    <x v="404"/>
    <x v="0"/>
    <x v="3"/>
    <x v="2"/>
    <x v="9"/>
    <x v="15"/>
    <x v="2"/>
    <x v="1"/>
    <x v="96"/>
    <x v="3"/>
    <x v="3"/>
    <x v="0"/>
    <x v="9"/>
    <x v="32"/>
    <x v="1"/>
    <x v="0"/>
  </r>
  <r>
    <x v="413"/>
    <x v="6"/>
    <x v="1"/>
    <x v="283"/>
    <x v="15"/>
    <x v="2"/>
    <x v="1"/>
    <x v="147"/>
    <x v="6"/>
    <x v="3"/>
    <x v="0"/>
    <x v="8"/>
    <x v="15"/>
    <x v="3"/>
    <x v="0"/>
    <x v="168"/>
    <x v="4"/>
    <x v="3"/>
    <x v="2"/>
    <x v="3"/>
    <x v="128"/>
    <x v="1"/>
    <x v="14"/>
  </r>
  <r>
    <x v="414"/>
    <x v="4"/>
    <x v="3"/>
    <x v="47"/>
    <x v="86"/>
    <x v="9"/>
    <x v="1"/>
    <x v="335"/>
    <x v="5"/>
    <x v="0"/>
    <x v="0"/>
    <x v="7"/>
    <x v="13"/>
    <x v="8"/>
    <x v="2"/>
    <x v="305"/>
    <x v="0"/>
    <x v="1"/>
    <x v="1"/>
    <x v="13"/>
    <x v="439"/>
    <x v="0"/>
    <x v="12"/>
  </r>
  <r>
    <x v="415"/>
    <x v="6"/>
    <x v="3"/>
    <x v="179"/>
    <x v="305"/>
    <x v="2"/>
    <x v="1"/>
    <x v="406"/>
    <x v="3"/>
    <x v="2"/>
    <x v="0"/>
    <x v="7"/>
    <x v="12"/>
    <x v="8"/>
    <x v="4"/>
    <x v="294"/>
    <x v="1"/>
    <x v="1"/>
    <x v="5"/>
    <x v="3"/>
    <x v="485"/>
    <x v="1"/>
    <x v="15"/>
  </r>
  <r>
    <x v="416"/>
    <x v="6"/>
    <x v="9"/>
    <x v="259"/>
    <x v="302"/>
    <x v="2"/>
    <x v="1"/>
    <x v="194"/>
    <x v="6"/>
    <x v="3"/>
    <x v="2"/>
    <x v="4"/>
    <x v="10"/>
    <x v="1"/>
    <x v="0"/>
    <x v="70"/>
    <x v="4"/>
    <x v="0"/>
    <x v="2"/>
    <x v="3"/>
    <x v="422"/>
    <x v="0"/>
    <x v="2"/>
  </r>
  <r>
    <x v="417"/>
    <x v="2"/>
    <x v="2"/>
    <x v="284"/>
    <x v="89"/>
    <x v="7"/>
    <x v="1"/>
    <x v="184"/>
    <x v="6"/>
    <x v="3"/>
    <x v="0"/>
    <x v="1"/>
    <x v="20"/>
    <x v="4"/>
    <x v="4"/>
    <x v="204"/>
    <x v="4"/>
    <x v="3"/>
    <x v="0"/>
    <x v="10"/>
    <x v="58"/>
    <x v="0"/>
    <x v="3"/>
  </r>
  <r>
    <x v="418"/>
    <x v="8"/>
    <x v="2"/>
    <x v="202"/>
    <x v="274"/>
    <x v="4"/>
    <x v="1"/>
    <x v="400"/>
    <x v="7"/>
    <x v="3"/>
    <x v="0"/>
    <x v="1"/>
    <x v="8"/>
    <x v="4"/>
    <x v="2"/>
    <x v="153"/>
    <x v="3"/>
    <x v="3"/>
    <x v="0"/>
    <x v="5"/>
    <x v="341"/>
    <x v="1"/>
    <x v="8"/>
  </r>
  <r>
    <x v="419"/>
    <x v="2"/>
    <x v="2"/>
    <x v="187"/>
    <x v="211"/>
    <x v="7"/>
    <x v="1"/>
    <x v="465"/>
    <x v="4"/>
    <x v="1"/>
    <x v="0"/>
    <x v="1"/>
    <x v="8"/>
    <x v="4"/>
    <x v="2"/>
    <x v="153"/>
    <x v="4"/>
    <x v="0"/>
    <x v="4"/>
    <x v="10"/>
    <x v="396"/>
    <x v="0"/>
    <x v="4"/>
  </r>
  <r>
    <x v="420"/>
    <x v="0"/>
    <x v="5"/>
    <x v="312"/>
    <x v="322"/>
    <x v="0"/>
    <x v="1"/>
    <x v="442"/>
    <x v="4"/>
    <x v="1"/>
    <x v="1"/>
    <x v="0"/>
    <x v="9"/>
    <x v="5"/>
    <x v="4"/>
    <x v="193"/>
    <x v="0"/>
    <x v="3"/>
    <x v="2"/>
    <x v="0"/>
    <x v="109"/>
    <x v="1"/>
    <x v="11"/>
  </r>
  <r>
    <x v="421"/>
    <x v="2"/>
    <x v="8"/>
    <x v="119"/>
    <x v="159"/>
    <x v="7"/>
    <x v="1"/>
    <x v="380"/>
    <x v="5"/>
    <x v="0"/>
    <x v="2"/>
    <x v="10"/>
    <x v="8"/>
    <x v="0"/>
    <x v="4"/>
    <x v="25"/>
    <x v="3"/>
    <x v="1"/>
    <x v="5"/>
    <x v="10"/>
    <x v="151"/>
    <x v="0"/>
    <x v="0"/>
  </r>
  <r>
    <x v="422"/>
    <x v="4"/>
    <x v="0"/>
    <x v="131"/>
    <x v="227"/>
    <x v="9"/>
    <x v="1"/>
    <x v="368"/>
    <x v="7"/>
    <x v="3"/>
    <x v="0"/>
    <x v="2"/>
    <x v="5"/>
    <x v="9"/>
    <x v="0"/>
    <x v="323"/>
    <x v="0"/>
    <x v="0"/>
    <x v="2"/>
    <x v="13"/>
    <x v="199"/>
    <x v="1"/>
    <x v="12"/>
  </r>
  <r>
    <x v="423"/>
    <x v="1"/>
    <x v="2"/>
    <x v="151"/>
    <x v="186"/>
    <x v="6"/>
    <x v="0"/>
    <x v="253"/>
    <x v="6"/>
    <x v="3"/>
    <x v="0"/>
    <x v="1"/>
    <x v="13"/>
    <x v="4"/>
    <x v="1"/>
    <x v="189"/>
    <x v="1"/>
    <x v="0"/>
    <x v="5"/>
    <x v="9"/>
    <x v="205"/>
    <x v="0"/>
    <x v="14"/>
  </r>
  <r>
    <x v="424"/>
    <x v="6"/>
    <x v="6"/>
    <x v="266"/>
    <x v="321"/>
    <x v="2"/>
    <x v="1"/>
    <x v="217"/>
    <x v="4"/>
    <x v="1"/>
    <x v="1"/>
    <x v="5"/>
    <x v="13"/>
    <x v="7"/>
    <x v="4"/>
    <x v="285"/>
    <x v="4"/>
    <x v="1"/>
    <x v="4"/>
    <x v="3"/>
    <x v="359"/>
    <x v="2"/>
    <x v="10"/>
  </r>
  <r>
    <x v="425"/>
    <x v="8"/>
    <x v="7"/>
    <x v="34"/>
    <x v="150"/>
    <x v="4"/>
    <x v="1"/>
    <x v="256"/>
    <x v="7"/>
    <x v="3"/>
    <x v="2"/>
    <x v="9"/>
    <x v="14"/>
    <x v="2"/>
    <x v="2"/>
    <x v="91"/>
    <x v="0"/>
    <x v="1"/>
    <x v="0"/>
    <x v="5"/>
    <x v="171"/>
    <x v="0"/>
    <x v="1"/>
  </r>
  <r>
    <x v="426"/>
    <x v="5"/>
    <x v="5"/>
    <x v="297"/>
    <x v="304"/>
    <x v="8"/>
    <x v="0"/>
    <x v="285"/>
    <x v="1"/>
    <x v="2"/>
    <x v="1"/>
    <x v="0"/>
    <x v="15"/>
    <x v="5"/>
    <x v="0"/>
    <x v="232"/>
    <x v="0"/>
    <x v="1"/>
    <x v="0"/>
    <x v="11"/>
    <x v="230"/>
    <x v="1"/>
    <x v="3"/>
  </r>
  <r>
    <x v="427"/>
    <x v="6"/>
    <x v="7"/>
    <x v="288"/>
    <x v="307"/>
    <x v="2"/>
    <x v="1"/>
    <x v="252"/>
    <x v="4"/>
    <x v="1"/>
    <x v="2"/>
    <x v="9"/>
    <x v="19"/>
    <x v="2"/>
    <x v="4"/>
    <x v="98"/>
    <x v="2"/>
    <x v="1"/>
    <x v="1"/>
    <x v="3"/>
    <x v="410"/>
    <x v="2"/>
    <x v="7"/>
  </r>
  <r>
    <x v="428"/>
    <x v="9"/>
    <x v="9"/>
    <x v="128"/>
    <x v="242"/>
    <x v="5"/>
    <x v="0"/>
    <x v="464"/>
    <x v="4"/>
    <x v="1"/>
    <x v="2"/>
    <x v="4"/>
    <x v="13"/>
    <x v="1"/>
    <x v="3"/>
    <x v="72"/>
    <x v="1"/>
    <x v="1"/>
    <x v="4"/>
    <x v="6"/>
    <x v="399"/>
    <x v="1"/>
    <x v="9"/>
  </r>
  <r>
    <x v="429"/>
    <x v="5"/>
    <x v="3"/>
    <x v="142"/>
    <x v="245"/>
    <x v="8"/>
    <x v="0"/>
    <x v="81"/>
    <x v="6"/>
    <x v="3"/>
    <x v="0"/>
    <x v="7"/>
    <x v="7"/>
    <x v="8"/>
    <x v="1"/>
    <x v="281"/>
    <x v="3"/>
    <x v="0"/>
    <x v="1"/>
    <x v="11"/>
    <x v="470"/>
    <x v="0"/>
    <x v="12"/>
  </r>
  <r>
    <x v="430"/>
    <x v="0"/>
    <x v="8"/>
    <x v="103"/>
    <x v="329"/>
    <x v="0"/>
    <x v="1"/>
    <x v="425"/>
    <x v="5"/>
    <x v="0"/>
    <x v="2"/>
    <x v="10"/>
    <x v="8"/>
    <x v="0"/>
    <x v="0"/>
    <x v="33"/>
    <x v="3"/>
    <x v="0"/>
    <x v="0"/>
    <x v="0"/>
    <x v="312"/>
    <x v="2"/>
    <x v="16"/>
  </r>
  <r>
    <x v="431"/>
    <x v="7"/>
    <x v="4"/>
    <x v="2"/>
    <x v="55"/>
    <x v="3"/>
    <x v="0"/>
    <x v="293"/>
    <x v="5"/>
    <x v="0"/>
    <x v="1"/>
    <x v="6"/>
    <x v="16"/>
    <x v="6"/>
    <x v="1"/>
    <x v="265"/>
    <x v="0"/>
    <x v="0"/>
    <x v="0"/>
    <x v="4"/>
    <x v="496"/>
    <x v="0"/>
    <x v="1"/>
  </r>
  <r>
    <x v="432"/>
    <x v="0"/>
    <x v="6"/>
    <x v="226"/>
    <x v="33"/>
    <x v="0"/>
    <x v="1"/>
    <x v="476"/>
    <x v="6"/>
    <x v="3"/>
    <x v="1"/>
    <x v="5"/>
    <x v="12"/>
    <x v="7"/>
    <x v="2"/>
    <x v="287"/>
    <x v="2"/>
    <x v="0"/>
    <x v="5"/>
    <x v="0"/>
    <x v="74"/>
    <x v="1"/>
    <x v="1"/>
  </r>
  <r>
    <x v="433"/>
    <x v="7"/>
    <x v="7"/>
    <x v="186"/>
    <x v="209"/>
    <x v="3"/>
    <x v="0"/>
    <x v="431"/>
    <x v="0"/>
    <x v="3"/>
    <x v="2"/>
    <x v="9"/>
    <x v="1"/>
    <x v="2"/>
    <x v="4"/>
    <x v="6"/>
    <x v="1"/>
    <x v="0"/>
    <x v="1"/>
    <x v="4"/>
    <x v="412"/>
    <x v="1"/>
    <x v="3"/>
  </r>
  <r>
    <x v="434"/>
    <x v="2"/>
    <x v="7"/>
    <x v="65"/>
    <x v="116"/>
    <x v="7"/>
    <x v="1"/>
    <x v="444"/>
    <x v="3"/>
    <x v="2"/>
    <x v="2"/>
    <x v="9"/>
    <x v="3"/>
    <x v="2"/>
    <x v="3"/>
    <x v="32"/>
    <x v="3"/>
    <x v="0"/>
    <x v="5"/>
    <x v="10"/>
    <x v="491"/>
    <x v="1"/>
    <x v="10"/>
  </r>
  <r>
    <x v="435"/>
    <x v="1"/>
    <x v="1"/>
    <x v="207"/>
    <x v="257"/>
    <x v="6"/>
    <x v="0"/>
    <x v="41"/>
    <x v="5"/>
    <x v="0"/>
    <x v="0"/>
    <x v="8"/>
    <x v="10"/>
    <x v="3"/>
    <x v="3"/>
    <x v="136"/>
    <x v="2"/>
    <x v="3"/>
    <x v="5"/>
    <x v="9"/>
    <x v="116"/>
    <x v="2"/>
    <x v="2"/>
  </r>
  <r>
    <x v="436"/>
    <x v="6"/>
    <x v="8"/>
    <x v="235"/>
    <x v="263"/>
    <x v="2"/>
    <x v="1"/>
    <x v="229"/>
    <x v="0"/>
    <x v="3"/>
    <x v="2"/>
    <x v="10"/>
    <x v="2"/>
    <x v="0"/>
    <x v="2"/>
    <x v="4"/>
    <x v="1"/>
    <x v="4"/>
    <x v="0"/>
    <x v="3"/>
    <x v="390"/>
    <x v="1"/>
    <x v="9"/>
  </r>
  <r>
    <x v="437"/>
    <x v="6"/>
    <x v="8"/>
    <x v="325"/>
    <x v="43"/>
    <x v="2"/>
    <x v="1"/>
    <x v="462"/>
    <x v="2"/>
    <x v="1"/>
    <x v="2"/>
    <x v="10"/>
    <x v="14"/>
    <x v="0"/>
    <x v="4"/>
    <x v="47"/>
    <x v="4"/>
    <x v="1"/>
    <x v="1"/>
    <x v="3"/>
    <x v="431"/>
    <x v="2"/>
    <x v="11"/>
  </r>
  <r>
    <x v="438"/>
    <x v="0"/>
    <x v="4"/>
    <x v="221"/>
    <x v="260"/>
    <x v="0"/>
    <x v="1"/>
    <x v="439"/>
    <x v="0"/>
    <x v="3"/>
    <x v="1"/>
    <x v="6"/>
    <x v="4"/>
    <x v="6"/>
    <x v="0"/>
    <x v="187"/>
    <x v="1"/>
    <x v="4"/>
    <x v="5"/>
    <x v="0"/>
    <x v="348"/>
    <x v="0"/>
    <x v="5"/>
  </r>
  <r>
    <x v="439"/>
    <x v="6"/>
    <x v="4"/>
    <x v="40"/>
    <x v="49"/>
    <x v="2"/>
    <x v="1"/>
    <x v="165"/>
    <x v="4"/>
    <x v="1"/>
    <x v="1"/>
    <x v="6"/>
    <x v="9"/>
    <x v="6"/>
    <x v="1"/>
    <x v="227"/>
    <x v="2"/>
    <x v="0"/>
    <x v="0"/>
    <x v="3"/>
    <x v="381"/>
    <x v="1"/>
    <x v="5"/>
  </r>
  <r>
    <x v="440"/>
    <x v="2"/>
    <x v="7"/>
    <x v="316"/>
    <x v="26"/>
    <x v="7"/>
    <x v="1"/>
    <x v="487"/>
    <x v="6"/>
    <x v="3"/>
    <x v="2"/>
    <x v="9"/>
    <x v="9"/>
    <x v="2"/>
    <x v="0"/>
    <x v="75"/>
    <x v="2"/>
    <x v="4"/>
    <x v="5"/>
    <x v="10"/>
    <x v="113"/>
    <x v="2"/>
    <x v="4"/>
  </r>
  <r>
    <x v="441"/>
    <x v="3"/>
    <x v="2"/>
    <x v="15"/>
    <x v="24"/>
    <x v="1"/>
    <x v="0"/>
    <x v="254"/>
    <x v="0"/>
    <x v="3"/>
    <x v="0"/>
    <x v="1"/>
    <x v="4"/>
    <x v="4"/>
    <x v="0"/>
    <x v="131"/>
    <x v="0"/>
    <x v="3"/>
    <x v="0"/>
    <x v="2"/>
    <x v="395"/>
    <x v="1"/>
    <x v="4"/>
  </r>
  <r>
    <x v="442"/>
    <x v="9"/>
    <x v="0"/>
    <x v="23"/>
    <x v="130"/>
    <x v="5"/>
    <x v="0"/>
    <x v="158"/>
    <x v="3"/>
    <x v="2"/>
    <x v="0"/>
    <x v="2"/>
    <x v="10"/>
    <x v="9"/>
    <x v="1"/>
    <x v="329"/>
    <x v="4"/>
    <x v="4"/>
    <x v="2"/>
    <x v="6"/>
    <x v="370"/>
    <x v="1"/>
    <x v="1"/>
  </r>
  <r>
    <x v="443"/>
    <x v="4"/>
    <x v="9"/>
    <x v="307"/>
    <x v="60"/>
    <x v="9"/>
    <x v="1"/>
    <x v="454"/>
    <x v="3"/>
    <x v="2"/>
    <x v="2"/>
    <x v="4"/>
    <x v="20"/>
    <x v="1"/>
    <x v="3"/>
    <x v="92"/>
    <x v="1"/>
    <x v="0"/>
    <x v="5"/>
    <x v="13"/>
    <x v="404"/>
    <x v="0"/>
    <x v="5"/>
  </r>
  <r>
    <x v="444"/>
    <x v="7"/>
    <x v="8"/>
    <x v="121"/>
    <x v="228"/>
    <x v="3"/>
    <x v="0"/>
    <x v="456"/>
    <x v="6"/>
    <x v="3"/>
    <x v="2"/>
    <x v="10"/>
    <x v="9"/>
    <x v="0"/>
    <x v="4"/>
    <x v="30"/>
    <x v="2"/>
    <x v="0"/>
    <x v="0"/>
    <x v="4"/>
    <x v="118"/>
    <x v="1"/>
    <x v="13"/>
  </r>
  <r>
    <x v="445"/>
    <x v="7"/>
    <x v="0"/>
    <x v="24"/>
    <x v="140"/>
    <x v="3"/>
    <x v="0"/>
    <x v="193"/>
    <x v="7"/>
    <x v="3"/>
    <x v="0"/>
    <x v="2"/>
    <x v="8"/>
    <x v="9"/>
    <x v="0"/>
    <x v="327"/>
    <x v="3"/>
    <x v="1"/>
    <x v="2"/>
    <x v="4"/>
    <x v="186"/>
    <x v="1"/>
    <x v="2"/>
  </r>
  <r>
    <x v="446"/>
    <x v="0"/>
    <x v="2"/>
    <x v="251"/>
    <x v="295"/>
    <x v="0"/>
    <x v="1"/>
    <x v="175"/>
    <x v="0"/>
    <x v="3"/>
    <x v="0"/>
    <x v="1"/>
    <x v="4"/>
    <x v="4"/>
    <x v="2"/>
    <x v="128"/>
    <x v="3"/>
    <x v="4"/>
    <x v="5"/>
    <x v="0"/>
    <x v="436"/>
    <x v="0"/>
    <x v="15"/>
  </r>
  <r>
    <x v="447"/>
    <x v="0"/>
    <x v="6"/>
    <x v="28"/>
    <x v="133"/>
    <x v="0"/>
    <x v="1"/>
    <x v="344"/>
    <x v="5"/>
    <x v="0"/>
    <x v="1"/>
    <x v="5"/>
    <x v="14"/>
    <x v="7"/>
    <x v="2"/>
    <x v="290"/>
    <x v="3"/>
    <x v="1"/>
    <x v="5"/>
    <x v="0"/>
    <x v="61"/>
    <x v="1"/>
    <x v="16"/>
  </r>
  <r>
    <x v="448"/>
    <x v="8"/>
    <x v="9"/>
    <x v="316"/>
    <x v="70"/>
    <x v="4"/>
    <x v="1"/>
    <x v="172"/>
    <x v="3"/>
    <x v="2"/>
    <x v="2"/>
    <x v="4"/>
    <x v="1"/>
    <x v="1"/>
    <x v="0"/>
    <x v="5"/>
    <x v="2"/>
    <x v="4"/>
    <x v="1"/>
    <x v="5"/>
    <x v="37"/>
    <x v="0"/>
    <x v="4"/>
  </r>
  <r>
    <x v="449"/>
    <x v="8"/>
    <x v="0"/>
    <x v="174"/>
    <x v="291"/>
    <x v="4"/>
    <x v="1"/>
    <x v="123"/>
    <x v="2"/>
    <x v="1"/>
    <x v="0"/>
    <x v="2"/>
    <x v="16"/>
    <x v="9"/>
    <x v="3"/>
    <x v="336"/>
    <x v="0"/>
    <x v="0"/>
    <x v="1"/>
    <x v="5"/>
    <x v="299"/>
    <x v="0"/>
    <x v="1"/>
  </r>
  <r>
    <x v="450"/>
    <x v="9"/>
    <x v="1"/>
    <x v="228"/>
    <x v="303"/>
    <x v="5"/>
    <x v="0"/>
    <x v="11"/>
    <x v="0"/>
    <x v="3"/>
    <x v="0"/>
    <x v="8"/>
    <x v="8"/>
    <x v="3"/>
    <x v="0"/>
    <x v="135"/>
    <x v="2"/>
    <x v="1"/>
    <x v="4"/>
    <x v="6"/>
    <x v="241"/>
    <x v="1"/>
    <x v="14"/>
  </r>
  <r>
    <x v="451"/>
    <x v="5"/>
    <x v="2"/>
    <x v="14"/>
    <x v="132"/>
    <x v="8"/>
    <x v="0"/>
    <x v="176"/>
    <x v="0"/>
    <x v="3"/>
    <x v="0"/>
    <x v="1"/>
    <x v="3"/>
    <x v="4"/>
    <x v="0"/>
    <x v="121"/>
    <x v="0"/>
    <x v="0"/>
    <x v="4"/>
    <x v="11"/>
    <x v="373"/>
    <x v="0"/>
    <x v="15"/>
  </r>
  <r>
    <x v="452"/>
    <x v="8"/>
    <x v="4"/>
    <x v="183"/>
    <x v="265"/>
    <x v="4"/>
    <x v="1"/>
    <x v="455"/>
    <x v="5"/>
    <x v="0"/>
    <x v="1"/>
    <x v="6"/>
    <x v="7"/>
    <x v="6"/>
    <x v="3"/>
    <x v="210"/>
    <x v="3"/>
    <x v="0"/>
    <x v="0"/>
    <x v="5"/>
    <x v="488"/>
    <x v="2"/>
    <x v="1"/>
  </r>
  <r>
    <x v="453"/>
    <x v="9"/>
    <x v="0"/>
    <x v="304"/>
    <x v="35"/>
    <x v="5"/>
    <x v="0"/>
    <x v="477"/>
    <x v="7"/>
    <x v="3"/>
    <x v="0"/>
    <x v="2"/>
    <x v="9"/>
    <x v="9"/>
    <x v="3"/>
    <x v="326"/>
    <x v="2"/>
    <x v="4"/>
    <x v="5"/>
    <x v="6"/>
    <x v="443"/>
    <x v="0"/>
    <x v="14"/>
  </r>
  <r>
    <x v="454"/>
    <x v="0"/>
    <x v="3"/>
    <x v="11"/>
    <x v="21"/>
    <x v="0"/>
    <x v="1"/>
    <x v="89"/>
    <x v="1"/>
    <x v="2"/>
    <x v="0"/>
    <x v="7"/>
    <x v="12"/>
    <x v="8"/>
    <x v="0"/>
    <x v="307"/>
    <x v="2"/>
    <x v="0"/>
    <x v="1"/>
    <x v="0"/>
    <x v="276"/>
    <x v="0"/>
    <x v="11"/>
  </r>
  <r>
    <x v="455"/>
    <x v="1"/>
    <x v="7"/>
    <x v="38"/>
    <x v="111"/>
    <x v="6"/>
    <x v="0"/>
    <x v="23"/>
    <x v="0"/>
    <x v="3"/>
    <x v="2"/>
    <x v="9"/>
    <x v="7"/>
    <x v="2"/>
    <x v="2"/>
    <x v="63"/>
    <x v="3"/>
    <x v="1"/>
    <x v="4"/>
    <x v="9"/>
    <x v="189"/>
    <x v="0"/>
    <x v="4"/>
  </r>
  <r>
    <x v="456"/>
    <x v="4"/>
    <x v="5"/>
    <x v="244"/>
    <x v="327"/>
    <x v="9"/>
    <x v="1"/>
    <x v="162"/>
    <x v="6"/>
    <x v="3"/>
    <x v="1"/>
    <x v="0"/>
    <x v="17"/>
    <x v="5"/>
    <x v="3"/>
    <x v="230"/>
    <x v="2"/>
    <x v="4"/>
    <x v="1"/>
    <x v="13"/>
    <x v="99"/>
    <x v="2"/>
    <x v="7"/>
  </r>
  <r>
    <x v="457"/>
    <x v="0"/>
    <x v="1"/>
    <x v="290"/>
    <x v="63"/>
    <x v="0"/>
    <x v="1"/>
    <x v="124"/>
    <x v="1"/>
    <x v="2"/>
    <x v="0"/>
    <x v="8"/>
    <x v="17"/>
    <x v="3"/>
    <x v="2"/>
    <x v="170"/>
    <x v="1"/>
    <x v="1"/>
    <x v="0"/>
    <x v="0"/>
    <x v="140"/>
    <x v="2"/>
    <x v="10"/>
  </r>
  <r>
    <x v="458"/>
    <x v="0"/>
    <x v="0"/>
    <x v="306"/>
    <x v="6"/>
    <x v="0"/>
    <x v="1"/>
    <x v="282"/>
    <x v="2"/>
    <x v="1"/>
    <x v="0"/>
    <x v="2"/>
    <x v="19"/>
    <x v="9"/>
    <x v="4"/>
    <x v="339"/>
    <x v="4"/>
    <x v="3"/>
    <x v="0"/>
    <x v="0"/>
    <x v="86"/>
    <x v="1"/>
    <x v="4"/>
  </r>
  <r>
    <x v="459"/>
    <x v="2"/>
    <x v="7"/>
    <x v="127"/>
    <x v="202"/>
    <x v="7"/>
    <x v="1"/>
    <x v="38"/>
    <x v="2"/>
    <x v="1"/>
    <x v="2"/>
    <x v="9"/>
    <x v="1"/>
    <x v="2"/>
    <x v="2"/>
    <x v="8"/>
    <x v="3"/>
    <x v="3"/>
    <x v="3"/>
    <x v="10"/>
    <x v="202"/>
    <x v="0"/>
    <x v="8"/>
  </r>
  <r>
    <x v="460"/>
    <x v="8"/>
    <x v="4"/>
    <x v="36"/>
    <x v="108"/>
    <x v="4"/>
    <x v="1"/>
    <x v="386"/>
    <x v="3"/>
    <x v="2"/>
    <x v="1"/>
    <x v="6"/>
    <x v="16"/>
    <x v="6"/>
    <x v="0"/>
    <x v="269"/>
    <x v="3"/>
    <x v="3"/>
    <x v="5"/>
    <x v="5"/>
    <x v="454"/>
    <x v="2"/>
    <x v="14"/>
  </r>
  <r>
    <x v="461"/>
    <x v="2"/>
    <x v="8"/>
    <x v="247"/>
    <x v="44"/>
    <x v="7"/>
    <x v="1"/>
    <x v="221"/>
    <x v="7"/>
    <x v="3"/>
    <x v="2"/>
    <x v="10"/>
    <x v="14"/>
    <x v="0"/>
    <x v="2"/>
    <x v="51"/>
    <x v="0"/>
    <x v="3"/>
    <x v="0"/>
    <x v="10"/>
    <x v="164"/>
    <x v="2"/>
    <x v="0"/>
  </r>
  <r>
    <x v="462"/>
    <x v="8"/>
    <x v="5"/>
    <x v="141"/>
    <x v="148"/>
    <x v="4"/>
    <x v="1"/>
    <x v="366"/>
    <x v="1"/>
    <x v="2"/>
    <x v="1"/>
    <x v="0"/>
    <x v="11"/>
    <x v="5"/>
    <x v="3"/>
    <x v="209"/>
    <x v="3"/>
    <x v="3"/>
    <x v="4"/>
    <x v="5"/>
    <x v="471"/>
    <x v="0"/>
    <x v="11"/>
  </r>
  <r>
    <x v="463"/>
    <x v="6"/>
    <x v="0"/>
    <x v="7"/>
    <x v="91"/>
    <x v="2"/>
    <x v="1"/>
    <x v="324"/>
    <x v="4"/>
    <x v="1"/>
    <x v="0"/>
    <x v="2"/>
    <x v="2"/>
    <x v="9"/>
    <x v="0"/>
    <x v="291"/>
    <x v="3"/>
    <x v="3"/>
    <x v="4"/>
    <x v="3"/>
    <x v="409"/>
    <x v="0"/>
    <x v="7"/>
  </r>
  <r>
    <x v="464"/>
    <x v="9"/>
    <x v="5"/>
    <x v="1"/>
    <x v="64"/>
    <x v="5"/>
    <x v="0"/>
    <x v="131"/>
    <x v="7"/>
    <x v="3"/>
    <x v="1"/>
    <x v="0"/>
    <x v="7"/>
    <x v="5"/>
    <x v="1"/>
    <x v="188"/>
    <x v="3"/>
    <x v="0"/>
    <x v="2"/>
    <x v="6"/>
    <x v="427"/>
    <x v="0"/>
    <x v="0"/>
  </r>
  <r>
    <x v="465"/>
    <x v="7"/>
    <x v="9"/>
    <x v="79"/>
    <x v="124"/>
    <x v="3"/>
    <x v="0"/>
    <x v="447"/>
    <x v="0"/>
    <x v="3"/>
    <x v="2"/>
    <x v="4"/>
    <x v="11"/>
    <x v="1"/>
    <x v="3"/>
    <x v="68"/>
    <x v="3"/>
    <x v="0"/>
    <x v="0"/>
    <x v="4"/>
    <x v="244"/>
    <x v="2"/>
    <x v="3"/>
  </r>
  <r>
    <x v="466"/>
    <x v="1"/>
    <x v="7"/>
    <x v="208"/>
    <x v="313"/>
    <x v="6"/>
    <x v="0"/>
    <x v="359"/>
    <x v="6"/>
    <x v="3"/>
    <x v="2"/>
    <x v="9"/>
    <x v="16"/>
    <x v="2"/>
    <x v="1"/>
    <x v="98"/>
    <x v="1"/>
    <x v="1"/>
    <x v="2"/>
    <x v="9"/>
    <x v="123"/>
    <x v="0"/>
    <x v="3"/>
  </r>
  <r>
    <x v="467"/>
    <x v="0"/>
    <x v="0"/>
    <x v="19"/>
    <x v="41"/>
    <x v="0"/>
    <x v="1"/>
    <x v="311"/>
    <x v="7"/>
    <x v="3"/>
    <x v="0"/>
    <x v="2"/>
    <x v="18"/>
    <x v="9"/>
    <x v="0"/>
    <x v="341"/>
    <x v="4"/>
    <x v="3"/>
    <x v="4"/>
    <x v="0"/>
    <x v="133"/>
    <x v="2"/>
    <x v="10"/>
  </r>
  <r>
    <x v="468"/>
    <x v="7"/>
    <x v="2"/>
    <x v="190"/>
    <x v="233"/>
    <x v="3"/>
    <x v="0"/>
    <x v="388"/>
    <x v="1"/>
    <x v="2"/>
    <x v="0"/>
    <x v="1"/>
    <x v="17"/>
    <x v="4"/>
    <x v="1"/>
    <x v="205"/>
    <x v="0"/>
    <x v="3"/>
    <x v="5"/>
    <x v="4"/>
    <x v="339"/>
    <x v="2"/>
    <x v="9"/>
  </r>
  <r>
    <x v="469"/>
    <x v="9"/>
    <x v="0"/>
    <x v="284"/>
    <x v="48"/>
    <x v="5"/>
    <x v="0"/>
    <x v="15"/>
    <x v="7"/>
    <x v="3"/>
    <x v="0"/>
    <x v="2"/>
    <x v="11"/>
    <x v="9"/>
    <x v="0"/>
    <x v="332"/>
    <x v="1"/>
    <x v="1"/>
    <x v="0"/>
    <x v="6"/>
    <x v="250"/>
    <x v="2"/>
    <x v="3"/>
  </r>
  <r>
    <x v="470"/>
    <x v="5"/>
    <x v="1"/>
    <x v="231"/>
    <x v="326"/>
    <x v="8"/>
    <x v="0"/>
    <x v="146"/>
    <x v="2"/>
    <x v="1"/>
    <x v="0"/>
    <x v="8"/>
    <x v="20"/>
    <x v="3"/>
    <x v="4"/>
    <x v="171"/>
    <x v="4"/>
    <x v="3"/>
    <x v="0"/>
    <x v="11"/>
    <x v="271"/>
    <x v="1"/>
    <x v="4"/>
  </r>
  <r>
    <x v="471"/>
    <x v="8"/>
    <x v="8"/>
    <x v="293"/>
    <x v="78"/>
    <x v="4"/>
    <x v="1"/>
    <x v="96"/>
    <x v="2"/>
    <x v="1"/>
    <x v="2"/>
    <x v="10"/>
    <x v="5"/>
    <x v="0"/>
    <x v="1"/>
    <x v="16"/>
    <x v="3"/>
    <x v="1"/>
    <x v="4"/>
    <x v="5"/>
    <x v="452"/>
    <x v="0"/>
    <x v="12"/>
  </r>
  <r>
    <x v="472"/>
    <x v="0"/>
    <x v="0"/>
    <x v="34"/>
    <x v="107"/>
    <x v="0"/>
    <x v="1"/>
    <x v="205"/>
    <x v="6"/>
    <x v="3"/>
    <x v="0"/>
    <x v="2"/>
    <x v="13"/>
    <x v="9"/>
    <x v="1"/>
    <x v="335"/>
    <x v="0"/>
    <x v="3"/>
    <x v="4"/>
    <x v="0"/>
    <x v="484"/>
    <x v="2"/>
    <x v="1"/>
  </r>
  <r>
    <x v="473"/>
    <x v="2"/>
    <x v="0"/>
    <x v="196"/>
    <x v="209"/>
    <x v="7"/>
    <x v="1"/>
    <x v="1"/>
    <x v="5"/>
    <x v="0"/>
    <x v="0"/>
    <x v="2"/>
    <x v="12"/>
    <x v="9"/>
    <x v="1"/>
    <x v="333"/>
    <x v="0"/>
    <x v="3"/>
    <x v="2"/>
    <x v="10"/>
    <x v="138"/>
    <x v="0"/>
    <x v="3"/>
  </r>
  <r>
    <x v="474"/>
    <x v="9"/>
    <x v="9"/>
    <x v="215"/>
    <x v="289"/>
    <x v="5"/>
    <x v="0"/>
    <x v="393"/>
    <x v="6"/>
    <x v="3"/>
    <x v="2"/>
    <x v="4"/>
    <x v="16"/>
    <x v="1"/>
    <x v="4"/>
    <x v="76"/>
    <x v="1"/>
    <x v="1"/>
    <x v="4"/>
    <x v="6"/>
    <x v="22"/>
    <x v="2"/>
    <x v="0"/>
  </r>
  <r>
    <x v="475"/>
    <x v="7"/>
    <x v="2"/>
    <x v="189"/>
    <x v="287"/>
    <x v="3"/>
    <x v="0"/>
    <x v="376"/>
    <x v="1"/>
    <x v="2"/>
    <x v="0"/>
    <x v="1"/>
    <x v="5"/>
    <x v="4"/>
    <x v="2"/>
    <x v="134"/>
    <x v="0"/>
    <x v="1"/>
    <x v="3"/>
    <x v="4"/>
    <x v="256"/>
    <x v="1"/>
    <x v="8"/>
  </r>
  <r>
    <x v="476"/>
    <x v="3"/>
    <x v="9"/>
    <x v="203"/>
    <x v="214"/>
    <x v="1"/>
    <x v="0"/>
    <x v="478"/>
    <x v="5"/>
    <x v="0"/>
    <x v="2"/>
    <x v="4"/>
    <x v="2"/>
    <x v="1"/>
    <x v="2"/>
    <x v="14"/>
    <x v="3"/>
    <x v="4"/>
    <x v="4"/>
    <x v="2"/>
    <x v="457"/>
    <x v="2"/>
    <x v="9"/>
  </r>
  <r>
    <x v="477"/>
    <x v="2"/>
    <x v="3"/>
    <x v="120"/>
    <x v="183"/>
    <x v="7"/>
    <x v="1"/>
    <x v="91"/>
    <x v="0"/>
    <x v="3"/>
    <x v="0"/>
    <x v="7"/>
    <x v="3"/>
    <x v="8"/>
    <x v="0"/>
    <x v="242"/>
    <x v="1"/>
    <x v="4"/>
    <x v="1"/>
    <x v="10"/>
    <x v="111"/>
    <x v="2"/>
    <x v="12"/>
  </r>
  <r>
    <x v="478"/>
    <x v="7"/>
    <x v="3"/>
    <x v="267"/>
    <x v="1"/>
    <x v="3"/>
    <x v="0"/>
    <x v="103"/>
    <x v="1"/>
    <x v="2"/>
    <x v="0"/>
    <x v="7"/>
    <x v="3"/>
    <x v="8"/>
    <x v="4"/>
    <x v="224"/>
    <x v="2"/>
    <x v="4"/>
    <x v="2"/>
    <x v="4"/>
    <x v="472"/>
    <x v="1"/>
    <x v="0"/>
  </r>
  <r>
    <x v="479"/>
    <x v="2"/>
    <x v="6"/>
    <x v="71"/>
    <x v="81"/>
    <x v="7"/>
    <x v="1"/>
    <x v="350"/>
    <x v="5"/>
    <x v="0"/>
    <x v="1"/>
    <x v="5"/>
    <x v="9"/>
    <x v="7"/>
    <x v="3"/>
    <x v="276"/>
    <x v="4"/>
    <x v="1"/>
    <x v="4"/>
    <x v="10"/>
    <x v="375"/>
    <x v="2"/>
    <x v="15"/>
  </r>
  <r>
    <x v="480"/>
    <x v="8"/>
    <x v="1"/>
    <x v="275"/>
    <x v="60"/>
    <x v="4"/>
    <x v="1"/>
    <x v="382"/>
    <x v="5"/>
    <x v="0"/>
    <x v="0"/>
    <x v="8"/>
    <x v="17"/>
    <x v="3"/>
    <x v="0"/>
    <x v="174"/>
    <x v="1"/>
    <x v="1"/>
    <x v="0"/>
    <x v="5"/>
    <x v="152"/>
    <x v="0"/>
    <x v="5"/>
  </r>
  <r>
    <x v="481"/>
    <x v="7"/>
    <x v="1"/>
    <x v="84"/>
    <x v="190"/>
    <x v="3"/>
    <x v="0"/>
    <x v="50"/>
    <x v="3"/>
    <x v="2"/>
    <x v="0"/>
    <x v="8"/>
    <x v="20"/>
    <x v="3"/>
    <x v="1"/>
    <x v="184"/>
    <x v="1"/>
    <x v="4"/>
    <x v="5"/>
    <x v="4"/>
    <x v="149"/>
    <x v="1"/>
    <x v="6"/>
  </r>
  <r>
    <x v="482"/>
    <x v="0"/>
    <x v="2"/>
    <x v="111"/>
    <x v="221"/>
    <x v="0"/>
    <x v="1"/>
    <x v="75"/>
    <x v="0"/>
    <x v="3"/>
    <x v="0"/>
    <x v="1"/>
    <x v="13"/>
    <x v="4"/>
    <x v="4"/>
    <x v="178"/>
    <x v="4"/>
    <x v="0"/>
    <x v="2"/>
    <x v="0"/>
    <x v="34"/>
    <x v="1"/>
    <x v="14"/>
  </r>
  <r>
    <x v="483"/>
    <x v="1"/>
    <x v="0"/>
    <x v="240"/>
    <x v="303"/>
    <x v="6"/>
    <x v="0"/>
    <x v="300"/>
    <x v="4"/>
    <x v="1"/>
    <x v="0"/>
    <x v="2"/>
    <x v="20"/>
    <x v="9"/>
    <x v="2"/>
    <x v="341"/>
    <x v="0"/>
    <x v="4"/>
    <x v="5"/>
    <x v="9"/>
    <x v="147"/>
    <x v="2"/>
    <x v="14"/>
  </r>
  <r>
    <x v="484"/>
    <x v="5"/>
    <x v="2"/>
    <x v="324"/>
    <x v="53"/>
    <x v="8"/>
    <x v="0"/>
    <x v="43"/>
    <x v="5"/>
    <x v="0"/>
    <x v="0"/>
    <x v="1"/>
    <x v="8"/>
    <x v="4"/>
    <x v="0"/>
    <x v="162"/>
    <x v="1"/>
    <x v="3"/>
    <x v="1"/>
    <x v="11"/>
    <x v="208"/>
    <x v="1"/>
    <x v="9"/>
  </r>
  <r>
    <x v="485"/>
    <x v="9"/>
    <x v="8"/>
    <x v="51"/>
    <x v="90"/>
    <x v="5"/>
    <x v="0"/>
    <x v="200"/>
    <x v="5"/>
    <x v="0"/>
    <x v="2"/>
    <x v="10"/>
    <x v="18"/>
    <x v="0"/>
    <x v="2"/>
    <x v="58"/>
    <x v="4"/>
    <x v="0"/>
    <x v="3"/>
    <x v="6"/>
    <x v="63"/>
    <x v="2"/>
    <x v="16"/>
  </r>
  <r>
    <x v="486"/>
    <x v="3"/>
    <x v="3"/>
    <x v="238"/>
    <x v="65"/>
    <x v="1"/>
    <x v="0"/>
    <x v="18"/>
    <x v="7"/>
    <x v="3"/>
    <x v="0"/>
    <x v="7"/>
    <x v="11"/>
    <x v="8"/>
    <x v="2"/>
    <x v="296"/>
    <x v="0"/>
    <x v="0"/>
    <x v="4"/>
    <x v="2"/>
    <x v="145"/>
    <x v="0"/>
    <x v="1"/>
  </r>
  <r>
    <x v="487"/>
    <x v="0"/>
    <x v="6"/>
    <x v="150"/>
    <x v="172"/>
    <x v="0"/>
    <x v="1"/>
    <x v="151"/>
    <x v="3"/>
    <x v="2"/>
    <x v="1"/>
    <x v="5"/>
    <x v="2"/>
    <x v="7"/>
    <x v="1"/>
    <x v="194"/>
    <x v="0"/>
    <x v="0"/>
    <x v="0"/>
    <x v="0"/>
    <x v="406"/>
    <x v="1"/>
    <x v="0"/>
  </r>
  <r>
    <x v="488"/>
    <x v="1"/>
    <x v="5"/>
    <x v="314"/>
    <x v="80"/>
    <x v="6"/>
    <x v="0"/>
    <x v="195"/>
    <x v="7"/>
    <x v="3"/>
    <x v="1"/>
    <x v="0"/>
    <x v="7"/>
    <x v="5"/>
    <x v="0"/>
    <x v="191"/>
    <x v="4"/>
    <x v="3"/>
    <x v="5"/>
    <x v="9"/>
    <x v="489"/>
    <x v="2"/>
    <x v="2"/>
  </r>
  <r>
    <x v="489"/>
    <x v="6"/>
    <x v="6"/>
    <x v="251"/>
    <x v="16"/>
    <x v="2"/>
    <x v="1"/>
    <x v="319"/>
    <x v="2"/>
    <x v="1"/>
    <x v="1"/>
    <x v="5"/>
    <x v="20"/>
    <x v="7"/>
    <x v="0"/>
    <x v="310"/>
    <x v="2"/>
    <x v="3"/>
    <x v="4"/>
    <x v="3"/>
    <x v="110"/>
    <x v="1"/>
    <x v="15"/>
  </r>
  <r>
    <x v="490"/>
    <x v="2"/>
    <x v="2"/>
    <x v="212"/>
    <x v="306"/>
    <x v="7"/>
    <x v="1"/>
    <x v="31"/>
    <x v="3"/>
    <x v="2"/>
    <x v="0"/>
    <x v="1"/>
    <x v="11"/>
    <x v="4"/>
    <x v="1"/>
    <x v="179"/>
    <x v="1"/>
    <x v="1"/>
    <x v="5"/>
    <x v="10"/>
    <x v="60"/>
    <x v="2"/>
    <x v="6"/>
  </r>
  <r>
    <x v="491"/>
    <x v="6"/>
    <x v="1"/>
    <x v="308"/>
    <x v="8"/>
    <x v="2"/>
    <x v="1"/>
    <x v="304"/>
    <x v="0"/>
    <x v="3"/>
    <x v="0"/>
    <x v="8"/>
    <x v="14"/>
    <x v="3"/>
    <x v="0"/>
    <x v="163"/>
    <x v="1"/>
    <x v="0"/>
    <x v="1"/>
    <x v="3"/>
    <x v="201"/>
    <x v="0"/>
    <x v="6"/>
  </r>
  <r>
    <x v="492"/>
    <x v="8"/>
    <x v="2"/>
    <x v="224"/>
    <x v="10"/>
    <x v="4"/>
    <x v="1"/>
    <x v="354"/>
    <x v="7"/>
    <x v="3"/>
    <x v="0"/>
    <x v="1"/>
    <x v="16"/>
    <x v="4"/>
    <x v="3"/>
    <x v="195"/>
    <x v="3"/>
    <x v="1"/>
    <x v="1"/>
    <x v="5"/>
    <x v="150"/>
    <x v="2"/>
    <x v="9"/>
  </r>
  <r>
    <x v="493"/>
    <x v="3"/>
    <x v="5"/>
    <x v="177"/>
    <x v="303"/>
    <x v="1"/>
    <x v="0"/>
    <x v="323"/>
    <x v="4"/>
    <x v="1"/>
    <x v="1"/>
    <x v="0"/>
    <x v="20"/>
    <x v="5"/>
    <x v="0"/>
    <x v="253"/>
    <x v="4"/>
    <x v="1"/>
    <x v="5"/>
    <x v="2"/>
    <x v="137"/>
    <x v="0"/>
    <x v="14"/>
  </r>
  <r>
    <x v="494"/>
    <x v="6"/>
    <x v="3"/>
    <x v="238"/>
    <x v="65"/>
    <x v="2"/>
    <x v="1"/>
    <x v="224"/>
    <x v="4"/>
    <x v="1"/>
    <x v="0"/>
    <x v="7"/>
    <x v="12"/>
    <x v="8"/>
    <x v="3"/>
    <x v="297"/>
    <x v="4"/>
    <x v="1"/>
    <x v="1"/>
    <x v="3"/>
    <x v="121"/>
    <x v="1"/>
    <x v="1"/>
  </r>
  <r>
    <x v="495"/>
    <x v="4"/>
    <x v="2"/>
    <x v="118"/>
    <x v="216"/>
    <x v="9"/>
    <x v="1"/>
    <x v="362"/>
    <x v="2"/>
    <x v="1"/>
    <x v="0"/>
    <x v="1"/>
    <x v="3"/>
    <x v="4"/>
    <x v="4"/>
    <x v="114"/>
    <x v="1"/>
    <x v="3"/>
    <x v="2"/>
    <x v="14"/>
    <x v="258"/>
    <x v="2"/>
    <x v="11"/>
  </r>
  <r>
    <x v="496"/>
    <x v="1"/>
    <x v="0"/>
    <x v="41"/>
    <x v="50"/>
    <x v="6"/>
    <x v="0"/>
    <x v="210"/>
    <x v="6"/>
    <x v="3"/>
    <x v="0"/>
    <x v="3"/>
    <x v="6"/>
    <x v="9"/>
    <x v="4"/>
    <x v="322"/>
    <x v="2"/>
    <x v="1"/>
    <x v="1"/>
    <x v="9"/>
    <x v="169"/>
    <x v="1"/>
    <x v="6"/>
  </r>
  <r>
    <x v="497"/>
    <x v="1"/>
    <x v="4"/>
    <x v="169"/>
    <x v="241"/>
    <x v="6"/>
    <x v="0"/>
    <x v="419"/>
    <x v="1"/>
    <x v="2"/>
    <x v="1"/>
    <x v="6"/>
    <x v="20"/>
    <x v="6"/>
    <x v="0"/>
    <x v="278"/>
    <x v="0"/>
    <x v="3"/>
    <x v="1"/>
    <x v="9"/>
    <x v="393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Pivot_Region" cacheId="1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A5:B10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5">
    <i>
      <x/>
    </i>
    <i>
      <x v="1"/>
    </i>
    <i>
      <x v="2"/>
    </i>
    <i>
      <x v="3"/>
    </i>
    <i t="grand">
      <x v="1048832"/>
    </i>
  </rowItems>
  <colItems count="1">
    <i t="grand"/>
  </colItems>
  <dataFields count="1">
    <dataField name="Sum - Sal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_Category" cacheId="1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D5:E9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4">
    <i>
      <x/>
    </i>
    <i>
      <x v="1"/>
    </i>
    <i>
      <x v="2"/>
    </i>
    <i t="grand">
      <x v="1048832"/>
    </i>
  </rowItems>
  <colItems count="1">
    <i t="grand"/>
  </colItems>
  <dataFields count="1">
    <dataField name="Sum - Sal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_Month" cacheId="1" applyNumberFormats="0" applyBorderFormats="0" applyFontFormats="0" applyPatternFormats="0" applyAlignmentFormats="0" applyWidthHeightFormats="0" dataCaption="Values" showDrill="0" itemPrintTitles="1" indent="0" compact="0" outline="1" outlineData="1" compactData="0">
  <location ref="G5:H24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2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 v="1048832"/>
    </i>
  </rowItems>
  <colItems count="1">
    <i t="grand"/>
  </colItems>
  <dataFields count="1">
    <dataField name="Sum - Sal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Standardization" displayName="CustomerStandardization" ref="A3:E503" totalsRowShown="0" dataDxfId="15">
  <autoFilter ref="A3:E503" xr:uid="{00000000-0009-0000-0100-000002000000}"/>
  <tableColumns count="5">
    <tableColumn id="1" xr3:uid="{00000000-0010-0000-0000-000001000000}" name="Customer ID" dataDxfId="14"/>
    <tableColumn id="2" xr3:uid="{00000000-0010-0000-0000-000002000000}" name="Original Customer Name" dataDxfId="13"/>
    <tableColumn id="3" xr3:uid="{00000000-0010-0000-0000-000003000000}" name="Standardized Customer Name" dataDxfId="12"/>
    <tableColumn id="4" xr3:uid="{00000000-0010-0000-0000-000004000000}" name="Customer Code" dataDxfId="11"/>
    <tableColumn id="5" xr3:uid="{00000000-0010-0000-0000-000005000000}" name="Standardized Email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OrderDeliveryAnalysis" displayName="OrderDeliveryAnalysis" ref="A3:G503" totalsRowShown="0" dataDxfId="9">
  <autoFilter ref="A3:G503" xr:uid="{00000000-0009-0000-0100-000003000000}"/>
  <tableColumns count="7">
    <tableColumn id="1" xr3:uid="{00000000-0010-0000-0100-000001000000}" name="Order ID" dataDxfId="8"/>
    <tableColumn id="2" xr3:uid="{00000000-0010-0000-0100-000002000000}" name="DOB" dataDxfId="7"/>
    <tableColumn id="3" xr3:uid="{00000000-0010-0000-0100-000003000000}" name="Customer Age" dataDxfId="6"/>
    <tableColumn id="4" xr3:uid="{00000000-0010-0000-0100-000004000000}" name="Order Date" dataDxfId="5"/>
    <tableColumn id="5" xr3:uid="{00000000-0010-0000-0100-000005000000}" name="Delivery Date" dataDxfId="4"/>
    <tableColumn id="6" xr3:uid="{00000000-0010-0000-0100-000006000000}" name="Delivery Time (Days)" dataDxfId="3"/>
    <tableColumn id="7" xr3:uid="{00000000-0010-0000-0100-000007000000}" name="Delivery Statu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mehta@company.com" TargetMode="External"/><Relationship Id="rId13" Type="http://schemas.openxmlformats.org/officeDocument/2006/relationships/hyperlink" Target="mailto:kavya.Nair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arjun.Rao@company.com" TargetMode="External"/><Relationship Id="rId12" Type="http://schemas.openxmlformats.org/officeDocument/2006/relationships/hyperlink" Target="mailto:rohit.sinGh@company.com" TargetMode="External"/><Relationship Id="rId2" Type="http://schemas.openxmlformats.org/officeDocument/2006/relationships/hyperlink" Target="mailto:kavya.nair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kavya.nair@company.com" TargetMode="External"/><Relationship Id="rId11" Type="http://schemas.openxmlformats.org/officeDocument/2006/relationships/hyperlink" Target="mailto:amit.SHarma@company.com" TargetMode="External"/><Relationship Id="rId5" Type="http://schemas.openxmlformats.org/officeDocument/2006/relationships/hyperlink" Target="mailto:rOhit.singh@company.com" TargetMode="External"/><Relationship Id="rId10" Type="http://schemas.openxmlformats.org/officeDocument/2006/relationships/hyperlink" Target="mailto:Pooja.shah@company.com" TargetMode="External"/><Relationship Id="rId4" Type="http://schemas.openxmlformats.org/officeDocument/2006/relationships/hyperlink" Target="mailto:PRiya.patel@company.com" TargetMode="External"/><Relationship Id="rId9" Type="http://schemas.openxmlformats.org/officeDocument/2006/relationships/hyperlink" Target="mailto:Anita.gupta@company.com" TargetMode="External"/><Relationship Id="rId14" Type="http://schemas.openxmlformats.org/officeDocument/2006/relationships/hyperlink" Target="mailto:pOOja.shah@company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zoomScaleNormal="100" workbookViewId="0">
      <pane ySplit="1" topLeftCell="A2" activePane="bottomLeft" state="frozen"/>
      <selection pane="bottomLeft" activeCell="N40" sqref="N40"/>
    </sheetView>
  </sheetViews>
  <sheetFormatPr defaultColWidth="8.5546875" defaultRowHeight="14.25" customHeight="1"/>
  <cols>
    <col min="1" max="1" width="12" customWidth="1"/>
    <col min="2" max="2" width="13" customWidth="1"/>
    <col min="3" max="4" width="12" customWidth="1"/>
    <col min="5" max="5" width="15" customWidth="1"/>
    <col min="6" max="6" width="28" customWidth="1"/>
    <col min="7" max="10" width="12" customWidth="1"/>
    <col min="11" max="11" width="17" customWidth="1"/>
    <col min="12" max="12" width="14" customWidth="1"/>
    <col min="13" max="17" width="12" customWidth="1"/>
    <col min="18" max="18" width="14" customWidth="1"/>
    <col min="19" max="19" width="13" customWidth="1"/>
    <col min="20" max="20" width="25" customWidth="1"/>
    <col min="21" max="21" width="12" customWidth="1"/>
    <col min="22" max="22" width="14" customWidth="1"/>
    <col min="23" max="23" width="24" customWidth="1"/>
  </cols>
  <sheetData>
    <row r="1" spans="1:23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" customHeight="1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>
        <v>4</v>
      </c>
      <c r="N2" s="3">
        <v>2200</v>
      </c>
      <c r="O2" s="3">
        <v>10</v>
      </c>
      <c r="P2" s="3">
        <v>7920</v>
      </c>
      <c r="Q2" s="3">
        <v>4</v>
      </c>
      <c r="R2" s="3" t="s">
        <v>35</v>
      </c>
      <c r="S2" s="3" t="s">
        <v>36</v>
      </c>
      <c r="T2" s="4" t="s">
        <v>37</v>
      </c>
      <c r="U2" s="5" t="s">
        <v>38</v>
      </c>
      <c r="V2" s="3" t="s">
        <v>39</v>
      </c>
      <c r="W2" t="str">
        <f t="shared" ref="W2:W65" si="0">IF(OR(Q2&lt;=2,V2="Cancelled"),"Blacklisted",IF(AND(P2&gt;=100000,Q2&gt;=4,O2&lt;=10%,V2="Completed"),"Platinum",IF(AND(P2&gt;=50000,P2&lt;100000,Q2&gt;=3,V2="Completed"),"Gold",IF(AND(P2&lt;50000,V2="Completed"),"Silver","Blacklisted"))))</f>
        <v>Silver</v>
      </c>
    </row>
    <row r="3" spans="1:23" ht="14.25" customHeight="1">
      <c r="A3" s="6" t="s">
        <v>40</v>
      </c>
      <c r="B3" s="6" t="s">
        <v>24</v>
      </c>
      <c r="C3" s="6" t="s">
        <v>41</v>
      </c>
      <c r="D3" s="6" t="s">
        <v>42</v>
      </c>
      <c r="E3" s="6" t="s">
        <v>43</v>
      </c>
      <c r="F3" s="6" t="s">
        <v>28</v>
      </c>
      <c r="G3" s="6" t="s">
        <v>29</v>
      </c>
      <c r="H3" s="6" t="s">
        <v>44</v>
      </c>
      <c r="I3" s="6" t="s">
        <v>45</v>
      </c>
      <c r="J3" s="6" t="s">
        <v>46</v>
      </c>
      <c r="K3" s="6" t="s">
        <v>47</v>
      </c>
      <c r="L3" s="6" t="s">
        <v>48</v>
      </c>
      <c r="M3" s="6">
        <v>17</v>
      </c>
      <c r="N3" s="6">
        <v>12000</v>
      </c>
      <c r="O3" s="6">
        <v>10</v>
      </c>
      <c r="P3" s="6">
        <v>183600</v>
      </c>
      <c r="Q3" s="6">
        <v>1</v>
      </c>
      <c r="R3" s="6" t="s">
        <v>49</v>
      </c>
      <c r="S3" s="6" t="s">
        <v>50</v>
      </c>
      <c r="T3" s="6" t="s">
        <v>51</v>
      </c>
      <c r="U3" s="7" t="s">
        <v>52</v>
      </c>
      <c r="V3" s="6" t="s">
        <v>39</v>
      </c>
      <c r="W3" t="str">
        <f t="shared" si="0"/>
        <v>Blacklisted</v>
      </c>
    </row>
    <row r="4" spans="1:23" ht="14.25" customHeight="1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29</v>
      </c>
      <c r="H4" s="3" t="s">
        <v>59</v>
      </c>
      <c r="I4" s="3" t="s">
        <v>60</v>
      </c>
      <c r="J4" s="3" t="s">
        <v>32</v>
      </c>
      <c r="K4" s="3" t="s">
        <v>47</v>
      </c>
      <c r="L4" s="3" t="s">
        <v>61</v>
      </c>
      <c r="M4" s="3">
        <v>5</v>
      </c>
      <c r="N4" s="3">
        <v>55000</v>
      </c>
      <c r="O4" s="3">
        <v>5</v>
      </c>
      <c r="P4" s="3">
        <v>261250</v>
      </c>
      <c r="Q4" s="3">
        <v>3</v>
      </c>
      <c r="R4" s="3" t="s">
        <v>49</v>
      </c>
      <c r="S4" s="3" t="s">
        <v>62</v>
      </c>
      <c r="T4" s="3" t="s">
        <v>63</v>
      </c>
      <c r="U4" s="5" t="s">
        <v>64</v>
      </c>
      <c r="V4" s="3" t="s">
        <v>65</v>
      </c>
      <c r="W4" t="str">
        <f t="shared" si="0"/>
        <v>Blacklisted</v>
      </c>
    </row>
    <row r="5" spans="1:23" ht="15.75" customHeight="1">
      <c r="A5" s="6" t="s">
        <v>40</v>
      </c>
      <c r="B5" s="6" t="s">
        <v>24</v>
      </c>
      <c r="C5" s="6" t="s">
        <v>25</v>
      </c>
      <c r="D5" s="6" t="s">
        <v>66</v>
      </c>
      <c r="E5" s="6" t="s">
        <v>67</v>
      </c>
      <c r="F5" s="6" t="s">
        <v>28</v>
      </c>
      <c r="G5" s="6" t="s">
        <v>29</v>
      </c>
      <c r="H5" s="6" t="s">
        <v>68</v>
      </c>
      <c r="I5" s="6" t="s">
        <v>60</v>
      </c>
      <c r="J5" s="6" t="s">
        <v>32</v>
      </c>
      <c r="K5" s="6" t="s">
        <v>33</v>
      </c>
      <c r="L5" s="6" t="s">
        <v>34</v>
      </c>
      <c r="M5" s="6">
        <v>5</v>
      </c>
      <c r="N5" s="6">
        <v>2200</v>
      </c>
      <c r="O5" s="6">
        <v>5</v>
      </c>
      <c r="P5" s="6">
        <v>10450</v>
      </c>
      <c r="Q5" s="6">
        <v>5</v>
      </c>
      <c r="R5" s="6" t="s">
        <v>49</v>
      </c>
      <c r="S5" s="6" t="s">
        <v>62</v>
      </c>
      <c r="T5" s="8" t="s">
        <v>51</v>
      </c>
      <c r="U5" s="7" t="s">
        <v>69</v>
      </c>
      <c r="V5" s="6" t="s">
        <v>70</v>
      </c>
      <c r="W5" t="str">
        <f t="shared" si="0"/>
        <v>Blacklisted</v>
      </c>
    </row>
    <row r="6" spans="1:23" ht="14.25" customHeight="1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  <c r="G6" s="3" t="s">
        <v>77</v>
      </c>
      <c r="H6" s="3" t="s">
        <v>78</v>
      </c>
      <c r="I6" s="3" t="s">
        <v>45</v>
      </c>
      <c r="J6" s="3" t="s">
        <v>46</v>
      </c>
      <c r="K6" s="3" t="s">
        <v>47</v>
      </c>
      <c r="L6" s="3" t="s">
        <v>79</v>
      </c>
      <c r="M6" s="3">
        <v>8</v>
      </c>
      <c r="N6" s="3">
        <v>1200</v>
      </c>
      <c r="O6" s="3">
        <v>5</v>
      </c>
      <c r="P6" s="3">
        <v>9120</v>
      </c>
      <c r="Q6" s="3">
        <v>2</v>
      </c>
      <c r="R6" s="3" t="s">
        <v>80</v>
      </c>
      <c r="S6" s="3" t="s">
        <v>62</v>
      </c>
      <c r="T6" s="3" t="s">
        <v>81</v>
      </c>
      <c r="U6" s="5" t="s">
        <v>82</v>
      </c>
      <c r="V6" s="3" t="s">
        <v>65</v>
      </c>
      <c r="W6" t="str">
        <f t="shared" si="0"/>
        <v>Blacklisted</v>
      </c>
    </row>
    <row r="7" spans="1:23" ht="14.25" customHeight="1">
      <c r="A7" s="6" t="s">
        <v>83</v>
      </c>
      <c r="B7" s="6" t="s">
        <v>84</v>
      </c>
      <c r="C7" s="6" t="s">
        <v>25</v>
      </c>
      <c r="D7" s="6" t="s">
        <v>85</v>
      </c>
      <c r="E7" s="6" t="s">
        <v>86</v>
      </c>
      <c r="F7" s="6" t="s">
        <v>87</v>
      </c>
      <c r="G7" s="6" t="s">
        <v>77</v>
      </c>
      <c r="H7" s="6" t="s">
        <v>88</v>
      </c>
      <c r="I7" s="6" t="s">
        <v>31</v>
      </c>
      <c r="J7" s="6" t="s">
        <v>32</v>
      </c>
      <c r="K7" s="6" t="s">
        <v>33</v>
      </c>
      <c r="L7" s="6" t="s">
        <v>34</v>
      </c>
      <c r="M7" s="6">
        <v>4</v>
      </c>
      <c r="N7" s="6">
        <v>2200</v>
      </c>
      <c r="O7" s="6">
        <v>0</v>
      </c>
      <c r="P7" s="6">
        <v>8800</v>
      </c>
      <c r="Q7" s="6">
        <v>1</v>
      </c>
      <c r="R7" s="6" t="s">
        <v>89</v>
      </c>
      <c r="S7" s="6" t="s">
        <v>36</v>
      </c>
      <c r="T7" s="6" t="s">
        <v>90</v>
      </c>
      <c r="U7" s="7" t="s">
        <v>91</v>
      </c>
      <c r="V7" s="6" t="s">
        <v>39</v>
      </c>
      <c r="W7" t="str">
        <f t="shared" si="0"/>
        <v>Blacklisted</v>
      </c>
    </row>
    <row r="8" spans="1:23" ht="14.25" customHeight="1">
      <c r="A8" s="3" t="s">
        <v>92</v>
      </c>
      <c r="B8" s="3" t="s">
        <v>24</v>
      </c>
      <c r="C8" s="3" t="s">
        <v>93</v>
      </c>
      <c r="D8" s="3" t="s">
        <v>94</v>
      </c>
      <c r="E8" s="3" t="s">
        <v>95</v>
      </c>
      <c r="F8" s="3" t="s">
        <v>96</v>
      </c>
      <c r="G8" s="3" t="s">
        <v>29</v>
      </c>
      <c r="H8" s="3" t="s">
        <v>97</v>
      </c>
      <c r="I8" s="3" t="s">
        <v>31</v>
      </c>
      <c r="J8" s="3" t="s">
        <v>32</v>
      </c>
      <c r="K8" s="3" t="s">
        <v>33</v>
      </c>
      <c r="L8" s="3" t="s">
        <v>98</v>
      </c>
      <c r="M8" s="3">
        <v>2</v>
      </c>
      <c r="N8" s="3">
        <v>3500</v>
      </c>
      <c r="O8" s="3">
        <v>5</v>
      </c>
      <c r="P8" s="3">
        <v>6650</v>
      </c>
      <c r="Q8" s="3">
        <v>1</v>
      </c>
      <c r="R8" s="3" t="s">
        <v>89</v>
      </c>
      <c r="S8" s="3" t="s">
        <v>36</v>
      </c>
      <c r="T8" s="3" t="s">
        <v>51</v>
      </c>
      <c r="U8" s="5" t="s">
        <v>99</v>
      </c>
      <c r="V8" s="3" t="s">
        <v>39</v>
      </c>
      <c r="W8" t="str">
        <f t="shared" si="0"/>
        <v>Blacklisted</v>
      </c>
    </row>
    <row r="9" spans="1:23" ht="15.75" customHeight="1">
      <c r="A9" s="6" t="s">
        <v>100</v>
      </c>
      <c r="B9" s="6" t="s">
        <v>101</v>
      </c>
      <c r="C9" s="6" t="s">
        <v>41</v>
      </c>
      <c r="D9" s="6" t="s">
        <v>102</v>
      </c>
      <c r="E9" s="6" t="s">
        <v>103</v>
      </c>
      <c r="F9" s="6" t="s">
        <v>104</v>
      </c>
      <c r="G9" s="6" t="s">
        <v>29</v>
      </c>
      <c r="H9" s="6" t="s">
        <v>105</v>
      </c>
      <c r="I9" s="6" t="s">
        <v>106</v>
      </c>
      <c r="J9" s="6" t="s">
        <v>107</v>
      </c>
      <c r="K9" s="6" t="s">
        <v>47</v>
      </c>
      <c r="L9" s="6" t="s">
        <v>48</v>
      </c>
      <c r="M9" s="6">
        <v>14</v>
      </c>
      <c r="N9" s="6">
        <v>12000</v>
      </c>
      <c r="O9" s="6">
        <v>15</v>
      </c>
      <c r="P9" s="6">
        <v>142800</v>
      </c>
      <c r="Q9" s="6">
        <v>4</v>
      </c>
      <c r="R9" s="6" t="s">
        <v>49</v>
      </c>
      <c r="S9" s="6" t="s">
        <v>36</v>
      </c>
      <c r="T9" s="8" t="s">
        <v>108</v>
      </c>
      <c r="U9" s="7" t="s">
        <v>109</v>
      </c>
      <c r="V9" s="6" t="s">
        <v>39</v>
      </c>
      <c r="W9" t="str">
        <f t="shared" si="0"/>
        <v>Blacklisted</v>
      </c>
    </row>
    <row r="10" spans="1:23" ht="14.25" customHeight="1">
      <c r="A10" s="3" t="s">
        <v>110</v>
      </c>
      <c r="B10" s="3" t="s">
        <v>24</v>
      </c>
      <c r="C10" s="3" t="s">
        <v>41</v>
      </c>
      <c r="D10" s="3" t="s">
        <v>111</v>
      </c>
      <c r="E10" s="3" t="s">
        <v>112</v>
      </c>
      <c r="F10" s="3" t="s">
        <v>113</v>
      </c>
      <c r="G10" s="3" t="s">
        <v>29</v>
      </c>
      <c r="H10" s="3" t="s">
        <v>114</v>
      </c>
      <c r="I10" s="3" t="s">
        <v>115</v>
      </c>
      <c r="J10" s="3" t="s">
        <v>107</v>
      </c>
      <c r="K10" s="3" t="s">
        <v>47</v>
      </c>
      <c r="L10" s="3" t="s">
        <v>48</v>
      </c>
      <c r="M10" s="3">
        <v>4</v>
      </c>
      <c r="N10" s="3">
        <v>12000</v>
      </c>
      <c r="O10" s="3">
        <v>15</v>
      </c>
      <c r="P10" s="3">
        <v>40800</v>
      </c>
      <c r="Q10" s="3">
        <v>4</v>
      </c>
      <c r="R10" s="3" t="s">
        <v>89</v>
      </c>
      <c r="S10" s="3" t="s">
        <v>116</v>
      </c>
      <c r="T10" s="3" t="s">
        <v>51</v>
      </c>
      <c r="U10" s="5" t="s">
        <v>117</v>
      </c>
      <c r="V10" s="3" t="s">
        <v>39</v>
      </c>
      <c r="W10" t="str">
        <f t="shared" si="0"/>
        <v>Silver</v>
      </c>
    </row>
    <row r="11" spans="1:23" ht="15.75" customHeight="1">
      <c r="A11" s="6" t="s">
        <v>118</v>
      </c>
      <c r="B11" s="6" t="s">
        <v>101</v>
      </c>
      <c r="C11" s="6" t="s">
        <v>119</v>
      </c>
      <c r="D11" s="6" t="s">
        <v>120</v>
      </c>
      <c r="E11" s="6" t="s">
        <v>121</v>
      </c>
      <c r="F11" s="6" t="s">
        <v>104</v>
      </c>
      <c r="G11" s="6" t="s">
        <v>29</v>
      </c>
      <c r="H11" s="6" t="s">
        <v>122</v>
      </c>
      <c r="I11" s="6" t="s">
        <v>106</v>
      </c>
      <c r="J11" s="6" t="s">
        <v>107</v>
      </c>
      <c r="K11" s="6" t="s">
        <v>123</v>
      </c>
      <c r="L11" s="6" t="s">
        <v>124</v>
      </c>
      <c r="M11" s="6">
        <v>6</v>
      </c>
      <c r="N11" s="6">
        <v>60</v>
      </c>
      <c r="O11" s="6">
        <v>0</v>
      </c>
      <c r="P11" s="6">
        <v>360</v>
      </c>
      <c r="Q11" s="6">
        <v>4</v>
      </c>
      <c r="R11" s="6" t="s">
        <v>80</v>
      </c>
      <c r="S11" s="6" t="s">
        <v>116</v>
      </c>
      <c r="T11" s="8" t="s">
        <v>125</v>
      </c>
      <c r="U11" s="7" t="s">
        <v>126</v>
      </c>
      <c r="V11" s="6" t="s">
        <v>39</v>
      </c>
      <c r="W11" t="str">
        <f t="shared" si="0"/>
        <v>Silver</v>
      </c>
    </row>
    <row r="12" spans="1:23" ht="14.25" customHeight="1">
      <c r="A12" s="3" t="s">
        <v>127</v>
      </c>
      <c r="B12" s="3" t="s">
        <v>128</v>
      </c>
      <c r="C12" s="3" t="s">
        <v>25</v>
      </c>
      <c r="D12" s="3" t="s">
        <v>129</v>
      </c>
      <c r="E12" s="3" t="s">
        <v>130</v>
      </c>
      <c r="F12" s="3" t="s">
        <v>131</v>
      </c>
      <c r="G12" s="3" t="s">
        <v>77</v>
      </c>
      <c r="H12" s="3" t="s">
        <v>132</v>
      </c>
      <c r="I12" s="3" t="s">
        <v>45</v>
      </c>
      <c r="J12" s="3" t="s">
        <v>46</v>
      </c>
      <c r="K12" s="3" t="s">
        <v>33</v>
      </c>
      <c r="L12" s="3" t="s">
        <v>34</v>
      </c>
      <c r="M12" s="3">
        <v>-3</v>
      </c>
      <c r="N12" s="3">
        <v>2200</v>
      </c>
      <c r="O12" s="3">
        <v>0</v>
      </c>
      <c r="P12" s="3">
        <v>35200</v>
      </c>
      <c r="Q12" s="3">
        <v>2</v>
      </c>
      <c r="R12" s="3" t="s">
        <v>80</v>
      </c>
      <c r="S12" s="3" t="s">
        <v>50</v>
      </c>
      <c r="T12" s="3" t="s">
        <v>133</v>
      </c>
      <c r="U12" s="5" t="s">
        <v>134</v>
      </c>
      <c r="V12" s="3" t="s">
        <v>65</v>
      </c>
      <c r="W12" t="str">
        <f t="shared" si="0"/>
        <v>Blacklisted</v>
      </c>
    </row>
    <row r="13" spans="1:23" ht="14.25" customHeight="1">
      <c r="A13" s="6" t="s">
        <v>135</v>
      </c>
      <c r="B13" s="6" t="s">
        <v>24</v>
      </c>
      <c r="C13" s="6" t="s">
        <v>93</v>
      </c>
      <c r="D13" s="6" t="s">
        <v>136</v>
      </c>
      <c r="E13" s="6" t="s">
        <v>137</v>
      </c>
      <c r="F13" s="6" t="s">
        <v>28</v>
      </c>
      <c r="G13" s="6" t="s">
        <v>29</v>
      </c>
      <c r="H13" s="6" t="s">
        <v>138</v>
      </c>
      <c r="I13" s="6" t="s">
        <v>139</v>
      </c>
      <c r="J13" s="6" t="s">
        <v>107</v>
      </c>
      <c r="K13" s="6" t="s">
        <v>33</v>
      </c>
      <c r="L13" s="6" t="s">
        <v>98</v>
      </c>
      <c r="M13" s="6">
        <v>10</v>
      </c>
      <c r="N13" s="6">
        <v>3500</v>
      </c>
      <c r="O13" s="6">
        <v>5</v>
      </c>
      <c r="P13" s="6">
        <v>33250</v>
      </c>
      <c r="Q13" s="6">
        <v>5</v>
      </c>
      <c r="R13" s="6" t="s">
        <v>80</v>
      </c>
      <c r="S13" s="6" t="s">
        <v>62</v>
      </c>
      <c r="T13" s="6" t="s">
        <v>51</v>
      </c>
      <c r="U13" s="7" t="s">
        <v>140</v>
      </c>
      <c r="V13" s="6" t="s">
        <v>70</v>
      </c>
      <c r="W13" t="str">
        <f t="shared" si="0"/>
        <v>Blacklisted</v>
      </c>
    </row>
    <row r="14" spans="1:23" ht="14.25" customHeight="1">
      <c r="A14" s="3" t="s">
        <v>141</v>
      </c>
      <c r="B14" s="3" t="s">
        <v>101</v>
      </c>
      <c r="C14" s="3" t="s">
        <v>25</v>
      </c>
      <c r="D14" s="3" t="s">
        <v>142</v>
      </c>
      <c r="E14" s="3" t="s">
        <v>143</v>
      </c>
      <c r="F14" s="3" t="s">
        <v>104</v>
      </c>
      <c r="G14" s="3" t="s">
        <v>29</v>
      </c>
      <c r="H14" s="3" t="s">
        <v>144</v>
      </c>
      <c r="I14" s="3" t="s">
        <v>115</v>
      </c>
      <c r="J14" s="3" t="s">
        <v>107</v>
      </c>
      <c r="K14" s="3" t="s">
        <v>33</v>
      </c>
      <c r="L14" s="3" t="s">
        <v>34</v>
      </c>
      <c r="M14" s="3">
        <v>15</v>
      </c>
      <c r="N14" s="3">
        <v>2200</v>
      </c>
      <c r="O14" s="3">
        <v>10</v>
      </c>
      <c r="P14" s="3">
        <v>29700</v>
      </c>
      <c r="Q14" s="3">
        <v>1</v>
      </c>
      <c r="R14" s="3" t="s">
        <v>89</v>
      </c>
      <c r="S14" s="3" t="s">
        <v>116</v>
      </c>
      <c r="T14" s="3" t="s">
        <v>145</v>
      </c>
      <c r="U14" s="5" t="s">
        <v>146</v>
      </c>
      <c r="V14" s="3" t="s">
        <v>65</v>
      </c>
      <c r="W14" t="str">
        <f t="shared" si="0"/>
        <v>Blacklisted</v>
      </c>
    </row>
    <row r="15" spans="1:23" ht="15.75" customHeight="1">
      <c r="A15" s="6" t="s">
        <v>147</v>
      </c>
      <c r="B15" s="6" t="s">
        <v>128</v>
      </c>
      <c r="C15" s="6" t="s">
        <v>25</v>
      </c>
      <c r="D15" s="6" t="s">
        <v>148</v>
      </c>
      <c r="E15" s="6" t="s">
        <v>149</v>
      </c>
      <c r="F15" s="6" t="s">
        <v>150</v>
      </c>
      <c r="G15" s="6" t="s">
        <v>77</v>
      </c>
      <c r="H15" s="6" t="s">
        <v>151</v>
      </c>
      <c r="I15" s="6" t="s">
        <v>106</v>
      </c>
      <c r="J15" s="6" t="s">
        <v>107</v>
      </c>
      <c r="K15" s="6" t="s">
        <v>33</v>
      </c>
      <c r="L15" s="6" t="s">
        <v>34</v>
      </c>
      <c r="M15" s="6">
        <v>17</v>
      </c>
      <c r="N15" s="6">
        <v>2200</v>
      </c>
      <c r="O15" s="6">
        <v>5</v>
      </c>
      <c r="P15" s="6">
        <v>35530</v>
      </c>
      <c r="Q15" s="6">
        <v>1</v>
      </c>
      <c r="R15" s="6" t="s">
        <v>35</v>
      </c>
      <c r="S15" s="6" t="s">
        <v>152</v>
      </c>
      <c r="T15" s="8" t="s">
        <v>153</v>
      </c>
      <c r="U15" s="7" t="s">
        <v>154</v>
      </c>
      <c r="V15" s="6" t="s">
        <v>39</v>
      </c>
      <c r="W15" t="str">
        <f t="shared" si="0"/>
        <v>Blacklisted</v>
      </c>
    </row>
    <row r="16" spans="1:23" ht="15.75" customHeight="1">
      <c r="A16" s="3" t="s">
        <v>155</v>
      </c>
      <c r="B16" s="3" t="s">
        <v>24</v>
      </c>
      <c r="C16" s="3" t="s">
        <v>93</v>
      </c>
      <c r="D16" s="3" t="s">
        <v>156</v>
      </c>
      <c r="E16" s="3" t="s">
        <v>157</v>
      </c>
      <c r="F16" s="3" t="s">
        <v>158</v>
      </c>
      <c r="G16" s="3" t="s">
        <v>29</v>
      </c>
      <c r="H16" s="3" t="s">
        <v>159</v>
      </c>
      <c r="I16" s="3" t="s">
        <v>106</v>
      </c>
      <c r="J16" s="3" t="s">
        <v>107</v>
      </c>
      <c r="K16" s="3" t="s">
        <v>33</v>
      </c>
      <c r="L16" s="3" t="s">
        <v>98</v>
      </c>
      <c r="M16" s="3">
        <v>15</v>
      </c>
      <c r="N16" s="3">
        <v>3500</v>
      </c>
      <c r="O16" s="3">
        <v>15</v>
      </c>
      <c r="P16" s="3">
        <v>44625</v>
      </c>
      <c r="Q16" s="3">
        <v>2</v>
      </c>
      <c r="R16" s="3" t="s">
        <v>35</v>
      </c>
      <c r="S16" s="3" t="s">
        <v>116</v>
      </c>
      <c r="T16" s="4" t="s">
        <v>51</v>
      </c>
      <c r="U16" s="5" t="s">
        <v>160</v>
      </c>
      <c r="V16" s="3" t="s">
        <v>70</v>
      </c>
      <c r="W16" t="str">
        <f t="shared" si="0"/>
        <v>Blacklisted</v>
      </c>
    </row>
    <row r="17" spans="1:23" ht="14.25" customHeight="1">
      <c r="A17" s="6" t="s">
        <v>161</v>
      </c>
      <c r="B17" s="6" t="s">
        <v>54</v>
      </c>
      <c r="C17" s="6" t="s">
        <v>73</v>
      </c>
      <c r="D17" s="6" t="s">
        <v>162</v>
      </c>
      <c r="E17" s="6" t="s">
        <v>163</v>
      </c>
      <c r="F17" s="6" t="s">
        <v>164</v>
      </c>
      <c r="G17" s="6" t="s">
        <v>29</v>
      </c>
      <c r="H17" s="6" t="s">
        <v>165</v>
      </c>
      <c r="I17" s="6" t="s">
        <v>31</v>
      </c>
      <c r="J17" s="6" t="s">
        <v>32</v>
      </c>
      <c r="K17" s="6" t="s">
        <v>47</v>
      </c>
      <c r="L17" s="6" t="s">
        <v>79</v>
      </c>
      <c r="M17" s="6">
        <v>3</v>
      </c>
      <c r="N17" s="6">
        <v>1200</v>
      </c>
      <c r="O17" s="6">
        <v>5</v>
      </c>
      <c r="P17" s="6">
        <v>3420</v>
      </c>
      <c r="Q17" s="6">
        <v>5</v>
      </c>
      <c r="R17" s="6" t="s">
        <v>89</v>
      </c>
      <c r="S17" s="6" t="s">
        <v>36</v>
      </c>
      <c r="T17" s="6" t="s">
        <v>166</v>
      </c>
      <c r="U17" s="7" t="s">
        <v>167</v>
      </c>
      <c r="V17" s="6" t="s">
        <v>39</v>
      </c>
      <c r="W17" t="str">
        <f t="shared" si="0"/>
        <v>Silver</v>
      </c>
    </row>
    <row r="18" spans="1:23" ht="14.25" customHeight="1">
      <c r="A18" s="3" t="s">
        <v>168</v>
      </c>
      <c r="B18" s="3" t="s">
        <v>169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29</v>
      </c>
      <c r="H18" s="3" t="s">
        <v>174</v>
      </c>
      <c r="I18" s="3" t="s">
        <v>115</v>
      </c>
      <c r="J18" s="3" t="s">
        <v>107</v>
      </c>
      <c r="K18" s="3" t="s">
        <v>33</v>
      </c>
      <c r="L18" s="3" t="s">
        <v>175</v>
      </c>
      <c r="M18" s="3">
        <v>13</v>
      </c>
      <c r="N18" s="3">
        <v>8500</v>
      </c>
      <c r="O18" s="3">
        <v>20</v>
      </c>
      <c r="P18" s="3">
        <v>88400</v>
      </c>
      <c r="Q18" s="3">
        <v>4</v>
      </c>
      <c r="R18" s="3" t="s">
        <v>80</v>
      </c>
      <c r="S18" s="3" t="s">
        <v>50</v>
      </c>
      <c r="T18" s="3" t="s">
        <v>176</v>
      </c>
      <c r="U18" s="5" t="s">
        <v>177</v>
      </c>
      <c r="V18" s="3" t="s">
        <v>65</v>
      </c>
      <c r="W18" t="str">
        <f t="shared" si="0"/>
        <v>Blacklisted</v>
      </c>
    </row>
    <row r="19" spans="1:23" ht="14.25" customHeight="1">
      <c r="A19" s="6" t="s">
        <v>178</v>
      </c>
      <c r="B19" s="6" t="s">
        <v>84</v>
      </c>
      <c r="C19" s="6" t="s">
        <v>170</v>
      </c>
      <c r="D19" s="6" t="s">
        <v>179</v>
      </c>
      <c r="E19" s="6" t="s">
        <v>180</v>
      </c>
      <c r="F19" s="6" t="s">
        <v>181</v>
      </c>
      <c r="G19" s="6" t="s">
        <v>77</v>
      </c>
      <c r="H19" s="6" t="s">
        <v>182</v>
      </c>
      <c r="I19" s="6" t="s">
        <v>139</v>
      </c>
      <c r="J19" s="6" t="s">
        <v>107</v>
      </c>
      <c r="K19" s="6" t="s">
        <v>33</v>
      </c>
      <c r="L19" s="6" t="s">
        <v>175</v>
      </c>
      <c r="M19" s="6">
        <v>4</v>
      </c>
      <c r="N19" s="6">
        <v>8500</v>
      </c>
      <c r="O19" s="6">
        <v>20</v>
      </c>
      <c r="P19" s="6">
        <v>27200</v>
      </c>
      <c r="Q19" s="6">
        <v>5</v>
      </c>
      <c r="R19" s="6" t="s">
        <v>80</v>
      </c>
      <c r="S19" s="6" t="s">
        <v>62</v>
      </c>
      <c r="T19" s="6" t="s">
        <v>90</v>
      </c>
      <c r="U19" s="7" t="s">
        <v>183</v>
      </c>
      <c r="V19" s="6" t="s">
        <v>65</v>
      </c>
      <c r="W19" t="str">
        <f t="shared" si="0"/>
        <v>Blacklisted</v>
      </c>
    </row>
    <row r="20" spans="1:23" ht="15.75" customHeight="1">
      <c r="A20" s="3" t="s">
        <v>184</v>
      </c>
      <c r="B20" s="3" t="s">
        <v>84</v>
      </c>
      <c r="C20" s="3" t="s">
        <v>185</v>
      </c>
      <c r="D20" s="3" t="s">
        <v>186</v>
      </c>
      <c r="E20" s="3" t="s">
        <v>187</v>
      </c>
      <c r="F20" s="3" t="s">
        <v>188</v>
      </c>
      <c r="G20" s="3" t="s">
        <v>77</v>
      </c>
      <c r="H20" s="3" t="s">
        <v>189</v>
      </c>
      <c r="I20" s="3" t="s">
        <v>106</v>
      </c>
      <c r="J20" s="3" t="s">
        <v>107</v>
      </c>
      <c r="K20" s="3" t="s">
        <v>47</v>
      </c>
      <c r="L20" s="3" t="s">
        <v>190</v>
      </c>
      <c r="M20" s="3">
        <v>9</v>
      </c>
      <c r="N20" s="3">
        <v>700</v>
      </c>
      <c r="O20" s="3">
        <v>5</v>
      </c>
      <c r="P20" s="3">
        <v>5985</v>
      </c>
      <c r="Q20" s="3">
        <v>3</v>
      </c>
      <c r="R20" s="3" t="s">
        <v>89</v>
      </c>
      <c r="S20" s="3" t="s">
        <v>36</v>
      </c>
      <c r="T20" s="4" t="s">
        <v>191</v>
      </c>
      <c r="U20" s="5" t="s">
        <v>192</v>
      </c>
      <c r="V20" s="3" t="s">
        <v>65</v>
      </c>
      <c r="W20" t="str">
        <f t="shared" si="0"/>
        <v>Blacklisted</v>
      </c>
    </row>
    <row r="21" spans="1:23" ht="14.25" customHeight="1">
      <c r="A21" s="6" t="s">
        <v>193</v>
      </c>
      <c r="B21" s="6" t="s">
        <v>24</v>
      </c>
      <c r="C21" s="6" t="s">
        <v>55</v>
      </c>
      <c r="D21" s="6" t="s">
        <v>194</v>
      </c>
      <c r="E21" s="6" t="s">
        <v>195</v>
      </c>
      <c r="F21" s="6" t="s">
        <v>28</v>
      </c>
      <c r="G21" s="6" t="s">
        <v>29</v>
      </c>
      <c r="H21" s="6" t="s">
        <v>196</v>
      </c>
      <c r="I21" s="6" t="s">
        <v>139</v>
      </c>
      <c r="J21" s="6" t="s">
        <v>107</v>
      </c>
      <c r="K21" s="6" t="s">
        <v>47</v>
      </c>
      <c r="L21" s="6" t="s">
        <v>61</v>
      </c>
      <c r="M21" s="6">
        <v>8</v>
      </c>
      <c r="N21" s="6">
        <v>55000</v>
      </c>
      <c r="O21" s="6">
        <v>20</v>
      </c>
      <c r="P21" s="6">
        <v>352000</v>
      </c>
      <c r="Q21" s="6">
        <v>1</v>
      </c>
      <c r="R21" s="6" t="s">
        <v>35</v>
      </c>
      <c r="S21" s="6" t="s">
        <v>152</v>
      </c>
      <c r="T21" s="6" t="s">
        <v>51</v>
      </c>
      <c r="U21" s="7" t="s">
        <v>197</v>
      </c>
      <c r="V21" s="6" t="s">
        <v>39</v>
      </c>
      <c r="W21" t="str">
        <f t="shared" si="0"/>
        <v>Blacklisted</v>
      </c>
    </row>
    <row r="22" spans="1:23" ht="14.25" customHeight="1">
      <c r="A22" s="3" t="s">
        <v>198</v>
      </c>
      <c r="B22" s="3" t="s">
        <v>128</v>
      </c>
      <c r="C22" s="3" t="s">
        <v>185</v>
      </c>
      <c r="D22" s="3" t="s">
        <v>199</v>
      </c>
      <c r="E22" s="3" t="s">
        <v>200</v>
      </c>
      <c r="F22" s="3" t="s">
        <v>201</v>
      </c>
      <c r="G22" s="3" t="s">
        <v>77</v>
      </c>
      <c r="H22" s="3" t="s">
        <v>202</v>
      </c>
      <c r="I22" s="3" t="s">
        <v>45</v>
      </c>
      <c r="J22" s="3" t="s">
        <v>46</v>
      </c>
      <c r="K22" s="3" t="s">
        <v>203</v>
      </c>
      <c r="L22" s="3" t="s">
        <v>190</v>
      </c>
      <c r="M22" s="3">
        <v>10</v>
      </c>
      <c r="N22" s="3">
        <v>700</v>
      </c>
      <c r="O22" s="3">
        <v>20</v>
      </c>
      <c r="P22" s="3">
        <v>5600</v>
      </c>
      <c r="Q22" s="3">
        <v>4</v>
      </c>
      <c r="R22" s="3" t="s">
        <v>80</v>
      </c>
      <c r="S22" s="3" t="s">
        <v>62</v>
      </c>
      <c r="T22" s="3" t="s">
        <v>133</v>
      </c>
      <c r="U22" s="5" t="s">
        <v>204</v>
      </c>
      <c r="V22" s="3" t="s">
        <v>70</v>
      </c>
      <c r="W22" t="str">
        <f t="shared" si="0"/>
        <v>Blacklisted</v>
      </c>
    </row>
    <row r="23" spans="1:23" ht="14.25" customHeight="1">
      <c r="A23" s="6" t="s">
        <v>205</v>
      </c>
      <c r="B23" s="6" t="s">
        <v>24</v>
      </c>
      <c r="C23" s="6" t="s">
        <v>93</v>
      </c>
      <c r="D23" s="6" t="s">
        <v>206</v>
      </c>
      <c r="E23" s="6" t="s">
        <v>207</v>
      </c>
      <c r="F23" s="6" t="s">
        <v>113</v>
      </c>
      <c r="G23" s="6" t="s">
        <v>29</v>
      </c>
      <c r="H23" s="6" t="s">
        <v>208</v>
      </c>
      <c r="I23" s="6" t="s">
        <v>60</v>
      </c>
      <c r="J23" s="6" t="s">
        <v>32</v>
      </c>
      <c r="K23" s="6" t="s">
        <v>33</v>
      </c>
      <c r="L23" s="6" t="s">
        <v>98</v>
      </c>
      <c r="M23" s="6">
        <v>1</v>
      </c>
      <c r="N23" s="6">
        <v>3500</v>
      </c>
      <c r="O23" s="6">
        <v>5</v>
      </c>
      <c r="P23" s="6">
        <v>3325</v>
      </c>
      <c r="Q23" s="6">
        <v>3</v>
      </c>
      <c r="R23" s="6" t="s">
        <v>89</v>
      </c>
      <c r="S23" s="6" t="s">
        <v>116</v>
      </c>
      <c r="T23" s="6" t="s">
        <v>51</v>
      </c>
      <c r="U23" s="7" t="s">
        <v>209</v>
      </c>
      <c r="V23" s="6" t="s">
        <v>70</v>
      </c>
      <c r="W23" t="str">
        <f t="shared" si="0"/>
        <v>Blacklisted</v>
      </c>
    </row>
    <row r="24" spans="1:23" ht="14.25" customHeight="1">
      <c r="A24" s="3" t="s">
        <v>210</v>
      </c>
      <c r="B24" s="3" t="s">
        <v>101</v>
      </c>
      <c r="C24" s="3" t="s">
        <v>185</v>
      </c>
      <c r="D24" s="3" t="s">
        <v>103</v>
      </c>
      <c r="E24" s="3" t="s">
        <v>211</v>
      </c>
      <c r="F24" s="3" t="s">
        <v>104</v>
      </c>
      <c r="G24" s="3" t="s">
        <v>29</v>
      </c>
      <c r="H24" s="3" t="s">
        <v>212</v>
      </c>
      <c r="I24" s="3" t="s">
        <v>213</v>
      </c>
      <c r="J24" s="3" t="s">
        <v>46</v>
      </c>
      <c r="K24" s="3" t="s">
        <v>47</v>
      </c>
      <c r="L24" s="3" t="s">
        <v>190</v>
      </c>
      <c r="M24" s="3">
        <v>19</v>
      </c>
      <c r="N24" s="3">
        <v>700</v>
      </c>
      <c r="O24" s="3">
        <v>15</v>
      </c>
      <c r="P24" s="3">
        <v>11305</v>
      </c>
      <c r="Q24" s="3">
        <v>3</v>
      </c>
      <c r="R24" s="3" t="s">
        <v>49</v>
      </c>
      <c r="S24" s="3" t="s">
        <v>152</v>
      </c>
      <c r="T24" s="3" t="s">
        <v>145</v>
      </c>
      <c r="U24" s="5" t="s">
        <v>214</v>
      </c>
      <c r="V24" s="3" t="s">
        <v>65</v>
      </c>
      <c r="W24" t="str">
        <f t="shared" si="0"/>
        <v>Blacklisted</v>
      </c>
    </row>
    <row r="25" spans="1:23" ht="14.25" customHeight="1">
      <c r="A25" s="6" t="s">
        <v>215</v>
      </c>
      <c r="B25" s="6" t="s">
        <v>72</v>
      </c>
      <c r="C25" s="6" t="s">
        <v>55</v>
      </c>
      <c r="D25" s="6" t="s">
        <v>216</v>
      </c>
      <c r="E25" s="6" t="s">
        <v>217</v>
      </c>
      <c r="F25" s="6" t="s">
        <v>218</v>
      </c>
      <c r="G25" s="6" t="s">
        <v>77</v>
      </c>
      <c r="H25" s="6" t="s">
        <v>219</v>
      </c>
      <c r="I25" s="6" t="s">
        <v>60</v>
      </c>
      <c r="J25" s="6" t="s">
        <v>32</v>
      </c>
      <c r="K25" s="6" t="s">
        <v>47</v>
      </c>
      <c r="L25" s="6" t="s">
        <v>61</v>
      </c>
      <c r="M25" s="6">
        <v>12</v>
      </c>
      <c r="N25" s="6">
        <v>55000</v>
      </c>
      <c r="O25" s="6">
        <v>0</v>
      </c>
      <c r="P25" s="6">
        <v>660000</v>
      </c>
      <c r="Q25" s="6">
        <v>1</v>
      </c>
      <c r="R25" s="6" t="s">
        <v>80</v>
      </c>
      <c r="S25" s="6" t="s">
        <v>50</v>
      </c>
      <c r="T25" s="6" t="s">
        <v>81</v>
      </c>
      <c r="U25" s="7" t="s">
        <v>220</v>
      </c>
      <c r="V25" s="6" t="s">
        <v>65</v>
      </c>
      <c r="W25" t="str">
        <f t="shared" si="0"/>
        <v>Blacklisted</v>
      </c>
    </row>
    <row r="26" spans="1:23" ht="14.25" customHeight="1">
      <c r="A26" s="3" t="s">
        <v>221</v>
      </c>
      <c r="B26" s="3" t="s">
        <v>222</v>
      </c>
      <c r="C26" s="3" t="s">
        <v>223</v>
      </c>
      <c r="D26" s="3" t="s">
        <v>224</v>
      </c>
      <c r="E26" s="3" t="s">
        <v>225</v>
      </c>
      <c r="F26" s="3" t="s">
        <v>226</v>
      </c>
      <c r="G26" s="3" t="s">
        <v>77</v>
      </c>
      <c r="H26" s="3" t="s">
        <v>227</v>
      </c>
      <c r="I26" s="3" t="s">
        <v>106</v>
      </c>
      <c r="J26" s="3" t="s">
        <v>107</v>
      </c>
      <c r="K26" s="3" t="s">
        <v>123</v>
      </c>
      <c r="L26" s="3" t="s">
        <v>228</v>
      </c>
      <c r="M26" s="3">
        <v>1</v>
      </c>
      <c r="N26" s="3">
        <v>20</v>
      </c>
      <c r="O26" s="3">
        <v>5</v>
      </c>
      <c r="P26" s="3">
        <v>19</v>
      </c>
      <c r="Q26" s="3">
        <v>5</v>
      </c>
      <c r="R26" s="3" t="s">
        <v>80</v>
      </c>
      <c r="S26" s="3" t="s">
        <v>36</v>
      </c>
      <c r="T26" s="3" t="s">
        <v>229</v>
      </c>
      <c r="U26" s="5" t="s">
        <v>230</v>
      </c>
      <c r="V26" s="3" t="s">
        <v>70</v>
      </c>
      <c r="W26" t="str">
        <f t="shared" si="0"/>
        <v>Blacklisted</v>
      </c>
    </row>
    <row r="27" spans="1:23" ht="14.25" customHeight="1">
      <c r="A27" s="6" t="s">
        <v>231</v>
      </c>
      <c r="B27" s="6" t="s">
        <v>84</v>
      </c>
      <c r="C27" s="6" t="s">
        <v>223</v>
      </c>
      <c r="D27" s="6" t="s">
        <v>232</v>
      </c>
      <c r="E27" s="6" t="s">
        <v>233</v>
      </c>
      <c r="F27" s="6" t="s">
        <v>181</v>
      </c>
      <c r="G27" s="6" t="s">
        <v>77</v>
      </c>
      <c r="H27" s="6" t="s">
        <v>234</v>
      </c>
      <c r="I27" s="6" t="s">
        <v>106</v>
      </c>
      <c r="J27" s="6" t="s">
        <v>107</v>
      </c>
      <c r="K27" s="6" t="s">
        <v>123</v>
      </c>
      <c r="L27" s="6" t="s">
        <v>228</v>
      </c>
      <c r="M27" s="6">
        <v>2</v>
      </c>
      <c r="N27" s="6">
        <v>20</v>
      </c>
      <c r="O27" s="6">
        <v>15</v>
      </c>
      <c r="P27" s="6">
        <v>34</v>
      </c>
      <c r="Q27" s="6">
        <v>1</v>
      </c>
      <c r="R27" s="6" t="s">
        <v>89</v>
      </c>
      <c r="S27" s="6" t="s">
        <v>36</v>
      </c>
      <c r="T27" s="6" t="s">
        <v>90</v>
      </c>
      <c r="U27" s="7" t="s">
        <v>235</v>
      </c>
      <c r="V27" s="6" t="s">
        <v>65</v>
      </c>
      <c r="W27" t="str">
        <f t="shared" si="0"/>
        <v>Blacklisted</v>
      </c>
    </row>
    <row r="28" spans="1:23" ht="14.25" customHeight="1">
      <c r="A28" s="3" t="s">
        <v>236</v>
      </c>
      <c r="B28" s="3" t="s">
        <v>72</v>
      </c>
      <c r="C28" s="3" t="s">
        <v>93</v>
      </c>
      <c r="D28" s="3" t="s">
        <v>237</v>
      </c>
      <c r="E28" s="3" t="s">
        <v>238</v>
      </c>
      <c r="F28" s="3" t="s">
        <v>218</v>
      </c>
      <c r="G28" s="3" t="s">
        <v>77</v>
      </c>
      <c r="H28" s="3" t="s">
        <v>239</v>
      </c>
      <c r="I28" s="3" t="s">
        <v>139</v>
      </c>
      <c r="J28" s="3" t="s">
        <v>107</v>
      </c>
      <c r="K28" s="3" t="s">
        <v>33</v>
      </c>
      <c r="L28" s="3" t="s">
        <v>98</v>
      </c>
      <c r="M28" s="3">
        <v>12</v>
      </c>
      <c r="N28" s="3">
        <v>3500</v>
      </c>
      <c r="O28" s="3">
        <v>15</v>
      </c>
      <c r="P28" s="3">
        <v>35700</v>
      </c>
      <c r="Q28" s="3">
        <v>4</v>
      </c>
      <c r="R28" s="3" t="s">
        <v>35</v>
      </c>
      <c r="S28" s="3" t="s">
        <v>50</v>
      </c>
      <c r="T28" s="3" t="s">
        <v>81</v>
      </c>
      <c r="U28" s="5" t="s">
        <v>240</v>
      </c>
      <c r="V28" s="3" t="s">
        <v>70</v>
      </c>
      <c r="W28" t="str">
        <f t="shared" si="0"/>
        <v>Blacklisted</v>
      </c>
    </row>
    <row r="29" spans="1:23" ht="14.25" customHeight="1">
      <c r="A29" s="6" t="s">
        <v>241</v>
      </c>
      <c r="B29" s="6" t="s">
        <v>24</v>
      </c>
      <c r="C29" s="6" t="s">
        <v>73</v>
      </c>
      <c r="D29" s="6" t="s">
        <v>242</v>
      </c>
      <c r="E29" s="6" t="s">
        <v>243</v>
      </c>
      <c r="F29" s="6" t="s">
        <v>28</v>
      </c>
      <c r="G29" s="6" t="s">
        <v>29</v>
      </c>
      <c r="H29" s="6" t="s">
        <v>244</v>
      </c>
      <c r="I29" s="6" t="s">
        <v>139</v>
      </c>
      <c r="J29" s="6" t="s">
        <v>107</v>
      </c>
      <c r="K29" s="6" t="s">
        <v>47</v>
      </c>
      <c r="L29" s="6" t="s">
        <v>79</v>
      </c>
      <c r="M29" s="6">
        <v>11</v>
      </c>
      <c r="N29" s="6">
        <v>1200</v>
      </c>
      <c r="O29" s="6">
        <v>0</v>
      </c>
      <c r="P29" s="6">
        <v>13200</v>
      </c>
      <c r="Q29" s="6">
        <v>2</v>
      </c>
      <c r="R29" s="6" t="s">
        <v>89</v>
      </c>
      <c r="S29" s="6" t="s">
        <v>152</v>
      </c>
      <c r="T29" s="6" t="s">
        <v>51</v>
      </c>
      <c r="U29" s="7" t="s">
        <v>245</v>
      </c>
      <c r="V29" s="6" t="s">
        <v>39</v>
      </c>
      <c r="W29" t="str">
        <f t="shared" si="0"/>
        <v>Blacklisted</v>
      </c>
    </row>
    <row r="30" spans="1:23" ht="14.25" customHeight="1">
      <c r="A30" s="3" t="s">
        <v>246</v>
      </c>
      <c r="B30" s="3" t="s">
        <v>128</v>
      </c>
      <c r="C30" s="3" t="s">
        <v>170</v>
      </c>
      <c r="D30" s="3" t="s">
        <v>247</v>
      </c>
      <c r="E30" s="3" t="s">
        <v>248</v>
      </c>
      <c r="F30" s="3" t="s">
        <v>201</v>
      </c>
      <c r="G30" s="3" t="s">
        <v>77</v>
      </c>
      <c r="H30" s="3" t="s">
        <v>249</v>
      </c>
      <c r="I30" s="3" t="s">
        <v>115</v>
      </c>
      <c r="J30" s="3" t="s">
        <v>107</v>
      </c>
      <c r="K30" s="3" t="s">
        <v>33</v>
      </c>
      <c r="L30" s="3" t="s">
        <v>175</v>
      </c>
      <c r="M30" s="3">
        <v>6</v>
      </c>
      <c r="N30" s="3">
        <v>8500</v>
      </c>
      <c r="O30" s="3">
        <v>65</v>
      </c>
      <c r="P30" s="3">
        <v>51000</v>
      </c>
      <c r="Q30" s="3">
        <v>1</v>
      </c>
      <c r="R30" s="3" t="s">
        <v>80</v>
      </c>
      <c r="S30" s="3" t="s">
        <v>62</v>
      </c>
      <c r="T30" s="3" t="s">
        <v>133</v>
      </c>
      <c r="U30" s="5" t="s">
        <v>250</v>
      </c>
      <c r="V30" s="3" t="s">
        <v>39</v>
      </c>
      <c r="W30" t="str">
        <f t="shared" si="0"/>
        <v>Blacklisted</v>
      </c>
    </row>
    <row r="31" spans="1:23" ht="14.25" customHeight="1">
      <c r="A31" s="6" t="s">
        <v>251</v>
      </c>
      <c r="B31" s="6" t="s">
        <v>252</v>
      </c>
      <c r="C31" s="6" t="s">
        <v>119</v>
      </c>
      <c r="D31" s="6" t="s">
        <v>253</v>
      </c>
      <c r="E31" s="6" t="s">
        <v>254</v>
      </c>
      <c r="F31" s="6" t="s">
        <v>255</v>
      </c>
      <c r="G31" s="6" t="s">
        <v>29</v>
      </c>
      <c r="H31" s="6" t="s">
        <v>256</v>
      </c>
      <c r="I31" s="6" t="s">
        <v>115</v>
      </c>
      <c r="J31" s="6" t="s">
        <v>107</v>
      </c>
      <c r="K31" s="6" t="s">
        <v>123</v>
      </c>
      <c r="L31" s="6" t="s">
        <v>124</v>
      </c>
      <c r="M31" s="6">
        <v>2</v>
      </c>
      <c r="N31" s="6">
        <v>60</v>
      </c>
      <c r="O31" s="6">
        <v>5</v>
      </c>
      <c r="P31" s="6">
        <v>114</v>
      </c>
      <c r="Q31" s="6">
        <v>3</v>
      </c>
      <c r="R31" s="6" t="s">
        <v>35</v>
      </c>
      <c r="S31" s="6" t="s">
        <v>152</v>
      </c>
      <c r="T31" s="6" t="s">
        <v>257</v>
      </c>
      <c r="U31" s="7" t="s">
        <v>258</v>
      </c>
      <c r="V31" s="6" t="s">
        <v>70</v>
      </c>
      <c r="W31" t="str">
        <f t="shared" si="0"/>
        <v>Blacklisted</v>
      </c>
    </row>
    <row r="32" spans="1:23" ht="14.25" customHeight="1">
      <c r="A32" s="3" t="s">
        <v>259</v>
      </c>
      <c r="B32" s="3" t="s">
        <v>24</v>
      </c>
      <c r="C32" s="3" t="s">
        <v>260</v>
      </c>
      <c r="D32" s="3" t="s">
        <v>261</v>
      </c>
      <c r="E32" s="3" t="s">
        <v>262</v>
      </c>
      <c r="F32" s="3" t="s">
        <v>28</v>
      </c>
      <c r="G32" s="3" t="s">
        <v>29</v>
      </c>
      <c r="H32" s="3" t="s">
        <v>263</v>
      </c>
      <c r="I32" s="3" t="s">
        <v>60</v>
      </c>
      <c r="J32" s="3" t="s">
        <v>32</v>
      </c>
      <c r="K32" s="3" t="s">
        <v>123</v>
      </c>
      <c r="L32" s="3" t="s">
        <v>264</v>
      </c>
      <c r="M32" s="3">
        <v>19</v>
      </c>
      <c r="N32" s="3">
        <v>45</v>
      </c>
      <c r="O32" s="3">
        <v>20</v>
      </c>
      <c r="P32" s="3">
        <v>684</v>
      </c>
      <c r="Q32" s="3">
        <v>4</v>
      </c>
      <c r="R32" s="3" t="s">
        <v>49</v>
      </c>
      <c r="S32" s="3" t="s">
        <v>62</v>
      </c>
      <c r="T32" s="3" t="s">
        <v>51</v>
      </c>
      <c r="U32" s="5" t="s">
        <v>265</v>
      </c>
      <c r="V32" s="3" t="s">
        <v>70</v>
      </c>
      <c r="W32" t="str">
        <f t="shared" si="0"/>
        <v>Blacklisted</v>
      </c>
    </row>
    <row r="33" spans="1:23" ht="14.25" customHeight="1">
      <c r="A33" s="6" t="s">
        <v>266</v>
      </c>
      <c r="B33" s="6" t="s">
        <v>101</v>
      </c>
      <c r="C33" s="6" t="s">
        <v>41</v>
      </c>
      <c r="D33" s="6" t="s">
        <v>267</v>
      </c>
      <c r="E33" s="6" t="s">
        <v>268</v>
      </c>
      <c r="F33" s="6" t="s">
        <v>269</v>
      </c>
      <c r="G33" s="6" t="s">
        <v>29</v>
      </c>
      <c r="H33" s="6" t="s">
        <v>270</v>
      </c>
      <c r="I33" s="6" t="s">
        <v>139</v>
      </c>
      <c r="J33" s="6" t="s">
        <v>107</v>
      </c>
      <c r="K33" s="6" t="s">
        <v>47</v>
      </c>
      <c r="L33" s="6" t="s">
        <v>48</v>
      </c>
      <c r="M33" s="6">
        <v>11</v>
      </c>
      <c r="N33" s="6">
        <v>12000</v>
      </c>
      <c r="O33" s="6">
        <v>0</v>
      </c>
      <c r="P33" s="6">
        <v>132000</v>
      </c>
      <c r="Q33" s="6">
        <v>3</v>
      </c>
      <c r="R33" s="6" t="s">
        <v>89</v>
      </c>
      <c r="S33" s="6" t="s">
        <v>36</v>
      </c>
      <c r="T33" s="6" t="s">
        <v>145</v>
      </c>
      <c r="U33" s="7" t="s">
        <v>271</v>
      </c>
      <c r="V33" s="6" t="s">
        <v>65</v>
      </c>
      <c r="W33" t="str">
        <f t="shared" si="0"/>
        <v>Blacklisted</v>
      </c>
    </row>
    <row r="34" spans="1:23" ht="14.25" customHeight="1">
      <c r="A34" s="3" t="s">
        <v>272</v>
      </c>
      <c r="B34" s="3" t="s">
        <v>252</v>
      </c>
      <c r="C34" s="3" t="s">
        <v>25</v>
      </c>
      <c r="D34" s="3" t="s">
        <v>273</v>
      </c>
      <c r="E34" s="3" t="s">
        <v>137</v>
      </c>
      <c r="F34" s="3" t="s">
        <v>255</v>
      </c>
      <c r="G34" s="3" t="s">
        <v>29</v>
      </c>
      <c r="H34" s="3" t="s">
        <v>274</v>
      </c>
      <c r="I34" s="3" t="s">
        <v>60</v>
      </c>
      <c r="J34" s="3" t="s">
        <v>32</v>
      </c>
      <c r="K34" s="3" t="s">
        <v>33</v>
      </c>
      <c r="L34" s="3" t="s">
        <v>34</v>
      </c>
      <c r="M34" s="3">
        <v>20</v>
      </c>
      <c r="N34" s="3">
        <v>2200</v>
      </c>
      <c r="O34" s="3">
        <v>5</v>
      </c>
      <c r="P34" s="3">
        <v>41800</v>
      </c>
      <c r="Q34" s="3">
        <v>1</v>
      </c>
      <c r="R34" s="3" t="s">
        <v>35</v>
      </c>
      <c r="S34" s="3" t="s">
        <v>50</v>
      </c>
      <c r="T34" s="3" t="s">
        <v>257</v>
      </c>
      <c r="U34" s="5" t="s">
        <v>275</v>
      </c>
      <c r="V34" s="3" t="s">
        <v>65</v>
      </c>
      <c r="W34" t="str">
        <f t="shared" si="0"/>
        <v>Blacklisted</v>
      </c>
    </row>
    <row r="35" spans="1:23" ht="14.25" customHeight="1">
      <c r="A35" s="6" t="s">
        <v>276</v>
      </c>
      <c r="B35" s="6" t="s">
        <v>84</v>
      </c>
      <c r="C35" s="6" t="s">
        <v>223</v>
      </c>
      <c r="D35" s="6" t="s">
        <v>232</v>
      </c>
      <c r="E35" s="6" t="s">
        <v>277</v>
      </c>
      <c r="F35" s="6" t="s">
        <v>181</v>
      </c>
      <c r="G35" s="6" t="s">
        <v>77</v>
      </c>
      <c r="H35" s="6" t="s">
        <v>278</v>
      </c>
      <c r="I35" s="6" t="s">
        <v>139</v>
      </c>
      <c r="J35" s="6" t="s">
        <v>107</v>
      </c>
      <c r="K35" s="6" t="s">
        <v>123</v>
      </c>
      <c r="L35" s="6" t="s">
        <v>228</v>
      </c>
      <c r="M35" s="6">
        <v>3</v>
      </c>
      <c r="N35" s="6">
        <v>20</v>
      </c>
      <c r="O35" s="6">
        <v>0</v>
      </c>
      <c r="P35" s="6">
        <v>60</v>
      </c>
      <c r="Q35" s="6">
        <v>2</v>
      </c>
      <c r="R35" s="6" t="s">
        <v>80</v>
      </c>
      <c r="S35" s="6" t="s">
        <v>36</v>
      </c>
      <c r="T35" s="6" t="s">
        <v>279</v>
      </c>
      <c r="U35" s="7" t="s">
        <v>280</v>
      </c>
      <c r="V35" s="6" t="s">
        <v>70</v>
      </c>
      <c r="W35" t="str">
        <f t="shared" si="0"/>
        <v>Blacklisted</v>
      </c>
    </row>
    <row r="36" spans="1:23" ht="14.25" customHeight="1">
      <c r="A36" s="3" t="s">
        <v>281</v>
      </c>
      <c r="B36" s="3" t="s">
        <v>128</v>
      </c>
      <c r="C36" s="3" t="s">
        <v>260</v>
      </c>
      <c r="D36" s="3" t="s">
        <v>282</v>
      </c>
      <c r="E36" s="3" t="s">
        <v>283</v>
      </c>
      <c r="F36" s="3" t="s">
        <v>201</v>
      </c>
      <c r="G36" s="3" t="s">
        <v>77</v>
      </c>
      <c r="H36" s="3" t="s">
        <v>284</v>
      </c>
      <c r="I36" s="3" t="s">
        <v>115</v>
      </c>
      <c r="J36" s="3" t="s">
        <v>107</v>
      </c>
      <c r="K36" s="3" t="s">
        <v>123</v>
      </c>
      <c r="L36" s="3" t="s">
        <v>264</v>
      </c>
      <c r="M36" s="3">
        <v>18</v>
      </c>
      <c r="N36" s="3">
        <v>45</v>
      </c>
      <c r="O36" s="3">
        <v>20</v>
      </c>
      <c r="P36" s="3">
        <v>648</v>
      </c>
      <c r="Q36" s="3">
        <v>4</v>
      </c>
      <c r="R36" s="3" t="s">
        <v>49</v>
      </c>
      <c r="S36" s="3" t="s">
        <v>36</v>
      </c>
      <c r="T36" s="3" t="s">
        <v>133</v>
      </c>
      <c r="U36" s="5" t="s">
        <v>285</v>
      </c>
      <c r="V36" s="3" t="s">
        <v>70</v>
      </c>
      <c r="W36" t="str">
        <f t="shared" si="0"/>
        <v>Blacklisted</v>
      </c>
    </row>
    <row r="37" spans="1:23" ht="14.25" customHeight="1">
      <c r="A37" s="6" t="s">
        <v>286</v>
      </c>
      <c r="B37" s="6" t="s">
        <v>128</v>
      </c>
      <c r="C37" s="6" t="s">
        <v>73</v>
      </c>
      <c r="D37" s="6" t="s">
        <v>287</v>
      </c>
      <c r="E37" s="6" t="s">
        <v>288</v>
      </c>
      <c r="F37" s="6" t="s">
        <v>201</v>
      </c>
      <c r="G37" s="6" t="s">
        <v>77</v>
      </c>
      <c r="H37" s="6" t="s">
        <v>289</v>
      </c>
      <c r="I37" s="6" t="s">
        <v>60</v>
      </c>
      <c r="J37" s="6" t="s">
        <v>32</v>
      </c>
      <c r="K37" s="6" t="s">
        <v>47</v>
      </c>
      <c r="L37" s="6" t="s">
        <v>79</v>
      </c>
      <c r="M37" s="6">
        <v>4</v>
      </c>
      <c r="N37" s="6">
        <v>1200</v>
      </c>
      <c r="O37" s="6">
        <v>20</v>
      </c>
      <c r="P37" s="6">
        <v>3840</v>
      </c>
      <c r="Q37" s="6">
        <v>3</v>
      </c>
      <c r="R37" s="6" t="s">
        <v>49</v>
      </c>
      <c r="S37" s="6" t="s">
        <v>62</v>
      </c>
      <c r="T37" s="6" t="s">
        <v>133</v>
      </c>
      <c r="U37" s="7" t="s">
        <v>290</v>
      </c>
      <c r="V37" s="6" t="s">
        <v>39</v>
      </c>
      <c r="W37" t="str">
        <f t="shared" si="0"/>
        <v>Silver</v>
      </c>
    </row>
    <row r="38" spans="1:23" ht="14.25" customHeight="1">
      <c r="A38" s="3" t="s">
        <v>291</v>
      </c>
      <c r="B38" s="3" t="s">
        <v>72</v>
      </c>
      <c r="C38" s="3" t="s">
        <v>55</v>
      </c>
      <c r="D38" s="3" t="s">
        <v>292</v>
      </c>
      <c r="E38" s="3" t="s">
        <v>293</v>
      </c>
      <c r="F38" s="3" t="s">
        <v>218</v>
      </c>
      <c r="G38" s="3" t="s">
        <v>77</v>
      </c>
      <c r="H38" s="3" t="s">
        <v>294</v>
      </c>
      <c r="I38" s="3" t="s">
        <v>295</v>
      </c>
      <c r="J38" s="3" t="s">
        <v>296</v>
      </c>
      <c r="K38" s="3" t="s">
        <v>47</v>
      </c>
      <c r="L38" s="3" t="s">
        <v>61</v>
      </c>
      <c r="M38" s="3">
        <v>10</v>
      </c>
      <c r="N38" s="3">
        <v>55000</v>
      </c>
      <c r="O38" s="3">
        <v>0</v>
      </c>
      <c r="P38" s="3">
        <v>550000</v>
      </c>
      <c r="Q38" s="3">
        <v>1</v>
      </c>
      <c r="R38" s="3" t="s">
        <v>89</v>
      </c>
      <c r="S38" s="3" t="s">
        <v>50</v>
      </c>
      <c r="T38" s="3" t="s">
        <v>81</v>
      </c>
      <c r="U38" s="5" t="s">
        <v>297</v>
      </c>
      <c r="V38" s="3" t="s">
        <v>70</v>
      </c>
      <c r="W38" t="str">
        <f t="shared" si="0"/>
        <v>Blacklisted</v>
      </c>
    </row>
    <row r="39" spans="1:23" ht="14.25" customHeight="1">
      <c r="A39" s="6" t="s">
        <v>298</v>
      </c>
      <c r="B39" s="6" t="s">
        <v>252</v>
      </c>
      <c r="C39" s="6" t="s">
        <v>93</v>
      </c>
      <c r="D39" s="6" t="s">
        <v>299</v>
      </c>
      <c r="E39" s="6" t="s">
        <v>243</v>
      </c>
      <c r="F39" s="6" t="s">
        <v>255</v>
      </c>
      <c r="G39" s="6" t="s">
        <v>29</v>
      </c>
      <c r="H39" s="6" t="s">
        <v>300</v>
      </c>
      <c r="I39" s="6" t="s">
        <v>45</v>
      </c>
      <c r="J39" s="6" t="s">
        <v>46</v>
      </c>
      <c r="K39" s="6" t="s">
        <v>33</v>
      </c>
      <c r="L39" s="6" t="s">
        <v>98</v>
      </c>
      <c r="M39" s="6">
        <v>20</v>
      </c>
      <c r="N39" s="6">
        <v>3500</v>
      </c>
      <c r="O39" s="6">
        <v>10</v>
      </c>
      <c r="P39" s="6">
        <v>63000</v>
      </c>
      <c r="Q39" s="6">
        <v>3</v>
      </c>
      <c r="R39" s="6" t="s">
        <v>80</v>
      </c>
      <c r="S39" s="6" t="s">
        <v>50</v>
      </c>
      <c r="T39" s="6" t="s">
        <v>257</v>
      </c>
      <c r="U39" s="7" t="s">
        <v>301</v>
      </c>
      <c r="V39" s="6" t="s">
        <v>70</v>
      </c>
      <c r="W39" t="str">
        <f t="shared" si="0"/>
        <v>Blacklisted</v>
      </c>
    </row>
    <row r="40" spans="1:23" ht="14.25" customHeight="1">
      <c r="A40" s="3" t="s">
        <v>302</v>
      </c>
      <c r="B40" s="3" t="s">
        <v>24</v>
      </c>
      <c r="C40" s="3" t="s">
        <v>223</v>
      </c>
      <c r="D40" s="3" t="s">
        <v>303</v>
      </c>
      <c r="E40" s="3" t="s">
        <v>304</v>
      </c>
      <c r="F40" s="3" t="s">
        <v>28</v>
      </c>
      <c r="G40" s="3" t="s">
        <v>29</v>
      </c>
      <c r="H40" s="3" t="s">
        <v>305</v>
      </c>
      <c r="I40" s="3" t="s">
        <v>115</v>
      </c>
      <c r="J40" s="3" t="s">
        <v>107</v>
      </c>
      <c r="K40" s="3" t="s">
        <v>123</v>
      </c>
      <c r="L40" s="3" t="s">
        <v>228</v>
      </c>
      <c r="M40" s="3">
        <v>5</v>
      </c>
      <c r="N40" s="3" t="s">
        <v>306</v>
      </c>
      <c r="O40" s="3">
        <v>0</v>
      </c>
      <c r="P40" s="3">
        <v>100</v>
      </c>
      <c r="Q40" s="3">
        <v>1</v>
      </c>
      <c r="R40" s="3" t="s">
        <v>35</v>
      </c>
      <c r="S40" s="3" t="s">
        <v>50</v>
      </c>
      <c r="T40" s="3" t="s">
        <v>51</v>
      </c>
      <c r="U40" s="5" t="s">
        <v>307</v>
      </c>
      <c r="V40" s="3" t="s">
        <v>70</v>
      </c>
      <c r="W40" t="str">
        <f t="shared" si="0"/>
        <v>Blacklisted</v>
      </c>
    </row>
    <row r="41" spans="1:23" ht="14.25" customHeight="1">
      <c r="A41" s="6" t="s">
        <v>308</v>
      </c>
      <c r="B41" s="6" t="s">
        <v>54</v>
      </c>
      <c r="C41" s="6" t="s">
        <v>170</v>
      </c>
      <c r="D41" s="6" t="s">
        <v>309</v>
      </c>
      <c r="E41" s="6" t="s">
        <v>310</v>
      </c>
      <c r="F41" s="6" t="s">
        <v>164</v>
      </c>
      <c r="G41" s="6" t="s">
        <v>29</v>
      </c>
      <c r="H41" s="6" t="s">
        <v>311</v>
      </c>
      <c r="I41" s="6" t="s">
        <v>106</v>
      </c>
      <c r="J41" s="6" t="s">
        <v>107</v>
      </c>
      <c r="K41" s="6" t="s">
        <v>33</v>
      </c>
      <c r="L41" s="6" t="s">
        <v>175</v>
      </c>
      <c r="M41" s="6">
        <v>20</v>
      </c>
      <c r="N41" s="6">
        <v>8500</v>
      </c>
      <c r="O41" s="6">
        <v>0</v>
      </c>
      <c r="P41" s="6">
        <v>170000</v>
      </c>
      <c r="Q41" s="6">
        <v>1</v>
      </c>
      <c r="R41" s="6" t="s">
        <v>89</v>
      </c>
      <c r="S41" s="6" t="s">
        <v>116</v>
      </c>
      <c r="T41" s="6" t="s">
        <v>63</v>
      </c>
      <c r="U41" s="7" t="s">
        <v>312</v>
      </c>
      <c r="V41" s="6" t="s">
        <v>70</v>
      </c>
      <c r="W41" t="str">
        <f t="shared" si="0"/>
        <v>Blacklisted</v>
      </c>
    </row>
    <row r="42" spans="1:23" ht="14.25" customHeight="1">
      <c r="A42" s="3" t="s">
        <v>313</v>
      </c>
      <c r="B42" s="3" t="s">
        <v>84</v>
      </c>
      <c r="C42" s="3" t="s">
        <v>119</v>
      </c>
      <c r="D42" s="3" t="s">
        <v>314</v>
      </c>
      <c r="E42" s="3" t="s">
        <v>315</v>
      </c>
      <c r="F42" s="3" t="s">
        <v>181</v>
      </c>
      <c r="G42" s="3" t="s">
        <v>77</v>
      </c>
      <c r="H42" s="3" t="s">
        <v>316</v>
      </c>
      <c r="I42" s="3" t="s">
        <v>60</v>
      </c>
      <c r="J42" s="3" t="s">
        <v>32</v>
      </c>
      <c r="K42" s="3" t="s">
        <v>123</v>
      </c>
      <c r="L42" s="3" t="s">
        <v>124</v>
      </c>
      <c r="M42" s="3">
        <v>8</v>
      </c>
      <c r="N42" s="3">
        <v>60</v>
      </c>
      <c r="O42" s="3">
        <v>15</v>
      </c>
      <c r="P42" s="3">
        <v>408</v>
      </c>
      <c r="Q42" s="3">
        <v>5</v>
      </c>
      <c r="R42" s="3" t="s">
        <v>89</v>
      </c>
      <c r="S42" s="3" t="s">
        <v>50</v>
      </c>
      <c r="T42" s="3" t="s">
        <v>90</v>
      </c>
      <c r="U42" s="5" t="s">
        <v>317</v>
      </c>
      <c r="V42" s="3" t="s">
        <v>65</v>
      </c>
      <c r="W42" t="str">
        <f t="shared" si="0"/>
        <v>Blacklisted</v>
      </c>
    </row>
    <row r="43" spans="1:23" ht="14.25" customHeight="1">
      <c r="A43" s="6" t="s">
        <v>318</v>
      </c>
      <c r="B43" s="6" t="s">
        <v>54</v>
      </c>
      <c r="C43" s="6" t="s">
        <v>93</v>
      </c>
      <c r="D43" s="6" t="s">
        <v>319</v>
      </c>
      <c r="E43" s="6" t="s">
        <v>261</v>
      </c>
      <c r="F43" s="6" t="s">
        <v>164</v>
      </c>
      <c r="G43" s="6" t="s">
        <v>29</v>
      </c>
      <c r="H43" s="6" t="s">
        <v>320</v>
      </c>
      <c r="I43" s="6" t="s">
        <v>115</v>
      </c>
      <c r="J43" s="6" t="s">
        <v>107</v>
      </c>
      <c r="K43" s="6" t="s">
        <v>33</v>
      </c>
      <c r="L43" s="6" t="s">
        <v>98</v>
      </c>
      <c r="M43" s="6">
        <v>8</v>
      </c>
      <c r="N43" s="6">
        <v>3500</v>
      </c>
      <c r="O43" s="6">
        <v>5</v>
      </c>
      <c r="P43" s="6">
        <v>26600</v>
      </c>
      <c r="Q43" s="6">
        <v>1</v>
      </c>
      <c r="R43" s="6" t="s">
        <v>80</v>
      </c>
      <c r="S43" s="6" t="s">
        <v>116</v>
      </c>
      <c r="T43" s="6" t="s">
        <v>63</v>
      </c>
      <c r="U43" s="7" t="s">
        <v>321</v>
      </c>
      <c r="V43" s="6" t="s">
        <v>65</v>
      </c>
      <c r="W43" t="str">
        <f t="shared" si="0"/>
        <v>Blacklisted</v>
      </c>
    </row>
    <row r="44" spans="1:23" ht="14.25" customHeight="1">
      <c r="A44" s="3" t="s">
        <v>322</v>
      </c>
      <c r="B44" s="3" t="s">
        <v>72</v>
      </c>
      <c r="C44" s="3" t="s">
        <v>170</v>
      </c>
      <c r="D44" s="3" t="s">
        <v>323</v>
      </c>
      <c r="E44" s="3" t="s">
        <v>324</v>
      </c>
      <c r="F44" s="3" t="s">
        <v>218</v>
      </c>
      <c r="G44" s="3" t="s">
        <v>77</v>
      </c>
      <c r="H44" s="3" t="s">
        <v>325</v>
      </c>
      <c r="I44" s="3" t="s">
        <v>213</v>
      </c>
      <c r="J44" s="3" t="s">
        <v>46</v>
      </c>
      <c r="K44" s="3" t="s">
        <v>33</v>
      </c>
      <c r="L44" s="3" t="s">
        <v>175</v>
      </c>
      <c r="M44" s="3">
        <v>1</v>
      </c>
      <c r="N44" s="3">
        <v>8500</v>
      </c>
      <c r="O44" s="3">
        <v>0</v>
      </c>
      <c r="P44" s="3">
        <v>8500</v>
      </c>
      <c r="Q44" s="3">
        <v>2</v>
      </c>
      <c r="R44" s="3" t="s">
        <v>80</v>
      </c>
      <c r="S44" s="3" t="s">
        <v>116</v>
      </c>
      <c r="T44" s="3" t="s">
        <v>81</v>
      </c>
      <c r="U44" s="5" t="s">
        <v>326</v>
      </c>
      <c r="V44" s="3" t="s">
        <v>65</v>
      </c>
      <c r="W44" t="str">
        <f t="shared" si="0"/>
        <v>Blacklisted</v>
      </c>
    </row>
    <row r="45" spans="1:23" ht="14.25" customHeight="1">
      <c r="A45" s="6" t="s">
        <v>327</v>
      </c>
      <c r="B45" s="6" t="s">
        <v>328</v>
      </c>
      <c r="C45" s="6" t="s">
        <v>260</v>
      </c>
      <c r="D45" s="6" t="s">
        <v>329</v>
      </c>
      <c r="E45" s="6" t="s">
        <v>330</v>
      </c>
      <c r="F45" s="6" t="s">
        <v>331</v>
      </c>
      <c r="G45" s="6" t="s">
        <v>77</v>
      </c>
      <c r="H45" s="6" t="s">
        <v>332</v>
      </c>
      <c r="I45" s="6" t="s">
        <v>115</v>
      </c>
      <c r="J45" s="6" t="s">
        <v>107</v>
      </c>
      <c r="K45" s="6" t="s">
        <v>123</v>
      </c>
      <c r="L45" s="6" t="s">
        <v>264</v>
      </c>
      <c r="M45" s="6">
        <v>8</v>
      </c>
      <c r="N45" s="6">
        <v>45</v>
      </c>
      <c r="O45" s="6">
        <v>15</v>
      </c>
      <c r="P45" s="6">
        <v>306</v>
      </c>
      <c r="Q45" s="6">
        <v>2</v>
      </c>
      <c r="R45" s="6" t="s">
        <v>80</v>
      </c>
      <c r="S45" s="6" t="s">
        <v>62</v>
      </c>
      <c r="T45" s="6" t="s">
        <v>333</v>
      </c>
      <c r="U45" s="7" t="s">
        <v>334</v>
      </c>
      <c r="V45" s="6" t="s">
        <v>39</v>
      </c>
      <c r="W45" t="str">
        <f t="shared" si="0"/>
        <v>Blacklisted</v>
      </c>
    </row>
    <row r="46" spans="1:23" ht="14.25" customHeight="1">
      <c r="A46" s="3" t="s">
        <v>335</v>
      </c>
      <c r="B46" s="3" t="s">
        <v>252</v>
      </c>
      <c r="C46" s="3" t="s">
        <v>25</v>
      </c>
      <c r="D46" s="3" t="s">
        <v>336</v>
      </c>
      <c r="E46" s="3" t="s">
        <v>337</v>
      </c>
      <c r="F46" s="3" t="s">
        <v>255</v>
      </c>
      <c r="G46" s="3" t="s">
        <v>29</v>
      </c>
      <c r="H46" s="3" t="s">
        <v>338</v>
      </c>
      <c r="I46" s="3" t="s">
        <v>115</v>
      </c>
      <c r="J46" s="3" t="s">
        <v>107</v>
      </c>
      <c r="K46" s="3" t="s">
        <v>33</v>
      </c>
      <c r="L46" s="3" t="s">
        <v>34</v>
      </c>
      <c r="M46" s="3">
        <v>16</v>
      </c>
      <c r="N46" s="3">
        <v>2200</v>
      </c>
      <c r="O46" s="3">
        <v>5</v>
      </c>
      <c r="P46" s="3">
        <v>33440</v>
      </c>
      <c r="Q46" s="3">
        <v>5</v>
      </c>
      <c r="R46" s="3" t="s">
        <v>80</v>
      </c>
      <c r="S46" s="3" t="s">
        <v>62</v>
      </c>
      <c r="T46" s="3" t="s">
        <v>257</v>
      </c>
      <c r="U46" s="5" t="s">
        <v>339</v>
      </c>
      <c r="V46" s="3" t="s">
        <v>70</v>
      </c>
      <c r="W46" t="str">
        <f t="shared" si="0"/>
        <v>Blacklisted</v>
      </c>
    </row>
    <row r="47" spans="1:23" ht="14.25" customHeight="1">
      <c r="A47" s="6" t="s">
        <v>340</v>
      </c>
      <c r="B47" s="6" t="s">
        <v>72</v>
      </c>
      <c r="C47" s="6" t="s">
        <v>93</v>
      </c>
      <c r="D47" s="6" t="s">
        <v>341</v>
      </c>
      <c r="E47" s="6" t="s">
        <v>342</v>
      </c>
      <c r="F47" s="6" t="s">
        <v>218</v>
      </c>
      <c r="G47" s="6" t="s">
        <v>77</v>
      </c>
      <c r="H47" s="6" t="s">
        <v>343</v>
      </c>
      <c r="I47" s="6" t="s">
        <v>60</v>
      </c>
      <c r="J47" s="6" t="s">
        <v>32</v>
      </c>
      <c r="K47" s="6" t="s">
        <v>33</v>
      </c>
      <c r="L47" s="6" t="s">
        <v>98</v>
      </c>
      <c r="M47" s="6">
        <v>19</v>
      </c>
      <c r="N47" s="6">
        <v>3500</v>
      </c>
      <c r="O47" s="6">
        <v>20</v>
      </c>
      <c r="P47" s="6">
        <v>53200</v>
      </c>
      <c r="Q47" s="6">
        <v>3</v>
      </c>
      <c r="R47" s="6" t="s">
        <v>35</v>
      </c>
      <c r="S47" s="6" t="s">
        <v>152</v>
      </c>
      <c r="T47" s="6" t="s">
        <v>81</v>
      </c>
      <c r="U47" s="7" t="s">
        <v>344</v>
      </c>
      <c r="V47" s="6" t="s">
        <v>70</v>
      </c>
      <c r="W47" t="str">
        <f t="shared" si="0"/>
        <v>Blacklisted</v>
      </c>
    </row>
    <row r="48" spans="1:23" ht="14.25" customHeight="1">
      <c r="A48" s="3" t="s">
        <v>345</v>
      </c>
      <c r="B48" s="3" t="s">
        <v>252</v>
      </c>
      <c r="C48" s="3" t="s">
        <v>185</v>
      </c>
      <c r="D48" s="3" t="s">
        <v>346</v>
      </c>
      <c r="E48" s="3" t="s">
        <v>347</v>
      </c>
      <c r="F48" s="3" t="s">
        <v>255</v>
      </c>
      <c r="G48" s="3" t="s">
        <v>29</v>
      </c>
      <c r="H48" s="3" t="s">
        <v>348</v>
      </c>
      <c r="I48" s="3" t="s">
        <v>115</v>
      </c>
      <c r="J48" s="3" t="s">
        <v>107</v>
      </c>
      <c r="K48" s="3" t="s">
        <v>47</v>
      </c>
      <c r="L48" s="3" t="s">
        <v>190</v>
      </c>
      <c r="M48" s="3">
        <v>15</v>
      </c>
      <c r="N48" s="3">
        <v>700</v>
      </c>
      <c r="O48" s="3">
        <v>15</v>
      </c>
      <c r="P48" s="3">
        <v>8925</v>
      </c>
      <c r="Q48" s="3">
        <v>4</v>
      </c>
      <c r="R48" s="3" t="s">
        <v>89</v>
      </c>
      <c r="S48" s="3" t="s">
        <v>116</v>
      </c>
      <c r="T48" s="3" t="s">
        <v>349</v>
      </c>
      <c r="U48" s="5" t="s">
        <v>350</v>
      </c>
      <c r="V48" s="3" t="s">
        <v>39</v>
      </c>
      <c r="W48" t="str">
        <f t="shared" si="0"/>
        <v>Silver</v>
      </c>
    </row>
    <row r="49" spans="1:23" ht="14.25" customHeight="1">
      <c r="A49" s="6" t="s">
        <v>351</v>
      </c>
      <c r="B49" s="6" t="s">
        <v>252</v>
      </c>
      <c r="C49" s="6" t="s">
        <v>185</v>
      </c>
      <c r="D49" s="6" t="s">
        <v>352</v>
      </c>
      <c r="E49" s="6" t="s">
        <v>353</v>
      </c>
      <c r="F49" s="6" t="s">
        <v>255</v>
      </c>
      <c r="G49" s="6" t="s">
        <v>29</v>
      </c>
      <c r="H49" s="6" t="s">
        <v>354</v>
      </c>
      <c r="I49" s="6" t="s">
        <v>213</v>
      </c>
      <c r="J49" s="6" t="s">
        <v>46</v>
      </c>
      <c r="K49" s="6" t="s">
        <v>47</v>
      </c>
      <c r="L49" s="6" t="s">
        <v>190</v>
      </c>
      <c r="M49" s="6">
        <v>19</v>
      </c>
      <c r="N49" s="6">
        <v>700</v>
      </c>
      <c r="O49" s="6">
        <v>20</v>
      </c>
      <c r="P49" s="6">
        <v>10640</v>
      </c>
      <c r="Q49" s="6">
        <v>1</v>
      </c>
      <c r="R49" s="6" t="s">
        <v>35</v>
      </c>
      <c r="S49" s="6" t="s">
        <v>116</v>
      </c>
      <c r="T49" s="6" t="s">
        <v>257</v>
      </c>
      <c r="U49" s="7" t="s">
        <v>355</v>
      </c>
      <c r="V49" s="6" t="s">
        <v>39</v>
      </c>
      <c r="W49" t="str">
        <f t="shared" si="0"/>
        <v>Blacklisted</v>
      </c>
    </row>
    <row r="50" spans="1:23" ht="14.25" customHeight="1">
      <c r="A50" s="3" t="s">
        <v>356</v>
      </c>
      <c r="B50" s="3" t="s">
        <v>72</v>
      </c>
      <c r="C50" s="3" t="s">
        <v>41</v>
      </c>
      <c r="D50" s="3" t="s">
        <v>357</v>
      </c>
      <c r="E50" s="3"/>
      <c r="F50" s="3" t="s">
        <v>218</v>
      </c>
      <c r="G50" s="3" t="s">
        <v>77</v>
      </c>
      <c r="H50" s="3" t="s">
        <v>358</v>
      </c>
      <c r="I50" s="3" t="s">
        <v>45</v>
      </c>
      <c r="J50" s="3" t="s">
        <v>46</v>
      </c>
      <c r="K50" s="3" t="s">
        <v>47</v>
      </c>
      <c r="L50" s="3" t="s">
        <v>48</v>
      </c>
      <c r="M50" s="3">
        <v>19</v>
      </c>
      <c r="N50" s="3">
        <v>12000</v>
      </c>
      <c r="O50" s="3">
        <v>0</v>
      </c>
      <c r="P50" s="3">
        <v>228000</v>
      </c>
      <c r="Q50" s="3">
        <v>1</v>
      </c>
      <c r="R50" s="3" t="s">
        <v>49</v>
      </c>
      <c r="S50" s="3" t="s">
        <v>62</v>
      </c>
      <c r="T50" s="3" t="s">
        <v>81</v>
      </c>
      <c r="U50" s="5" t="s">
        <v>359</v>
      </c>
      <c r="V50" s="3" t="s">
        <v>39</v>
      </c>
      <c r="W50" t="str">
        <f t="shared" si="0"/>
        <v>Blacklisted</v>
      </c>
    </row>
    <row r="51" spans="1:23" ht="14.25" customHeight="1">
      <c r="A51" s="6" t="s">
        <v>360</v>
      </c>
      <c r="B51" s="6" t="s">
        <v>169</v>
      </c>
      <c r="C51" s="6" t="s">
        <v>73</v>
      </c>
      <c r="D51" s="6" t="s">
        <v>357</v>
      </c>
      <c r="E51" s="6" t="s">
        <v>361</v>
      </c>
      <c r="F51" s="6" t="s">
        <v>362</v>
      </c>
      <c r="G51" s="6" t="s">
        <v>29</v>
      </c>
      <c r="H51" s="6" t="s">
        <v>363</v>
      </c>
      <c r="I51" s="6" t="s">
        <v>115</v>
      </c>
      <c r="J51" s="6" t="s">
        <v>107</v>
      </c>
      <c r="K51" s="6" t="s">
        <v>47</v>
      </c>
      <c r="L51" s="6" t="s">
        <v>79</v>
      </c>
      <c r="M51" s="6">
        <v>6</v>
      </c>
      <c r="N51" s="6">
        <v>1200</v>
      </c>
      <c r="O51" s="6">
        <v>5</v>
      </c>
      <c r="P51" s="6">
        <v>6840</v>
      </c>
      <c r="Q51" s="6">
        <v>2</v>
      </c>
      <c r="R51" s="6" t="s">
        <v>35</v>
      </c>
      <c r="S51" s="6" t="s">
        <v>36</v>
      </c>
      <c r="T51" s="6" t="s">
        <v>176</v>
      </c>
      <c r="U51" s="7" t="s">
        <v>364</v>
      </c>
      <c r="V51" s="6" t="s">
        <v>65</v>
      </c>
      <c r="W51" t="str">
        <f t="shared" si="0"/>
        <v>Blacklisted</v>
      </c>
    </row>
    <row r="52" spans="1:23" ht="14.25" customHeight="1">
      <c r="A52" s="3" t="s">
        <v>365</v>
      </c>
      <c r="B52" s="3" t="s">
        <v>54</v>
      </c>
      <c r="C52" s="3" t="s">
        <v>25</v>
      </c>
      <c r="D52" s="3" t="s">
        <v>366</v>
      </c>
      <c r="E52" s="3" t="s">
        <v>367</v>
      </c>
      <c r="F52" s="3" t="s">
        <v>368</v>
      </c>
      <c r="G52" s="3" t="s">
        <v>29</v>
      </c>
      <c r="H52" s="3" t="s">
        <v>369</v>
      </c>
      <c r="I52" s="3" t="s">
        <v>60</v>
      </c>
      <c r="J52" s="3" t="s">
        <v>32</v>
      </c>
      <c r="K52" s="3" t="s">
        <v>33</v>
      </c>
      <c r="L52" s="3" t="s">
        <v>34</v>
      </c>
      <c r="M52" s="3">
        <v>7</v>
      </c>
      <c r="N52" s="3">
        <v>2200</v>
      </c>
      <c r="O52" s="3">
        <v>15</v>
      </c>
      <c r="P52" s="3">
        <v>13090</v>
      </c>
      <c r="Q52" s="3">
        <v>1</v>
      </c>
      <c r="R52" s="3" t="s">
        <v>89</v>
      </c>
      <c r="S52" s="3" t="s">
        <v>62</v>
      </c>
      <c r="T52" s="3" t="s">
        <v>63</v>
      </c>
      <c r="U52" s="5" t="s">
        <v>370</v>
      </c>
      <c r="V52" s="3" t="s">
        <v>39</v>
      </c>
      <c r="W52" t="str">
        <f t="shared" si="0"/>
        <v>Blacklisted</v>
      </c>
    </row>
    <row r="53" spans="1:23" ht="14.25" customHeight="1">
      <c r="A53" s="6" t="s">
        <v>371</v>
      </c>
      <c r="B53" s="6" t="s">
        <v>101</v>
      </c>
      <c r="C53" s="6" t="s">
        <v>119</v>
      </c>
      <c r="D53" s="6" t="s">
        <v>372</v>
      </c>
      <c r="E53" s="6" t="s">
        <v>373</v>
      </c>
      <c r="F53" s="6" t="s">
        <v>104</v>
      </c>
      <c r="G53" s="6" t="s">
        <v>29</v>
      </c>
      <c r="H53" s="6" t="s">
        <v>374</v>
      </c>
      <c r="I53" s="6" t="s">
        <v>213</v>
      </c>
      <c r="J53" s="6" t="s">
        <v>46</v>
      </c>
      <c r="K53" s="6" t="s">
        <v>123</v>
      </c>
      <c r="L53" s="6" t="s">
        <v>124</v>
      </c>
      <c r="M53" s="6">
        <v>8</v>
      </c>
      <c r="N53" s="6">
        <v>60</v>
      </c>
      <c r="O53" s="6">
        <v>10</v>
      </c>
      <c r="P53" s="6">
        <v>432</v>
      </c>
      <c r="Q53" s="6">
        <v>5</v>
      </c>
      <c r="R53" s="6" t="s">
        <v>80</v>
      </c>
      <c r="S53" s="6" t="s">
        <v>62</v>
      </c>
      <c r="T53" s="6" t="s">
        <v>145</v>
      </c>
      <c r="U53" s="7" t="s">
        <v>375</v>
      </c>
      <c r="V53" s="6" t="s">
        <v>70</v>
      </c>
      <c r="W53" t="str">
        <f t="shared" si="0"/>
        <v>Blacklisted</v>
      </c>
    </row>
    <row r="54" spans="1:23" ht="14.25" customHeight="1">
      <c r="A54" s="3" t="s">
        <v>376</v>
      </c>
      <c r="B54" s="3" t="s">
        <v>222</v>
      </c>
      <c r="C54" s="3" t="s">
        <v>55</v>
      </c>
      <c r="D54" s="3" t="s">
        <v>377</v>
      </c>
      <c r="E54" s="3" t="s">
        <v>378</v>
      </c>
      <c r="F54" s="3" t="s">
        <v>226</v>
      </c>
      <c r="G54" s="3" t="s">
        <v>77</v>
      </c>
      <c r="H54" s="3" t="s">
        <v>379</v>
      </c>
      <c r="I54" s="3" t="s">
        <v>295</v>
      </c>
      <c r="J54" s="3" t="s">
        <v>296</v>
      </c>
      <c r="K54" s="3" t="s">
        <v>47</v>
      </c>
      <c r="L54" s="3" t="s">
        <v>61</v>
      </c>
      <c r="M54" s="3">
        <v>12</v>
      </c>
      <c r="N54" s="3">
        <v>55000</v>
      </c>
      <c r="O54" s="3">
        <v>5</v>
      </c>
      <c r="P54" s="3">
        <v>627000</v>
      </c>
      <c r="Q54" s="3">
        <v>2</v>
      </c>
      <c r="R54" s="3" t="s">
        <v>89</v>
      </c>
      <c r="S54" s="3" t="s">
        <v>50</v>
      </c>
      <c r="T54" s="3" t="s">
        <v>229</v>
      </c>
      <c r="U54" s="5" t="s">
        <v>380</v>
      </c>
      <c r="V54" s="3" t="s">
        <v>65</v>
      </c>
      <c r="W54" t="str">
        <f t="shared" si="0"/>
        <v>Blacklisted</v>
      </c>
    </row>
    <row r="55" spans="1:23" ht="14.25" customHeight="1">
      <c r="A55" s="6" t="s">
        <v>381</v>
      </c>
      <c r="B55" s="6" t="s">
        <v>24</v>
      </c>
      <c r="C55" s="6" t="s">
        <v>185</v>
      </c>
      <c r="D55" s="6" t="s">
        <v>382</v>
      </c>
      <c r="E55" s="6" t="s">
        <v>383</v>
      </c>
      <c r="F55" s="6" t="s">
        <v>28</v>
      </c>
      <c r="G55" s="6" t="s">
        <v>29</v>
      </c>
      <c r="H55" s="6" t="s">
        <v>384</v>
      </c>
      <c r="I55" s="6" t="s">
        <v>213</v>
      </c>
      <c r="J55" s="6" t="s">
        <v>46</v>
      </c>
      <c r="K55" s="6" t="s">
        <v>47</v>
      </c>
      <c r="L55" s="6" t="s">
        <v>190</v>
      </c>
      <c r="M55" s="6">
        <v>3</v>
      </c>
      <c r="N55" s="6">
        <v>700</v>
      </c>
      <c r="O55" s="6">
        <v>0</v>
      </c>
      <c r="P55" s="6">
        <v>2100</v>
      </c>
      <c r="Q55" s="6">
        <v>3</v>
      </c>
      <c r="R55" s="6" t="s">
        <v>80</v>
      </c>
      <c r="S55" s="6" t="s">
        <v>152</v>
      </c>
      <c r="T55" s="6" t="s">
        <v>51</v>
      </c>
      <c r="U55" s="7" t="s">
        <v>385</v>
      </c>
      <c r="V55" s="6" t="s">
        <v>70</v>
      </c>
      <c r="W55" t="str">
        <f t="shared" si="0"/>
        <v>Blacklisted</v>
      </c>
    </row>
    <row r="56" spans="1:23" ht="14.25" customHeight="1">
      <c r="A56" s="3" t="s">
        <v>386</v>
      </c>
      <c r="B56" s="3" t="s">
        <v>128</v>
      </c>
      <c r="C56" s="3" t="s">
        <v>119</v>
      </c>
      <c r="D56" s="3" t="s">
        <v>387</v>
      </c>
      <c r="E56" s="3" t="s">
        <v>388</v>
      </c>
      <c r="F56" s="3" t="s">
        <v>389</v>
      </c>
      <c r="G56" s="3" t="s">
        <v>77</v>
      </c>
      <c r="H56" s="3" t="s">
        <v>390</v>
      </c>
      <c r="I56" s="3" t="s">
        <v>139</v>
      </c>
      <c r="J56" s="3" t="s">
        <v>107</v>
      </c>
      <c r="K56" s="3" t="s">
        <v>123</v>
      </c>
      <c r="L56" s="3" t="s">
        <v>124</v>
      </c>
      <c r="M56" s="3">
        <v>19</v>
      </c>
      <c r="N56" s="3">
        <v>60</v>
      </c>
      <c r="O56" s="3">
        <v>15</v>
      </c>
      <c r="P56" s="3">
        <v>969</v>
      </c>
      <c r="Q56" s="3">
        <v>4</v>
      </c>
      <c r="R56" s="3" t="s">
        <v>80</v>
      </c>
      <c r="S56" s="3" t="s">
        <v>50</v>
      </c>
      <c r="T56" s="3" t="s">
        <v>133</v>
      </c>
      <c r="U56" s="5" t="s">
        <v>391</v>
      </c>
      <c r="V56" s="3" t="s">
        <v>70</v>
      </c>
      <c r="W56" t="str">
        <f t="shared" si="0"/>
        <v>Blacklisted</v>
      </c>
    </row>
    <row r="57" spans="1:23" ht="14.25" customHeight="1">
      <c r="A57" s="6" t="s">
        <v>392</v>
      </c>
      <c r="B57" s="6" t="s">
        <v>328</v>
      </c>
      <c r="C57" s="6" t="s">
        <v>119</v>
      </c>
      <c r="D57" s="6" t="s">
        <v>393</v>
      </c>
      <c r="E57" s="6" t="s">
        <v>394</v>
      </c>
      <c r="F57" s="6" t="s">
        <v>395</v>
      </c>
      <c r="G57" s="6" t="s">
        <v>77</v>
      </c>
      <c r="H57" s="6" t="s">
        <v>396</v>
      </c>
      <c r="I57" s="6" t="s">
        <v>213</v>
      </c>
      <c r="J57" s="6" t="s">
        <v>46</v>
      </c>
      <c r="K57" s="6" t="s">
        <v>123</v>
      </c>
      <c r="L57" s="6" t="s">
        <v>124</v>
      </c>
      <c r="M57" s="6">
        <v>9</v>
      </c>
      <c r="N57" s="6">
        <v>60</v>
      </c>
      <c r="O57" s="6">
        <v>20</v>
      </c>
      <c r="P57" s="6">
        <v>432</v>
      </c>
      <c r="Q57" s="6">
        <v>1</v>
      </c>
      <c r="R57" s="6" t="s">
        <v>49</v>
      </c>
      <c r="S57" s="6" t="s">
        <v>116</v>
      </c>
      <c r="T57" s="6" t="s">
        <v>333</v>
      </c>
      <c r="U57" s="7" t="s">
        <v>397</v>
      </c>
      <c r="V57" s="6" t="s">
        <v>65</v>
      </c>
      <c r="W57" t="str">
        <f t="shared" si="0"/>
        <v>Blacklisted</v>
      </c>
    </row>
    <row r="58" spans="1:23" ht="14.25" customHeight="1">
      <c r="A58" s="3" t="s">
        <v>398</v>
      </c>
      <c r="B58" s="3" t="s">
        <v>328</v>
      </c>
      <c r="C58" s="3" t="s">
        <v>185</v>
      </c>
      <c r="D58" s="3" t="s">
        <v>399</v>
      </c>
      <c r="E58" s="3" t="s">
        <v>400</v>
      </c>
      <c r="F58" s="3" t="s">
        <v>395</v>
      </c>
      <c r="G58" s="3" t="s">
        <v>77</v>
      </c>
      <c r="H58" s="3" t="s">
        <v>401</v>
      </c>
      <c r="I58" s="3" t="s">
        <v>60</v>
      </c>
      <c r="J58" s="3" t="s">
        <v>32</v>
      </c>
      <c r="K58" s="3" t="s">
        <v>47</v>
      </c>
      <c r="L58" s="3" t="s">
        <v>190</v>
      </c>
      <c r="M58" s="3">
        <v>6</v>
      </c>
      <c r="N58" s="3">
        <v>700</v>
      </c>
      <c r="O58" s="3">
        <v>0</v>
      </c>
      <c r="P58" s="3">
        <v>4200</v>
      </c>
      <c r="Q58" s="3">
        <v>4</v>
      </c>
      <c r="R58" s="3" t="s">
        <v>89</v>
      </c>
      <c r="S58" s="3" t="s">
        <v>50</v>
      </c>
      <c r="T58" s="3" t="s">
        <v>402</v>
      </c>
      <c r="U58" s="5" t="s">
        <v>403</v>
      </c>
      <c r="V58" s="3" t="s">
        <v>70</v>
      </c>
      <c r="W58" t="str">
        <f t="shared" si="0"/>
        <v>Blacklisted</v>
      </c>
    </row>
    <row r="59" spans="1:23" ht="14.25" customHeight="1">
      <c r="A59" s="6" t="s">
        <v>404</v>
      </c>
      <c r="B59" s="6" t="s">
        <v>128</v>
      </c>
      <c r="C59" s="6" t="s">
        <v>260</v>
      </c>
      <c r="D59" s="6" t="s">
        <v>242</v>
      </c>
      <c r="E59" s="6" t="s">
        <v>405</v>
      </c>
      <c r="F59" s="6" t="s">
        <v>201</v>
      </c>
      <c r="G59" s="6" t="s">
        <v>77</v>
      </c>
      <c r="H59" s="6" t="s">
        <v>406</v>
      </c>
      <c r="I59" s="6" t="s">
        <v>45</v>
      </c>
      <c r="J59" s="6" t="s">
        <v>46</v>
      </c>
      <c r="K59" s="6" t="s">
        <v>123</v>
      </c>
      <c r="L59" s="6" t="s">
        <v>264</v>
      </c>
      <c r="M59" s="6">
        <v>18</v>
      </c>
      <c r="N59" s="6">
        <v>45</v>
      </c>
      <c r="O59" s="6">
        <v>5</v>
      </c>
      <c r="P59" s="6">
        <v>769.5</v>
      </c>
      <c r="Q59" s="6">
        <v>1</v>
      </c>
      <c r="R59" s="6" t="s">
        <v>80</v>
      </c>
      <c r="S59" s="6" t="s">
        <v>62</v>
      </c>
      <c r="T59" s="6" t="s">
        <v>133</v>
      </c>
      <c r="U59" s="7" t="s">
        <v>407</v>
      </c>
      <c r="V59" s="6" t="s">
        <v>65</v>
      </c>
      <c r="W59" t="str">
        <f t="shared" si="0"/>
        <v>Blacklisted</v>
      </c>
    </row>
    <row r="60" spans="1:23" ht="14.25" customHeight="1">
      <c r="A60" s="3" t="s">
        <v>408</v>
      </c>
      <c r="B60" s="3" t="s">
        <v>84</v>
      </c>
      <c r="C60" s="3" t="s">
        <v>223</v>
      </c>
      <c r="D60" s="3" t="s">
        <v>409</v>
      </c>
      <c r="E60" s="3" t="s">
        <v>262</v>
      </c>
      <c r="F60" s="3" t="s">
        <v>181</v>
      </c>
      <c r="G60" s="3" t="s">
        <v>77</v>
      </c>
      <c r="H60" s="3" t="s">
        <v>410</v>
      </c>
      <c r="I60" s="3" t="s">
        <v>213</v>
      </c>
      <c r="J60" s="3" t="s">
        <v>46</v>
      </c>
      <c r="K60" s="3" t="s">
        <v>123</v>
      </c>
      <c r="L60" s="3" t="s">
        <v>228</v>
      </c>
      <c r="M60" s="3">
        <v>8</v>
      </c>
      <c r="N60" s="3">
        <v>20</v>
      </c>
      <c r="O60" s="3">
        <v>5</v>
      </c>
      <c r="P60" s="3">
        <v>152</v>
      </c>
      <c r="Q60" s="3">
        <v>1</v>
      </c>
      <c r="R60" s="3" t="s">
        <v>80</v>
      </c>
      <c r="S60" s="3" t="s">
        <v>36</v>
      </c>
      <c r="T60" s="3" t="s">
        <v>90</v>
      </c>
      <c r="U60" s="5" t="s">
        <v>411</v>
      </c>
      <c r="V60" s="3" t="s">
        <v>412</v>
      </c>
      <c r="W60" t="str">
        <f t="shared" si="0"/>
        <v>Blacklisted</v>
      </c>
    </row>
    <row r="61" spans="1:23" ht="15.75" customHeight="1">
      <c r="A61" s="6" t="s">
        <v>413</v>
      </c>
      <c r="B61" s="6" t="s">
        <v>222</v>
      </c>
      <c r="C61" s="6" t="s">
        <v>185</v>
      </c>
      <c r="D61" s="6" t="s">
        <v>414</v>
      </c>
      <c r="E61" s="6" t="s">
        <v>415</v>
      </c>
      <c r="F61" s="6" t="s">
        <v>226</v>
      </c>
      <c r="G61" s="6" t="s">
        <v>77</v>
      </c>
      <c r="H61" s="6" t="s">
        <v>416</v>
      </c>
      <c r="I61" s="6" t="s">
        <v>213</v>
      </c>
      <c r="J61" s="6" t="s">
        <v>46</v>
      </c>
      <c r="K61" s="6" t="s">
        <v>47</v>
      </c>
      <c r="L61" s="6" t="s">
        <v>190</v>
      </c>
      <c r="M61" s="6">
        <v>8</v>
      </c>
      <c r="N61" s="6">
        <v>700</v>
      </c>
      <c r="O61" s="6">
        <v>10</v>
      </c>
      <c r="P61" s="6">
        <v>5040</v>
      </c>
      <c r="Q61" s="6">
        <v>1</v>
      </c>
      <c r="R61" s="6" t="s">
        <v>49</v>
      </c>
      <c r="S61" s="6" t="s">
        <v>62</v>
      </c>
      <c r="T61" s="8" t="s">
        <v>417</v>
      </c>
      <c r="U61" s="7" t="s">
        <v>418</v>
      </c>
      <c r="V61" s="6" t="s">
        <v>70</v>
      </c>
      <c r="W61" t="str">
        <f t="shared" si="0"/>
        <v>Blacklisted</v>
      </c>
    </row>
    <row r="62" spans="1:23" ht="14.25" customHeight="1">
      <c r="A62" s="3" t="s">
        <v>419</v>
      </c>
      <c r="B62" s="3" t="s">
        <v>24</v>
      </c>
      <c r="C62" s="3" t="s">
        <v>223</v>
      </c>
      <c r="D62" s="3" t="s">
        <v>224</v>
      </c>
      <c r="E62" s="3" t="s">
        <v>357</v>
      </c>
      <c r="F62" s="3" t="s">
        <v>28</v>
      </c>
      <c r="G62" s="3" t="s">
        <v>29</v>
      </c>
      <c r="H62" s="3" t="s">
        <v>420</v>
      </c>
      <c r="I62" s="3" t="s">
        <v>45</v>
      </c>
      <c r="J62" s="3" t="s">
        <v>46</v>
      </c>
      <c r="K62" s="3" t="s">
        <v>123</v>
      </c>
      <c r="L62" s="3" t="s">
        <v>228</v>
      </c>
      <c r="M62" s="3">
        <v>7</v>
      </c>
      <c r="N62" s="3">
        <v>20</v>
      </c>
      <c r="O62" s="3">
        <v>15</v>
      </c>
      <c r="P62" s="3">
        <v>119</v>
      </c>
      <c r="Q62" s="3">
        <v>5</v>
      </c>
      <c r="R62" s="3" t="s">
        <v>80</v>
      </c>
      <c r="S62" s="3" t="s">
        <v>50</v>
      </c>
      <c r="T62" s="3" t="s">
        <v>51</v>
      </c>
      <c r="U62" s="5" t="s">
        <v>421</v>
      </c>
      <c r="V62" s="3" t="s">
        <v>39</v>
      </c>
      <c r="W62" t="str">
        <f t="shared" si="0"/>
        <v>Silver</v>
      </c>
    </row>
    <row r="63" spans="1:23" ht="14.25" customHeight="1">
      <c r="A63" s="6" t="s">
        <v>422</v>
      </c>
      <c r="B63" s="6" t="s">
        <v>101</v>
      </c>
      <c r="C63" s="6" t="s">
        <v>223</v>
      </c>
      <c r="D63" s="6" t="s">
        <v>423</v>
      </c>
      <c r="E63" s="6" t="s">
        <v>372</v>
      </c>
      <c r="F63" s="6" t="s">
        <v>104</v>
      </c>
      <c r="G63" s="6" t="s">
        <v>29</v>
      </c>
      <c r="H63" s="6" t="s">
        <v>424</v>
      </c>
      <c r="I63" s="6" t="s">
        <v>115</v>
      </c>
      <c r="J63" s="6" t="s">
        <v>107</v>
      </c>
      <c r="K63" s="6" t="s">
        <v>123</v>
      </c>
      <c r="L63" s="6" t="s">
        <v>228</v>
      </c>
      <c r="M63" s="6">
        <v>16</v>
      </c>
      <c r="N63" s="6">
        <v>20</v>
      </c>
      <c r="O63" s="6">
        <v>0</v>
      </c>
      <c r="P63" s="6">
        <v>320</v>
      </c>
      <c r="Q63" s="6">
        <v>5</v>
      </c>
      <c r="R63" s="6" t="s">
        <v>49</v>
      </c>
      <c r="S63" s="6" t="s">
        <v>62</v>
      </c>
      <c r="T63" s="6" t="s">
        <v>145</v>
      </c>
      <c r="U63" s="7" t="s">
        <v>425</v>
      </c>
      <c r="V63" s="6" t="s">
        <v>65</v>
      </c>
      <c r="W63" t="str">
        <f t="shared" si="0"/>
        <v>Blacklisted</v>
      </c>
    </row>
    <row r="64" spans="1:23" ht="14.25" customHeight="1">
      <c r="A64" s="3" t="s">
        <v>426</v>
      </c>
      <c r="B64" s="3" t="s">
        <v>54</v>
      </c>
      <c r="C64" s="3" t="s">
        <v>260</v>
      </c>
      <c r="D64" s="3" t="s">
        <v>427</v>
      </c>
      <c r="E64" s="3" t="s">
        <v>428</v>
      </c>
      <c r="F64" s="3" t="s">
        <v>164</v>
      </c>
      <c r="G64" s="3" t="s">
        <v>29</v>
      </c>
      <c r="H64" s="3" t="s">
        <v>429</v>
      </c>
      <c r="I64" s="3" t="s">
        <v>106</v>
      </c>
      <c r="J64" s="3" t="s">
        <v>107</v>
      </c>
      <c r="K64" s="3" t="s">
        <v>123</v>
      </c>
      <c r="L64" s="3" t="s">
        <v>264</v>
      </c>
      <c r="M64" s="3">
        <v>15</v>
      </c>
      <c r="N64" s="3">
        <v>45</v>
      </c>
      <c r="O64" s="3">
        <v>0</v>
      </c>
      <c r="P64" s="3">
        <v>675</v>
      </c>
      <c r="Q64" s="3">
        <v>4</v>
      </c>
      <c r="R64" s="3" t="s">
        <v>35</v>
      </c>
      <c r="S64" s="3" t="s">
        <v>62</v>
      </c>
      <c r="T64" s="3" t="s">
        <v>63</v>
      </c>
      <c r="U64" s="5" t="s">
        <v>430</v>
      </c>
      <c r="V64" s="3" t="s">
        <v>70</v>
      </c>
      <c r="W64" t="str">
        <f t="shared" si="0"/>
        <v>Blacklisted</v>
      </c>
    </row>
    <row r="65" spans="1:23" ht="14.25" customHeight="1">
      <c r="A65" s="6" t="s">
        <v>431</v>
      </c>
      <c r="B65" s="6" t="s">
        <v>252</v>
      </c>
      <c r="C65" s="6" t="s">
        <v>185</v>
      </c>
      <c r="D65" s="6" t="s">
        <v>432</v>
      </c>
      <c r="E65" s="6" t="s">
        <v>414</v>
      </c>
      <c r="F65" s="6" t="s">
        <v>255</v>
      </c>
      <c r="G65" s="6" t="s">
        <v>29</v>
      </c>
      <c r="H65" s="6" t="s">
        <v>433</v>
      </c>
      <c r="I65" s="6" t="s">
        <v>139</v>
      </c>
      <c r="J65" s="6" t="s">
        <v>107</v>
      </c>
      <c r="K65" s="6" t="s">
        <v>47</v>
      </c>
      <c r="L65" s="6" t="s">
        <v>190</v>
      </c>
      <c r="M65" s="6">
        <v>15</v>
      </c>
      <c r="N65" s="6">
        <v>700</v>
      </c>
      <c r="O65" s="6">
        <v>10</v>
      </c>
      <c r="P65" s="6">
        <v>9450</v>
      </c>
      <c r="Q65" s="6">
        <v>3</v>
      </c>
      <c r="R65" s="6" t="s">
        <v>49</v>
      </c>
      <c r="S65" s="6" t="s">
        <v>152</v>
      </c>
      <c r="T65" s="6" t="s">
        <v>257</v>
      </c>
      <c r="U65" s="7" t="s">
        <v>434</v>
      </c>
      <c r="V65" s="6" t="s">
        <v>39</v>
      </c>
      <c r="W65" t="str">
        <f t="shared" si="0"/>
        <v>Silver</v>
      </c>
    </row>
    <row r="66" spans="1:23" ht="14.25" customHeight="1">
      <c r="A66" s="3" t="s">
        <v>435</v>
      </c>
      <c r="B66" s="3" t="s">
        <v>54</v>
      </c>
      <c r="C66" s="3" t="s">
        <v>260</v>
      </c>
      <c r="D66" s="3" t="s">
        <v>436</v>
      </c>
      <c r="E66" s="3" t="s">
        <v>437</v>
      </c>
      <c r="F66" s="3" t="s">
        <v>164</v>
      </c>
      <c r="G66" s="3" t="s">
        <v>29</v>
      </c>
      <c r="H66" s="3" t="s">
        <v>438</v>
      </c>
      <c r="I66" s="3" t="s">
        <v>295</v>
      </c>
      <c r="J66" s="3" t="s">
        <v>296</v>
      </c>
      <c r="K66" s="3" t="s">
        <v>123</v>
      </c>
      <c r="L66" s="3" t="s">
        <v>264</v>
      </c>
      <c r="M66" s="3">
        <v>3</v>
      </c>
      <c r="N66" s="3">
        <v>45</v>
      </c>
      <c r="O66" s="3">
        <v>15</v>
      </c>
      <c r="P66" s="3">
        <v>114.75</v>
      </c>
      <c r="Q66" s="3">
        <v>2</v>
      </c>
      <c r="R66" s="3" t="s">
        <v>89</v>
      </c>
      <c r="S66" s="3" t="s">
        <v>116</v>
      </c>
      <c r="T66" s="3" t="s">
        <v>63</v>
      </c>
      <c r="U66" s="5" t="s">
        <v>439</v>
      </c>
      <c r="V66" s="3" t="s">
        <v>65</v>
      </c>
      <c r="W66" t="str">
        <f t="shared" ref="W66:W129" si="1">IF(OR(Q66&lt;=2,V66="Cancelled"),"Blacklisted",IF(AND(P66&gt;=100000,Q66&gt;=4,O66&lt;=10%,V66="Completed"),"Platinum",IF(AND(P66&gt;=50000,P66&lt;100000,Q66&gt;=3,V66="Completed"),"Gold",IF(AND(P66&lt;50000,V66="Completed"),"Silver","Blacklisted"))))</f>
        <v>Blacklisted</v>
      </c>
    </row>
    <row r="67" spans="1:23" ht="14.25" customHeight="1">
      <c r="A67" s="6" t="s">
        <v>440</v>
      </c>
      <c r="B67" s="6" t="s">
        <v>101</v>
      </c>
      <c r="C67" s="6" t="s">
        <v>25</v>
      </c>
      <c r="D67" s="6" t="s">
        <v>441</v>
      </c>
      <c r="E67" s="6" t="s">
        <v>442</v>
      </c>
      <c r="F67" s="6" t="s">
        <v>104</v>
      </c>
      <c r="G67" s="6" t="s">
        <v>29</v>
      </c>
      <c r="H67" s="6" t="s">
        <v>443</v>
      </c>
      <c r="I67" s="6" t="s">
        <v>295</v>
      </c>
      <c r="J67" s="6" t="s">
        <v>296</v>
      </c>
      <c r="K67" s="6" t="s">
        <v>33</v>
      </c>
      <c r="L67" s="6" t="s">
        <v>34</v>
      </c>
      <c r="M67" s="6">
        <v>7</v>
      </c>
      <c r="N67" s="6">
        <v>2200</v>
      </c>
      <c r="O67" s="6">
        <v>15</v>
      </c>
      <c r="P67" s="6">
        <v>13090</v>
      </c>
      <c r="Q67" s="6">
        <v>5</v>
      </c>
      <c r="R67" s="6" t="s">
        <v>89</v>
      </c>
      <c r="S67" s="6" t="s">
        <v>116</v>
      </c>
      <c r="T67" s="6" t="s">
        <v>145</v>
      </c>
      <c r="U67" s="7" t="s">
        <v>444</v>
      </c>
      <c r="V67" s="6" t="s">
        <v>39</v>
      </c>
      <c r="W67" t="str">
        <f t="shared" si="1"/>
        <v>Silver</v>
      </c>
    </row>
    <row r="68" spans="1:23" ht="14.25" customHeight="1">
      <c r="A68" s="3" t="s">
        <v>445</v>
      </c>
      <c r="B68" s="3" t="s">
        <v>24</v>
      </c>
      <c r="C68" s="3" t="s">
        <v>260</v>
      </c>
      <c r="D68" s="3" t="s">
        <v>446</v>
      </c>
      <c r="E68" s="3" t="s">
        <v>447</v>
      </c>
      <c r="F68" s="3" t="s">
        <v>28</v>
      </c>
      <c r="G68" s="3" t="s">
        <v>29</v>
      </c>
      <c r="H68" s="3" t="s">
        <v>448</v>
      </c>
      <c r="I68" s="3" t="s">
        <v>45</v>
      </c>
      <c r="J68" s="3" t="s">
        <v>46</v>
      </c>
      <c r="K68" s="3" t="s">
        <v>123</v>
      </c>
      <c r="L68" s="3" t="s">
        <v>264</v>
      </c>
      <c r="M68" s="3">
        <v>19</v>
      </c>
      <c r="N68" s="3">
        <v>45</v>
      </c>
      <c r="O68" s="3">
        <v>10</v>
      </c>
      <c r="P68" s="3">
        <v>769.5</v>
      </c>
      <c r="Q68" s="3">
        <v>5</v>
      </c>
      <c r="R68" s="3" t="s">
        <v>80</v>
      </c>
      <c r="S68" s="3" t="s">
        <v>116</v>
      </c>
      <c r="T68" s="3" t="s">
        <v>51</v>
      </c>
      <c r="U68" s="5" t="s">
        <v>449</v>
      </c>
      <c r="V68" s="3" t="s">
        <v>70</v>
      </c>
      <c r="W68" t="str">
        <f t="shared" si="1"/>
        <v>Blacklisted</v>
      </c>
    </row>
    <row r="69" spans="1:23" ht="14.25" customHeight="1">
      <c r="A69" s="6" t="s">
        <v>450</v>
      </c>
      <c r="B69" s="6" t="s">
        <v>252</v>
      </c>
      <c r="C69" s="6" t="s">
        <v>93</v>
      </c>
      <c r="D69" s="6" t="s">
        <v>451</v>
      </c>
      <c r="E69" s="6" t="s">
        <v>324</v>
      </c>
      <c r="F69" s="6" t="s">
        <v>255</v>
      </c>
      <c r="G69" s="6" t="s">
        <v>29</v>
      </c>
      <c r="H69" s="6" t="s">
        <v>452</v>
      </c>
      <c r="I69" s="6" t="s">
        <v>31</v>
      </c>
      <c r="J69" s="6" t="s">
        <v>32</v>
      </c>
      <c r="K69" s="6" t="s">
        <v>33</v>
      </c>
      <c r="L69" s="6" t="s">
        <v>98</v>
      </c>
      <c r="M69" s="6">
        <v>7</v>
      </c>
      <c r="N69" s="6">
        <v>3500</v>
      </c>
      <c r="O69" s="6">
        <v>15</v>
      </c>
      <c r="P69" s="6">
        <v>20825</v>
      </c>
      <c r="Q69" s="6">
        <v>1</v>
      </c>
      <c r="R69" s="6" t="s">
        <v>35</v>
      </c>
      <c r="S69" s="6" t="s">
        <v>152</v>
      </c>
      <c r="T69" s="6" t="s">
        <v>257</v>
      </c>
      <c r="U69" s="7" t="s">
        <v>453</v>
      </c>
      <c r="V69" s="6" t="s">
        <v>65</v>
      </c>
      <c r="W69" t="str">
        <f t="shared" si="1"/>
        <v>Blacklisted</v>
      </c>
    </row>
    <row r="70" spans="1:23" ht="14.25" customHeight="1">
      <c r="A70" s="3" t="s">
        <v>454</v>
      </c>
      <c r="B70" s="3" t="s">
        <v>54</v>
      </c>
      <c r="C70" s="3" t="s">
        <v>170</v>
      </c>
      <c r="D70" s="3" t="s">
        <v>455</v>
      </c>
      <c r="E70" s="3" t="s">
        <v>456</v>
      </c>
      <c r="F70" s="3" t="s">
        <v>164</v>
      </c>
      <c r="G70" s="3" t="s">
        <v>29</v>
      </c>
      <c r="H70" s="3" t="s">
        <v>457</v>
      </c>
      <c r="I70" s="3" t="s">
        <v>213</v>
      </c>
      <c r="J70" s="3" t="s">
        <v>46</v>
      </c>
      <c r="K70" s="3" t="s">
        <v>33</v>
      </c>
      <c r="L70" s="3" t="s">
        <v>175</v>
      </c>
      <c r="M70" s="3">
        <v>7</v>
      </c>
      <c r="N70" s="3">
        <v>8500</v>
      </c>
      <c r="O70" s="3">
        <v>20</v>
      </c>
      <c r="P70" s="3">
        <v>47600</v>
      </c>
      <c r="Q70" s="3">
        <v>4</v>
      </c>
      <c r="R70" s="3" t="s">
        <v>49</v>
      </c>
      <c r="S70" s="3" t="s">
        <v>116</v>
      </c>
      <c r="T70" s="3" t="s">
        <v>63</v>
      </c>
      <c r="U70" s="5" t="s">
        <v>458</v>
      </c>
      <c r="V70" s="3" t="s">
        <v>39</v>
      </c>
      <c r="W70" t="str">
        <f t="shared" si="1"/>
        <v>Silver</v>
      </c>
    </row>
    <row r="71" spans="1:23" ht="14.25" customHeight="1">
      <c r="A71" s="6" t="s">
        <v>459</v>
      </c>
      <c r="B71" s="6" t="s">
        <v>24</v>
      </c>
      <c r="C71" s="6" t="s">
        <v>55</v>
      </c>
      <c r="D71" s="6" t="s">
        <v>367</v>
      </c>
      <c r="E71" s="6" t="s">
        <v>460</v>
      </c>
      <c r="F71" s="6" t="s">
        <v>28</v>
      </c>
      <c r="G71" s="6" t="s">
        <v>29</v>
      </c>
      <c r="H71" s="6" t="s">
        <v>461</v>
      </c>
      <c r="I71" s="6" t="s">
        <v>60</v>
      </c>
      <c r="J71" s="6" t="s">
        <v>32</v>
      </c>
      <c r="K71" s="6" t="s">
        <v>47</v>
      </c>
      <c r="L71" s="6" t="s">
        <v>61</v>
      </c>
      <c r="M71" s="6">
        <v>16</v>
      </c>
      <c r="N71" s="6">
        <v>55000</v>
      </c>
      <c r="O71" s="6">
        <v>10</v>
      </c>
      <c r="P71" s="6">
        <v>792000</v>
      </c>
      <c r="Q71" s="6">
        <v>1</v>
      </c>
      <c r="R71" s="6" t="s">
        <v>80</v>
      </c>
      <c r="S71" s="6" t="s">
        <v>62</v>
      </c>
      <c r="T71" s="6" t="s">
        <v>51</v>
      </c>
      <c r="U71" s="7" t="s">
        <v>462</v>
      </c>
      <c r="V71" s="6" t="s">
        <v>39</v>
      </c>
      <c r="W71" t="str">
        <f t="shared" si="1"/>
        <v>Blacklisted</v>
      </c>
    </row>
    <row r="72" spans="1:23" ht="15.75" customHeight="1">
      <c r="A72" s="3" t="s">
        <v>463</v>
      </c>
      <c r="B72" s="3" t="s">
        <v>169</v>
      </c>
      <c r="C72" s="3" t="s">
        <v>41</v>
      </c>
      <c r="D72" s="3" t="s">
        <v>464</v>
      </c>
      <c r="E72" s="3" t="s">
        <v>465</v>
      </c>
      <c r="F72" s="3" t="s">
        <v>362</v>
      </c>
      <c r="G72" s="3" t="s">
        <v>29</v>
      </c>
      <c r="H72" s="3" t="s">
        <v>466</v>
      </c>
      <c r="I72" s="3" t="s">
        <v>106</v>
      </c>
      <c r="J72" s="3" t="s">
        <v>107</v>
      </c>
      <c r="K72" s="3" t="s">
        <v>47</v>
      </c>
      <c r="L72" s="3" t="s">
        <v>48</v>
      </c>
      <c r="M72" s="3">
        <v>2</v>
      </c>
      <c r="N72" s="3">
        <v>12000</v>
      </c>
      <c r="O72" s="3">
        <v>20</v>
      </c>
      <c r="P72" s="3">
        <v>19200</v>
      </c>
      <c r="Q72" s="3">
        <v>1</v>
      </c>
      <c r="R72" s="3" t="s">
        <v>35</v>
      </c>
      <c r="S72" s="3" t="s">
        <v>152</v>
      </c>
      <c r="T72" s="4" t="s">
        <v>467</v>
      </c>
      <c r="U72" s="5" t="s">
        <v>468</v>
      </c>
      <c r="V72" s="3" t="s">
        <v>65</v>
      </c>
      <c r="W72" t="str">
        <f t="shared" si="1"/>
        <v>Blacklisted</v>
      </c>
    </row>
    <row r="73" spans="1:23" ht="14.25" customHeight="1">
      <c r="A73" s="6" t="s">
        <v>469</v>
      </c>
      <c r="B73" s="6" t="s">
        <v>128</v>
      </c>
      <c r="C73" s="6" t="s">
        <v>260</v>
      </c>
      <c r="D73" s="6" t="s">
        <v>470</v>
      </c>
      <c r="E73" s="6" t="s">
        <v>447</v>
      </c>
      <c r="F73" s="6" t="s">
        <v>201</v>
      </c>
      <c r="G73" s="6" t="s">
        <v>77</v>
      </c>
      <c r="H73" s="6" t="s">
        <v>471</v>
      </c>
      <c r="I73" s="6" t="s">
        <v>60</v>
      </c>
      <c r="J73" s="6" t="s">
        <v>32</v>
      </c>
      <c r="K73" s="6" t="s">
        <v>123</v>
      </c>
      <c r="L73" s="6" t="s">
        <v>264</v>
      </c>
      <c r="M73" s="6">
        <v>4</v>
      </c>
      <c r="N73" s="6">
        <v>45</v>
      </c>
      <c r="O73" s="6">
        <v>5</v>
      </c>
      <c r="P73" s="6">
        <v>171</v>
      </c>
      <c r="Q73" s="6">
        <v>1</v>
      </c>
      <c r="R73" s="6" t="s">
        <v>80</v>
      </c>
      <c r="S73" s="6" t="s">
        <v>50</v>
      </c>
      <c r="T73" s="6" t="s">
        <v>133</v>
      </c>
      <c r="U73" s="7" t="s">
        <v>472</v>
      </c>
      <c r="V73" s="6" t="s">
        <v>65</v>
      </c>
      <c r="W73" t="str">
        <f t="shared" si="1"/>
        <v>Blacklisted</v>
      </c>
    </row>
    <row r="74" spans="1:23" ht="14.25" customHeight="1">
      <c r="A74" s="3" t="s">
        <v>473</v>
      </c>
      <c r="B74" s="3" t="s">
        <v>24</v>
      </c>
      <c r="C74" s="3" t="s">
        <v>73</v>
      </c>
      <c r="D74" s="3" t="s">
        <v>474</v>
      </c>
      <c r="E74" s="3" t="s">
        <v>475</v>
      </c>
      <c r="F74" s="3" t="s">
        <v>28</v>
      </c>
      <c r="G74" s="3" t="s">
        <v>29</v>
      </c>
      <c r="H74" s="3" t="s">
        <v>476</v>
      </c>
      <c r="I74" s="3" t="s">
        <v>213</v>
      </c>
      <c r="J74" s="3" t="s">
        <v>46</v>
      </c>
      <c r="K74" s="3" t="s">
        <v>47</v>
      </c>
      <c r="L74" s="3" t="s">
        <v>79</v>
      </c>
      <c r="M74" s="3">
        <v>1</v>
      </c>
      <c r="N74" s="3">
        <v>1200</v>
      </c>
      <c r="O74" s="3">
        <v>5</v>
      </c>
      <c r="P74" s="3">
        <v>1140</v>
      </c>
      <c r="Q74" s="3">
        <v>3</v>
      </c>
      <c r="R74" s="3" t="s">
        <v>89</v>
      </c>
      <c r="S74" s="3" t="s">
        <v>62</v>
      </c>
      <c r="T74" s="3" t="s">
        <v>51</v>
      </c>
      <c r="U74" s="5" t="s">
        <v>477</v>
      </c>
      <c r="V74" s="3" t="s">
        <v>70</v>
      </c>
      <c r="W74" t="str">
        <f t="shared" si="1"/>
        <v>Blacklisted</v>
      </c>
    </row>
    <row r="75" spans="1:23" ht="14.25" customHeight="1">
      <c r="A75" s="6" t="s">
        <v>478</v>
      </c>
      <c r="B75" s="6" t="s">
        <v>54</v>
      </c>
      <c r="C75" s="6" t="s">
        <v>25</v>
      </c>
      <c r="D75" s="6" t="s">
        <v>479</v>
      </c>
      <c r="E75" s="6" t="s">
        <v>480</v>
      </c>
      <c r="F75" s="6" t="s">
        <v>164</v>
      </c>
      <c r="G75" s="6" t="s">
        <v>29</v>
      </c>
      <c r="H75" s="6" t="s">
        <v>481</v>
      </c>
      <c r="I75" s="6"/>
      <c r="J75" s="6" t="s">
        <v>32</v>
      </c>
      <c r="K75" s="6" t="s">
        <v>33</v>
      </c>
      <c r="L75" s="6" t="s">
        <v>34</v>
      </c>
      <c r="M75" s="6">
        <v>1</v>
      </c>
      <c r="N75" s="6">
        <v>2200</v>
      </c>
      <c r="O75" s="6">
        <v>15</v>
      </c>
      <c r="P75" s="6">
        <v>1870</v>
      </c>
      <c r="Q75" s="6">
        <v>4</v>
      </c>
      <c r="R75" s="6" t="s">
        <v>80</v>
      </c>
      <c r="S75" s="6" t="s">
        <v>62</v>
      </c>
      <c r="T75" s="6" t="s">
        <v>63</v>
      </c>
      <c r="U75" s="7" t="s">
        <v>482</v>
      </c>
      <c r="V75" s="6" t="s">
        <v>39</v>
      </c>
      <c r="W75" t="str">
        <f t="shared" si="1"/>
        <v>Silver</v>
      </c>
    </row>
    <row r="76" spans="1:23" ht="14.25" customHeight="1">
      <c r="A76" s="3" t="s">
        <v>483</v>
      </c>
      <c r="B76" s="3" t="s">
        <v>128</v>
      </c>
      <c r="C76" s="3" t="s">
        <v>73</v>
      </c>
      <c r="D76" s="3" t="s">
        <v>484</v>
      </c>
      <c r="E76" s="3" t="s">
        <v>485</v>
      </c>
      <c r="F76" s="3" t="s">
        <v>201</v>
      </c>
      <c r="G76" s="3" t="s">
        <v>77</v>
      </c>
      <c r="H76" s="3" t="s">
        <v>486</v>
      </c>
      <c r="I76" s="3" t="s">
        <v>115</v>
      </c>
      <c r="J76" s="3" t="s">
        <v>107</v>
      </c>
      <c r="K76" s="3" t="s">
        <v>47</v>
      </c>
      <c r="L76" s="3" t="s">
        <v>79</v>
      </c>
      <c r="M76" s="3">
        <v>3</v>
      </c>
      <c r="N76" s="3">
        <v>1200</v>
      </c>
      <c r="O76" s="3">
        <v>10</v>
      </c>
      <c r="P76" s="3">
        <v>3240</v>
      </c>
      <c r="Q76" s="3">
        <v>5</v>
      </c>
      <c r="R76" s="3" t="s">
        <v>35</v>
      </c>
      <c r="S76" s="3" t="s">
        <v>50</v>
      </c>
      <c r="T76" s="3" t="s">
        <v>133</v>
      </c>
      <c r="U76" s="5" t="s">
        <v>487</v>
      </c>
      <c r="V76" s="3" t="s">
        <v>39</v>
      </c>
      <c r="W76" t="str">
        <f t="shared" si="1"/>
        <v>Silver</v>
      </c>
    </row>
    <row r="77" spans="1:23" ht="14.25" customHeight="1">
      <c r="A77" s="6" t="s">
        <v>488</v>
      </c>
      <c r="B77" s="6" t="s">
        <v>24</v>
      </c>
      <c r="C77" s="6" t="s">
        <v>93</v>
      </c>
      <c r="D77" s="6" t="s">
        <v>489</v>
      </c>
      <c r="E77" s="6" t="s">
        <v>490</v>
      </c>
      <c r="F77" s="6" t="s">
        <v>28</v>
      </c>
      <c r="G77" s="6" t="s">
        <v>29</v>
      </c>
      <c r="H77" s="6" t="s">
        <v>491</v>
      </c>
      <c r="I77" s="6" t="s">
        <v>60</v>
      </c>
      <c r="J77" s="6" t="s">
        <v>32</v>
      </c>
      <c r="K77" s="6" t="s">
        <v>33</v>
      </c>
      <c r="L77" s="6" t="s">
        <v>98</v>
      </c>
      <c r="M77" s="6">
        <v>10</v>
      </c>
      <c r="N77" s="6">
        <v>3500</v>
      </c>
      <c r="O77" s="6">
        <v>20</v>
      </c>
      <c r="P77" s="6">
        <v>28000</v>
      </c>
      <c r="Q77" s="6">
        <v>5</v>
      </c>
      <c r="R77" s="6" t="s">
        <v>80</v>
      </c>
      <c r="S77" s="6" t="s">
        <v>36</v>
      </c>
      <c r="T77" s="6" t="s">
        <v>51</v>
      </c>
      <c r="U77" s="7" t="s">
        <v>492</v>
      </c>
      <c r="V77" s="6" t="s">
        <v>39</v>
      </c>
      <c r="W77" t="str">
        <f t="shared" si="1"/>
        <v>Silver</v>
      </c>
    </row>
    <row r="78" spans="1:23" ht="14.25" customHeight="1">
      <c r="A78" s="3" t="s">
        <v>493</v>
      </c>
      <c r="B78" s="3" t="s">
        <v>84</v>
      </c>
      <c r="C78" s="3" t="s">
        <v>185</v>
      </c>
      <c r="D78" s="3" t="s">
        <v>494</v>
      </c>
      <c r="E78" s="3" t="s">
        <v>405</v>
      </c>
      <c r="F78" s="3" t="s">
        <v>181</v>
      </c>
      <c r="G78" s="3" t="s">
        <v>77</v>
      </c>
      <c r="H78" s="3" t="s">
        <v>495</v>
      </c>
      <c r="I78" s="3" t="s">
        <v>45</v>
      </c>
      <c r="J78" s="3" t="s">
        <v>46</v>
      </c>
      <c r="K78" s="3" t="s">
        <v>47</v>
      </c>
      <c r="L78" s="3" t="s">
        <v>190</v>
      </c>
      <c r="M78" s="3">
        <v>18</v>
      </c>
      <c r="N78" s="3">
        <v>700</v>
      </c>
      <c r="O78" s="3">
        <v>5</v>
      </c>
      <c r="P78" s="3">
        <v>11970</v>
      </c>
      <c r="Q78" s="3">
        <v>3</v>
      </c>
      <c r="R78" s="3" t="s">
        <v>80</v>
      </c>
      <c r="S78" s="3" t="s">
        <v>116</v>
      </c>
      <c r="T78" s="3" t="s">
        <v>90</v>
      </c>
      <c r="U78" s="5" t="s">
        <v>496</v>
      </c>
      <c r="V78" s="3" t="s">
        <v>70</v>
      </c>
      <c r="W78" t="str">
        <f t="shared" si="1"/>
        <v>Blacklisted</v>
      </c>
    </row>
    <row r="79" spans="1:23" ht="14.25" customHeight="1">
      <c r="A79" s="6" t="s">
        <v>497</v>
      </c>
      <c r="B79" s="6" t="s">
        <v>222</v>
      </c>
      <c r="C79" s="6" t="s">
        <v>185</v>
      </c>
      <c r="D79" s="6" t="s">
        <v>498</v>
      </c>
      <c r="E79" s="6" t="s">
        <v>499</v>
      </c>
      <c r="F79" s="6" t="s">
        <v>226</v>
      </c>
      <c r="G79" s="6" t="s">
        <v>77</v>
      </c>
      <c r="H79" s="6" t="s">
        <v>500</v>
      </c>
      <c r="I79" s="6" t="s">
        <v>60</v>
      </c>
      <c r="J79" s="6" t="s">
        <v>32</v>
      </c>
      <c r="K79" s="6" t="s">
        <v>47</v>
      </c>
      <c r="L79" s="6" t="s">
        <v>190</v>
      </c>
      <c r="M79" s="6">
        <v>12</v>
      </c>
      <c r="N79" s="6">
        <v>700</v>
      </c>
      <c r="O79" s="6">
        <v>15</v>
      </c>
      <c r="P79" s="6">
        <v>7140</v>
      </c>
      <c r="Q79" s="6">
        <v>2</v>
      </c>
      <c r="R79" s="6" t="s">
        <v>89</v>
      </c>
      <c r="S79" s="6" t="s">
        <v>50</v>
      </c>
      <c r="T79" s="6" t="s">
        <v>229</v>
      </c>
      <c r="U79" s="7" t="s">
        <v>501</v>
      </c>
      <c r="V79" s="6" t="s">
        <v>39</v>
      </c>
      <c r="W79" t="str">
        <f t="shared" si="1"/>
        <v>Blacklisted</v>
      </c>
    </row>
    <row r="80" spans="1:23" ht="14.25" customHeight="1">
      <c r="A80" s="3" t="s">
        <v>502</v>
      </c>
      <c r="B80" s="3" t="s">
        <v>72</v>
      </c>
      <c r="C80" s="3" t="s">
        <v>73</v>
      </c>
      <c r="D80" s="3" t="s">
        <v>503</v>
      </c>
      <c r="E80" s="3" t="s">
        <v>504</v>
      </c>
      <c r="F80" s="3" t="s">
        <v>218</v>
      </c>
      <c r="G80" s="3" t="s">
        <v>77</v>
      </c>
      <c r="H80" s="3" t="s">
        <v>505</v>
      </c>
      <c r="I80" s="3" t="s">
        <v>106</v>
      </c>
      <c r="J80" s="3" t="s">
        <v>107</v>
      </c>
      <c r="K80" s="3" t="s">
        <v>47</v>
      </c>
      <c r="L80" s="3" t="s">
        <v>79</v>
      </c>
      <c r="M80" s="3">
        <v>8</v>
      </c>
      <c r="N80" s="3">
        <v>1200</v>
      </c>
      <c r="O80" s="3">
        <v>0</v>
      </c>
      <c r="P80" s="3">
        <v>9600</v>
      </c>
      <c r="Q80" s="3">
        <v>4</v>
      </c>
      <c r="R80" s="3" t="s">
        <v>80</v>
      </c>
      <c r="S80" s="3" t="s">
        <v>50</v>
      </c>
      <c r="T80" s="3" t="s">
        <v>81</v>
      </c>
      <c r="U80" s="5" t="s">
        <v>506</v>
      </c>
      <c r="V80" s="3" t="s">
        <v>65</v>
      </c>
      <c r="W80" t="str">
        <f t="shared" si="1"/>
        <v>Blacklisted</v>
      </c>
    </row>
    <row r="81" spans="1:23" ht="14.25" customHeight="1">
      <c r="A81" s="6" t="s">
        <v>507</v>
      </c>
      <c r="B81" s="6" t="s">
        <v>128</v>
      </c>
      <c r="C81" s="6" t="s">
        <v>119</v>
      </c>
      <c r="D81" s="6" t="s">
        <v>508</v>
      </c>
      <c r="E81" s="6" t="s">
        <v>509</v>
      </c>
      <c r="F81" s="6" t="s">
        <v>201</v>
      </c>
      <c r="G81" s="6" t="s">
        <v>77</v>
      </c>
      <c r="H81" s="6" t="s">
        <v>510</v>
      </c>
      <c r="I81" s="6" t="s">
        <v>115</v>
      </c>
      <c r="J81" s="6" t="s">
        <v>107</v>
      </c>
      <c r="K81" s="6" t="s">
        <v>123</v>
      </c>
      <c r="L81" s="6" t="s">
        <v>124</v>
      </c>
      <c r="M81" s="6">
        <v>2</v>
      </c>
      <c r="N81" s="6">
        <v>60</v>
      </c>
      <c r="O81" s="6">
        <v>0</v>
      </c>
      <c r="P81" s="6">
        <v>120</v>
      </c>
      <c r="Q81" s="6">
        <v>2</v>
      </c>
      <c r="R81" s="6" t="s">
        <v>89</v>
      </c>
      <c r="S81" s="6" t="s">
        <v>50</v>
      </c>
      <c r="T81" s="6" t="s">
        <v>133</v>
      </c>
      <c r="U81" s="7" t="s">
        <v>511</v>
      </c>
      <c r="V81" s="6" t="s">
        <v>39</v>
      </c>
      <c r="W81" t="str">
        <f t="shared" si="1"/>
        <v>Blacklisted</v>
      </c>
    </row>
    <row r="82" spans="1:23" ht="14.25" customHeight="1">
      <c r="A82" s="3" t="s">
        <v>512</v>
      </c>
      <c r="B82" s="3" t="s">
        <v>328</v>
      </c>
      <c r="C82" s="3" t="s">
        <v>260</v>
      </c>
      <c r="D82" s="3" t="s">
        <v>513</v>
      </c>
      <c r="E82" s="3" t="s">
        <v>514</v>
      </c>
      <c r="F82" s="3" t="s">
        <v>395</v>
      </c>
      <c r="G82" s="3" t="s">
        <v>77</v>
      </c>
      <c r="H82" s="3" t="s">
        <v>515</v>
      </c>
      <c r="I82" s="3" t="s">
        <v>115</v>
      </c>
      <c r="J82" s="3" t="s">
        <v>107</v>
      </c>
      <c r="K82" s="3" t="s">
        <v>123</v>
      </c>
      <c r="L82" s="3" t="s">
        <v>264</v>
      </c>
      <c r="M82" s="3">
        <v>10</v>
      </c>
      <c r="N82" s="3">
        <v>45</v>
      </c>
      <c r="O82" s="3">
        <v>15</v>
      </c>
      <c r="P82" s="3">
        <v>382.5</v>
      </c>
      <c r="Q82" s="3">
        <v>3</v>
      </c>
      <c r="R82" s="3" t="s">
        <v>49</v>
      </c>
      <c r="S82" s="3" t="s">
        <v>36</v>
      </c>
      <c r="T82" s="3" t="s">
        <v>333</v>
      </c>
      <c r="U82" s="5" t="s">
        <v>516</v>
      </c>
      <c r="V82" s="3" t="s">
        <v>70</v>
      </c>
      <c r="W82" t="str">
        <f t="shared" si="1"/>
        <v>Blacklisted</v>
      </c>
    </row>
    <row r="83" spans="1:23" ht="14.25" customHeight="1">
      <c r="A83" s="6" t="s">
        <v>517</v>
      </c>
      <c r="B83" s="6" t="s">
        <v>222</v>
      </c>
      <c r="C83" s="6" t="s">
        <v>93</v>
      </c>
      <c r="D83" s="6" t="s">
        <v>518</v>
      </c>
      <c r="E83" s="6" t="s">
        <v>519</v>
      </c>
      <c r="F83" s="6" t="s">
        <v>226</v>
      </c>
      <c r="G83" s="6" t="s">
        <v>77</v>
      </c>
      <c r="H83" s="6" t="s">
        <v>520</v>
      </c>
      <c r="I83" s="6" t="s">
        <v>295</v>
      </c>
      <c r="J83" s="6" t="s">
        <v>296</v>
      </c>
      <c r="K83" s="6" t="s">
        <v>33</v>
      </c>
      <c r="L83" s="6" t="s">
        <v>98</v>
      </c>
      <c r="M83" s="6">
        <v>12</v>
      </c>
      <c r="N83" s="6">
        <v>3500</v>
      </c>
      <c r="O83" s="6">
        <v>5</v>
      </c>
      <c r="P83" s="6">
        <v>39900</v>
      </c>
      <c r="Q83" s="6">
        <v>3</v>
      </c>
      <c r="R83" s="6" t="s">
        <v>49</v>
      </c>
      <c r="S83" s="6" t="s">
        <v>62</v>
      </c>
      <c r="T83" s="6" t="s">
        <v>229</v>
      </c>
      <c r="U83" s="7" t="s">
        <v>521</v>
      </c>
      <c r="V83" s="6" t="s">
        <v>65</v>
      </c>
      <c r="W83" t="str">
        <f t="shared" si="1"/>
        <v>Blacklisted</v>
      </c>
    </row>
    <row r="84" spans="1:23" ht="14.25" customHeight="1">
      <c r="A84" s="3" t="s">
        <v>522</v>
      </c>
      <c r="B84" s="3" t="s">
        <v>128</v>
      </c>
      <c r="C84" s="3" t="s">
        <v>119</v>
      </c>
      <c r="D84" s="3" t="s">
        <v>129</v>
      </c>
      <c r="E84" s="3" t="s">
        <v>74</v>
      </c>
      <c r="F84" s="3" t="s">
        <v>201</v>
      </c>
      <c r="G84" s="3" t="s">
        <v>77</v>
      </c>
      <c r="H84" s="3" t="s">
        <v>523</v>
      </c>
      <c r="I84" s="3" t="s">
        <v>106</v>
      </c>
      <c r="J84" s="3" t="s">
        <v>107</v>
      </c>
      <c r="K84" s="3" t="s">
        <v>123</v>
      </c>
      <c r="L84" s="3" t="s">
        <v>124</v>
      </c>
      <c r="M84" s="3">
        <v>2</v>
      </c>
      <c r="N84" s="3">
        <v>60</v>
      </c>
      <c r="O84" s="3">
        <v>15</v>
      </c>
      <c r="P84" s="3">
        <v>102</v>
      </c>
      <c r="Q84" s="3">
        <v>1</v>
      </c>
      <c r="R84" s="3" t="s">
        <v>89</v>
      </c>
      <c r="S84" s="3" t="s">
        <v>116</v>
      </c>
      <c r="T84" s="3" t="s">
        <v>133</v>
      </c>
      <c r="U84" s="5" t="s">
        <v>524</v>
      </c>
      <c r="V84" s="3" t="s">
        <v>39</v>
      </c>
      <c r="W84" t="str">
        <f t="shared" si="1"/>
        <v>Blacklisted</v>
      </c>
    </row>
    <row r="85" spans="1:23" ht="14.25" customHeight="1">
      <c r="A85" s="6" t="s">
        <v>525</v>
      </c>
      <c r="B85" s="6" t="s">
        <v>128</v>
      </c>
      <c r="C85" s="6" t="s">
        <v>73</v>
      </c>
      <c r="D85" s="6" t="s">
        <v>526</v>
      </c>
      <c r="E85" s="6" t="s">
        <v>527</v>
      </c>
      <c r="F85" s="6" t="s">
        <v>201</v>
      </c>
      <c r="G85" s="6" t="s">
        <v>77</v>
      </c>
      <c r="H85" s="6" t="s">
        <v>528</v>
      </c>
      <c r="I85" s="6" t="s">
        <v>31</v>
      </c>
      <c r="J85" s="6" t="s">
        <v>32</v>
      </c>
      <c r="K85" s="6" t="s">
        <v>47</v>
      </c>
      <c r="L85" s="6" t="s">
        <v>79</v>
      </c>
      <c r="M85" s="6">
        <v>18</v>
      </c>
      <c r="N85" s="6">
        <v>1200</v>
      </c>
      <c r="O85" s="6">
        <v>15</v>
      </c>
      <c r="P85" s="6">
        <v>18360</v>
      </c>
      <c r="Q85" s="6">
        <v>3</v>
      </c>
      <c r="R85" s="6" t="s">
        <v>80</v>
      </c>
      <c r="S85" s="6" t="s">
        <v>116</v>
      </c>
      <c r="T85" s="6" t="s">
        <v>133</v>
      </c>
      <c r="U85" s="7" t="s">
        <v>529</v>
      </c>
      <c r="V85" s="6" t="s">
        <v>65</v>
      </c>
      <c r="W85" t="str">
        <f t="shared" si="1"/>
        <v>Blacklisted</v>
      </c>
    </row>
    <row r="86" spans="1:23" ht="14.25" customHeight="1">
      <c r="A86" s="3" t="s">
        <v>530</v>
      </c>
      <c r="B86" s="3" t="s">
        <v>24</v>
      </c>
      <c r="C86" s="3" t="s">
        <v>41</v>
      </c>
      <c r="D86" s="3" t="s">
        <v>531</v>
      </c>
      <c r="E86" s="3" t="s">
        <v>532</v>
      </c>
      <c r="F86" s="3" t="s">
        <v>28</v>
      </c>
      <c r="G86" s="3" t="s">
        <v>29</v>
      </c>
      <c r="H86" s="3" t="s">
        <v>533</v>
      </c>
      <c r="I86" s="3" t="s">
        <v>106</v>
      </c>
      <c r="J86" s="3" t="s">
        <v>107</v>
      </c>
      <c r="K86" s="3" t="s">
        <v>47</v>
      </c>
      <c r="L86" s="3" t="s">
        <v>48</v>
      </c>
      <c r="M86" s="3">
        <v>18</v>
      </c>
      <c r="N86" s="3">
        <v>12000</v>
      </c>
      <c r="O86" s="3">
        <v>15</v>
      </c>
      <c r="P86" s="3">
        <v>183600</v>
      </c>
      <c r="Q86" s="3">
        <v>2</v>
      </c>
      <c r="R86" s="3" t="s">
        <v>35</v>
      </c>
      <c r="S86" s="3" t="s">
        <v>50</v>
      </c>
      <c r="T86" s="3" t="s">
        <v>51</v>
      </c>
      <c r="U86" s="5" t="s">
        <v>534</v>
      </c>
      <c r="V86" s="3" t="s">
        <v>39</v>
      </c>
      <c r="W86" t="str">
        <f t="shared" si="1"/>
        <v>Blacklisted</v>
      </c>
    </row>
    <row r="87" spans="1:23" ht="14.25" customHeight="1">
      <c r="A87" s="6" t="s">
        <v>535</v>
      </c>
      <c r="B87" s="6" t="s">
        <v>84</v>
      </c>
      <c r="C87" s="6" t="s">
        <v>223</v>
      </c>
      <c r="D87" s="6" t="s">
        <v>532</v>
      </c>
      <c r="E87" s="6" t="s">
        <v>536</v>
      </c>
      <c r="F87" s="6" t="s">
        <v>181</v>
      </c>
      <c r="G87" s="6" t="s">
        <v>77</v>
      </c>
      <c r="H87" s="6" t="s">
        <v>537</v>
      </c>
      <c r="I87" s="6" t="s">
        <v>139</v>
      </c>
      <c r="J87" s="6" t="s">
        <v>107</v>
      </c>
      <c r="K87" s="6" t="s">
        <v>123</v>
      </c>
      <c r="L87" s="6" t="s">
        <v>228</v>
      </c>
      <c r="M87" s="6">
        <v>7</v>
      </c>
      <c r="N87" s="6">
        <v>20</v>
      </c>
      <c r="O87" s="6">
        <v>0</v>
      </c>
      <c r="P87" s="6">
        <v>140</v>
      </c>
      <c r="Q87" s="6">
        <v>2</v>
      </c>
      <c r="R87" s="6" t="s">
        <v>80</v>
      </c>
      <c r="S87" s="6" t="s">
        <v>36</v>
      </c>
      <c r="T87" s="6" t="s">
        <v>90</v>
      </c>
      <c r="U87" s="7" t="s">
        <v>538</v>
      </c>
      <c r="V87" s="6" t="s">
        <v>70</v>
      </c>
      <c r="W87" t="str">
        <f t="shared" si="1"/>
        <v>Blacklisted</v>
      </c>
    </row>
    <row r="88" spans="1:23" ht="14.25" customHeight="1">
      <c r="A88" s="3" t="s">
        <v>539</v>
      </c>
      <c r="B88" s="3" t="s">
        <v>252</v>
      </c>
      <c r="C88" s="3" t="s">
        <v>93</v>
      </c>
      <c r="D88" s="3" t="s">
        <v>460</v>
      </c>
      <c r="E88" s="3" t="s">
        <v>540</v>
      </c>
      <c r="F88" s="3" t="s">
        <v>255</v>
      </c>
      <c r="G88" s="3" t="s">
        <v>29</v>
      </c>
      <c r="H88" s="3" t="s">
        <v>541</v>
      </c>
      <c r="I88" s="3" t="s">
        <v>115</v>
      </c>
      <c r="J88" s="3" t="s">
        <v>107</v>
      </c>
      <c r="K88" s="3" t="s">
        <v>33</v>
      </c>
      <c r="L88" s="3" t="s">
        <v>98</v>
      </c>
      <c r="M88" s="3">
        <v>20</v>
      </c>
      <c r="N88" s="3">
        <v>3500</v>
      </c>
      <c r="O88" s="3">
        <v>20</v>
      </c>
      <c r="P88" s="3">
        <v>56000</v>
      </c>
      <c r="Q88" s="3">
        <v>4</v>
      </c>
      <c r="R88" s="3" t="s">
        <v>80</v>
      </c>
      <c r="S88" s="3" t="s">
        <v>116</v>
      </c>
      <c r="T88" s="3" t="s">
        <v>257</v>
      </c>
      <c r="U88" s="5" t="s">
        <v>542</v>
      </c>
      <c r="V88" s="3" t="s">
        <v>65</v>
      </c>
      <c r="W88" t="str">
        <f t="shared" si="1"/>
        <v>Blacklisted</v>
      </c>
    </row>
    <row r="89" spans="1:23" ht="14.25" customHeight="1">
      <c r="A89" s="6" t="s">
        <v>543</v>
      </c>
      <c r="B89" s="6" t="s">
        <v>101</v>
      </c>
      <c r="C89" s="6" t="s">
        <v>170</v>
      </c>
      <c r="D89" s="6" t="s">
        <v>544</v>
      </c>
      <c r="E89" s="6" t="s">
        <v>545</v>
      </c>
      <c r="F89" s="6" t="s">
        <v>104</v>
      </c>
      <c r="G89" s="6" t="s">
        <v>29</v>
      </c>
      <c r="H89" s="6" t="s">
        <v>546</v>
      </c>
      <c r="I89" s="6" t="s">
        <v>139</v>
      </c>
      <c r="J89" s="6" t="s">
        <v>107</v>
      </c>
      <c r="K89" s="6" t="s">
        <v>33</v>
      </c>
      <c r="L89" s="6" t="s">
        <v>175</v>
      </c>
      <c r="M89" s="6">
        <v>8</v>
      </c>
      <c r="N89" s="6">
        <v>8500</v>
      </c>
      <c r="O89" s="6">
        <v>20</v>
      </c>
      <c r="P89" s="6">
        <v>54400</v>
      </c>
      <c r="Q89" s="6">
        <v>3</v>
      </c>
      <c r="R89" s="6" t="s">
        <v>80</v>
      </c>
      <c r="S89" s="6" t="s">
        <v>116</v>
      </c>
      <c r="T89" s="6" t="s">
        <v>145</v>
      </c>
      <c r="U89" s="7" t="s">
        <v>547</v>
      </c>
      <c r="V89" s="6" t="s">
        <v>65</v>
      </c>
      <c r="W89" t="str">
        <f t="shared" si="1"/>
        <v>Blacklisted</v>
      </c>
    </row>
    <row r="90" spans="1:23" ht="14.25" customHeight="1">
      <c r="A90" s="3" t="s">
        <v>548</v>
      </c>
      <c r="B90" s="3" t="s">
        <v>328</v>
      </c>
      <c r="C90" s="3" t="s">
        <v>41</v>
      </c>
      <c r="D90" s="3" t="s">
        <v>549</v>
      </c>
      <c r="E90" s="3" t="s">
        <v>550</v>
      </c>
      <c r="F90" s="3" t="s">
        <v>395</v>
      </c>
      <c r="G90" s="3" t="s">
        <v>77</v>
      </c>
      <c r="H90" s="3" t="s">
        <v>551</v>
      </c>
      <c r="I90" s="3" t="s">
        <v>139</v>
      </c>
      <c r="J90" s="3" t="s">
        <v>552</v>
      </c>
      <c r="K90" s="3" t="s">
        <v>47</v>
      </c>
      <c r="L90" s="3" t="s">
        <v>48</v>
      </c>
      <c r="M90" s="3">
        <v>6</v>
      </c>
      <c r="N90" s="3">
        <v>12000</v>
      </c>
      <c r="O90" s="3">
        <v>5</v>
      </c>
      <c r="P90" s="3">
        <v>68400</v>
      </c>
      <c r="Q90" s="3">
        <v>4</v>
      </c>
      <c r="R90" s="3" t="s">
        <v>49</v>
      </c>
      <c r="S90" s="3" t="s">
        <v>36</v>
      </c>
      <c r="T90" s="3" t="s">
        <v>333</v>
      </c>
      <c r="U90" s="5" t="s">
        <v>553</v>
      </c>
      <c r="V90" s="3" t="s">
        <v>39</v>
      </c>
      <c r="W90" t="str">
        <f t="shared" si="1"/>
        <v>Gold</v>
      </c>
    </row>
    <row r="91" spans="1:23" ht="14.25" customHeight="1">
      <c r="A91" s="6" t="s">
        <v>554</v>
      </c>
      <c r="B91" s="6" t="s">
        <v>24</v>
      </c>
      <c r="C91" s="6" t="s">
        <v>170</v>
      </c>
      <c r="D91" s="6" t="s">
        <v>555</v>
      </c>
      <c r="E91" s="6" t="s">
        <v>405</v>
      </c>
      <c r="F91" s="6" t="s">
        <v>28</v>
      </c>
      <c r="G91" s="6" t="s">
        <v>29</v>
      </c>
      <c r="H91" s="6" t="s">
        <v>556</v>
      </c>
      <c r="I91" s="6" t="s">
        <v>115</v>
      </c>
      <c r="J91" s="6" t="s">
        <v>107</v>
      </c>
      <c r="K91" s="6" t="s">
        <v>33</v>
      </c>
      <c r="L91" s="6" t="s">
        <v>175</v>
      </c>
      <c r="M91" s="6">
        <v>15</v>
      </c>
      <c r="N91" s="6">
        <v>8500</v>
      </c>
      <c r="O91" s="6">
        <v>0</v>
      </c>
      <c r="P91" s="6">
        <v>127500</v>
      </c>
      <c r="Q91" s="6">
        <v>4</v>
      </c>
      <c r="R91" s="6" t="s">
        <v>49</v>
      </c>
      <c r="S91" s="6" t="s">
        <v>36</v>
      </c>
      <c r="T91" s="6" t="s">
        <v>51</v>
      </c>
      <c r="U91" s="7" t="s">
        <v>557</v>
      </c>
      <c r="V91" s="6" t="s">
        <v>70</v>
      </c>
      <c r="W91" t="str">
        <f t="shared" si="1"/>
        <v>Blacklisted</v>
      </c>
    </row>
    <row r="92" spans="1:23" ht="14.25" customHeight="1">
      <c r="A92" s="3" t="s">
        <v>558</v>
      </c>
      <c r="B92" s="3" t="s">
        <v>54</v>
      </c>
      <c r="C92" s="3" t="s">
        <v>73</v>
      </c>
      <c r="D92" s="3" t="s">
        <v>559</v>
      </c>
      <c r="E92" s="3" t="s">
        <v>378</v>
      </c>
      <c r="F92" s="3" t="s">
        <v>164</v>
      </c>
      <c r="G92" s="3" t="s">
        <v>29</v>
      </c>
      <c r="H92" s="3" t="s">
        <v>560</v>
      </c>
      <c r="I92" s="3" t="s">
        <v>213</v>
      </c>
      <c r="J92" s="3" t="s">
        <v>46</v>
      </c>
      <c r="K92" s="3" t="s">
        <v>47</v>
      </c>
      <c r="L92" s="3" t="s">
        <v>79</v>
      </c>
      <c r="M92" s="3">
        <v>5</v>
      </c>
      <c r="N92" s="3">
        <v>1200</v>
      </c>
      <c r="O92" s="3">
        <v>15</v>
      </c>
      <c r="P92" s="3">
        <v>5100</v>
      </c>
      <c r="Q92" s="3">
        <v>1</v>
      </c>
      <c r="R92" s="3" t="s">
        <v>49</v>
      </c>
      <c r="S92" s="3" t="s">
        <v>36</v>
      </c>
      <c r="T92" s="3" t="s">
        <v>63</v>
      </c>
      <c r="U92" s="5" t="s">
        <v>561</v>
      </c>
      <c r="V92" s="3" t="s">
        <v>70</v>
      </c>
      <c r="W92" t="str">
        <f t="shared" si="1"/>
        <v>Blacklisted</v>
      </c>
    </row>
    <row r="93" spans="1:23" ht="14.25" customHeight="1">
      <c r="A93" s="6" t="s">
        <v>562</v>
      </c>
      <c r="B93" s="6" t="s">
        <v>54</v>
      </c>
      <c r="C93" s="6" t="s">
        <v>223</v>
      </c>
      <c r="D93" s="6" t="s">
        <v>563</v>
      </c>
      <c r="E93" s="6" t="s">
        <v>564</v>
      </c>
      <c r="F93" s="6" t="s">
        <v>164</v>
      </c>
      <c r="G93" s="6" t="s">
        <v>29</v>
      </c>
      <c r="H93" s="6" t="s">
        <v>565</v>
      </c>
      <c r="I93" s="6" t="s">
        <v>31</v>
      </c>
      <c r="J93" s="6" t="s">
        <v>32</v>
      </c>
      <c r="K93" s="6" t="s">
        <v>123</v>
      </c>
      <c r="L93" s="6" t="s">
        <v>228</v>
      </c>
      <c r="M93" s="6">
        <v>4</v>
      </c>
      <c r="N93" s="6">
        <v>20</v>
      </c>
      <c r="O93" s="6">
        <v>0</v>
      </c>
      <c r="P93" s="6">
        <v>80</v>
      </c>
      <c r="Q93" s="6">
        <v>4</v>
      </c>
      <c r="R93" s="6" t="s">
        <v>49</v>
      </c>
      <c r="S93" s="6" t="s">
        <v>50</v>
      </c>
      <c r="T93" s="6" t="s">
        <v>63</v>
      </c>
      <c r="U93" s="7" t="s">
        <v>566</v>
      </c>
      <c r="V93" s="6" t="s">
        <v>39</v>
      </c>
      <c r="W93" t="str">
        <f t="shared" si="1"/>
        <v>Silver</v>
      </c>
    </row>
    <row r="94" spans="1:23" ht="14.25" customHeight="1">
      <c r="A94" s="3" t="s">
        <v>567</v>
      </c>
      <c r="B94" s="3" t="s">
        <v>24</v>
      </c>
      <c r="C94" s="3" t="s">
        <v>223</v>
      </c>
      <c r="D94" s="3" t="s">
        <v>568</v>
      </c>
      <c r="E94" s="3" t="s">
        <v>569</v>
      </c>
      <c r="F94" s="3" t="s">
        <v>28</v>
      </c>
      <c r="G94" s="3" t="s">
        <v>29</v>
      </c>
      <c r="H94" s="3" t="s">
        <v>570</v>
      </c>
      <c r="I94" s="3" t="s">
        <v>60</v>
      </c>
      <c r="J94" s="3" t="s">
        <v>32</v>
      </c>
      <c r="K94" s="3" t="s">
        <v>123</v>
      </c>
      <c r="L94" s="3" t="s">
        <v>228</v>
      </c>
      <c r="M94" s="3">
        <v>10</v>
      </c>
      <c r="N94" s="3">
        <v>20</v>
      </c>
      <c r="O94" s="3">
        <v>0</v>
      </c>
      <c r="P94" s="3">
        <v>200</v>
      </c>
      <c r="Q94" s="3">
        <v>3</v>
      </c>
      <c r="R94" s="3" t="s">
        <v>35</v>
      </c>
      <c r="S94" s="3" t="s">
        <v>152</v>
      </c>
      <c r="T94" s="3" t="s">
        <v>51</v>
      </c>
      <c r="U94" s="5" t="s">
        <v>571</v>
      </c>
      <c r="V94" s="3" t="s">
        <v>65</v>
      </c>
      <c r="W94" t="str">
        <f t="shared" si="1"/>
        <v>Blacklisted</v>
      </c>
    </row>
    <row r="95" spans="1:23" ht="14.25" customHeight="1">
      <c r="A95" s="6" t="s">
        <v>572</v>
      </c>
      <c r="B95" s="6" t="s">
        <v>169</v>
      </c>
      <c r="C95" s="6" t="s">
        <v>25</v>
      </c>
      <c r="D95" s="6" t="s">
        <v>573</v>
      </c>
      <c r="E95" s="6" t="s">
        <v>574</v>
      </c>
      <c r="F95" s="6" t="s">
        <v>362</v>
      </c>
      <c r="G95" s="6" t="s">
        <v>29</v>
      </c>
      <c r="H95" s="6" t="s">
        <v>575</v>
      </c>
      <c r="I95" s="6" t="s">
        <v>45</v>
      </c>
      <c r="J95" s="6" t="s">
        <v>46</v>
      </c>
      <c r="K95" s="6" t="s">
        <v>33</v>
      </c>
      <c r="L95" s="6" t="s">
        <v>34</v>
      </c>
      <c r="M95" s="6">
        <v>18</v>
      </c>
      <c r="N95" s="6">
        <v>2200</v>
      </c>
      <c r="O95" s="6">
        <v>10</v>
      </c>
      <c r="P95" s="6">
        <v>35640</v>
      </c>
      <c r="Q95" s="6">
        <v>3</v>
      </c>
      <c r="R95" s="6" t="s">
        <v>35</v>
      </c>
      <c r="S95" s="6" t="s">
        <v>36</v>
      </c>
      <c r="T95" s="6" t="s">
        <v>176</v>
      </c>
      <c r="U95" s="7" t="s">
        <v>576</v>
      </c>
      <c r="V95" s="6" t="s">
        <v>70</v>
      </c>
      <c r="W95" t="str">
        <f t="shared" si="1"/>
        <v>Blacklisted</v>
      </c>
    </row>
    <row r="96" spans="1:23" ht="14.25" customHeight="1">
      <c r="A96" s="3" t="s">
        <v>577</v>
      </c>
      <c r="B96" s="3" t="s">
        <v>328</v>
      </c>
      <c r="C96" s="3" t="s">
        <v>93</v>
      </c>
      <c r="D96" s="3" t="s">
        <v>578</v>
      </c>
      <c r="E96" s="3" t="s">
        <v>579</v>
      </c>
      <c r="F96" s="3" t="s">
        <v>395</v>
      </c>
      <c r="G96" s="3" t="s">
        <v>77</v>
      </c>
      <c r="H96" s="3" t="s">
        <v>580</v>
      </c>
      <c r="I96" s="3" t="s">
        <v>45</v>
      </c>
      <c r="J96" s="3" t="s">
        <v>46</v>
      </c>
      <c r="K96" s="3" t="s">
        <v>33</v>
      </c>
      <c r="L96" s="3" t="s">
        <v>98</v>
      </c>
      <c r="M96" s="3">
        <v>7</v>
      </c>
      <c r="N96" s="3">
        <v>3500</v>
      </c>
      <c r="O96" s="3">
        <v>15</v>
      </c>
      <c r="P96" s="3">
        <v>20825</v>
      </c>
      <c r="Q96" s="3">
        <v>3</v>
      </c>
      <c r="R96" s="3" t="s">
        <v>49</v>
      </c>
      <c r="S96" s="3" t="s">
        <v>50</v>
      </c>
      <c r="T96" s="3" t="s">
        <v>333</v>
      </c>
      <c r="U96" s="5" t="s">
        <v>581</v>
      </c>
      <c r="V96" s="3" t="s">
        <v>39</v>
      </c>
      <c r="W96" t="str">
        <f t="shared" si="1"/>
        <v>Silver</v>
      </c>
    </row>
    <row r="97" spans="1:23" ht="14.25" customHeight="1">
      <c r="A97" s="6" t="s">
        <v>582</v>
      </c>
      <c r="B97" s="6" t="s">
        <v>101</v>
      </c>
      <c r="C97" s="6" t="s">
        <v>170</v>
      </c>
      <c r="D97" s="6" t="s">
        <v>583</v>
      </c>
      <c r="E97" s="6" t="s">
        <v>584</v>
      </c>
      <c r="F97" s="6" t="s">
        <v>104</v>
      </c>
      <c r="G97" s="6" t="s">
        <v>29</v>
      </c>
      <c r="H97" s="6" t="s">
        <v>585</v>
      </c>
      <c r="I97" s="6" t="s">
        <v>295</v>
      </c>
      <c r="J97" s="6" t="s">
        <v>296</v>
      </c>
      <c r="K97" s="6" t="s">
        <v>33</v>
      </c>
      <c r="L97" s="6" t="s">
        <v>175</v>
      </c>
      <c r="M97" s="6">
        <v>19</v>
      </c>
      <c r="N97" s="6">
        <v>8500</v>
      </c>
      <c r="O97" s="6">
        <v>15</v>
      </c>
      <c r="P97" s="6">
        <v>137275</v>
      </c>
      <c r="Q97" s="6">
        <v>4</v>
      </c>
      <c r="R97" s="6" t="s">
        <v>80</v>
      </c>
      <c r="S97" s="6" t="s">
        <v>152</v>
      </c>
      <c r="T97" s="6" t="s">
        <v>145</v>
      </c>
      <c r="U97" s="7" t="s">
        <v>586</v>
      </c>
      <c r="V97" s="6" t="s">
        <v>65</v>
      </c>
      <c r="W97" t="str">
        <f t="shared" si="1"/>
        <v>Blacklisted</v>
      </c>
    </row>
    <row r="98" spans="1:23" ht="14.25" customHeight="1">
      <c r="A98" s="3" t="s">
        <v>587</v>
      </c>
      <c r="B98" s="3" t="s">
        <v>252</v>
      </c>
      <c r="C98" s="3" t="s">
        <v>41</v>
      </c>
      <c r="D98" s="3" t="s">
        <v>588</v>
      </c>
      <c r="E98" s="3" t="s">
        <v>589</v>
      </c>
      <c r="F98" s="3" t="s">
        <v>255</v>
      </c>
      <c r="G98" s="3" t="s">
        <v>29</v>
      </c>
      <c r="H98" s="3" t="s">
        <v>590</v>
      </c>
      <c r="I98" s="3" t="s">
        <v>139</v>
      </c>
      <c r="J98" s="3" t="s">
        <v>107</v>
      </c>
      <c r="K98" s="3" t="s">
        <v>47</v>
      </c>
      <c r="L98" s="3" t="s">
        <v>48</v>
      </c>
      <c r="M98" s="3">
        <v>13</v>
      </c>
      <c r="N98" s="3">
        <v>12000</v>
      </c>
      <c r="O98" s="3">
        <v>15</v>
      </c>
      <c r="P98" s="3">
        <v>132600</v>
      </c>
      <c r="Q98" s="3">
        <v>4</v>
      </c>
      <c r="R98" s="3" t="s">
        <v>35</v>
      </c>
      <c r="S98" s="3" t="s">
        <v>50</v>
      </c>
      <c r="T98" s="3" t="s">
        <v>257</v>
      </c>
      <c r="U98" s="5" t="s">
        <v>591</v>
      </c>
      <c r="V98" s="3" t="s">
        <v>39</v>
      </c>
      <c r="W98" t="str">
        <f t="shared" si="1"/>
        <v>Blacklisted</v>
      </c>
    </row>
    <row r="99" spans="1:23" ht="14.25" customHeight="1">
      <c r="A99" s="6" t="s">
        <v>592</v>
      </c>
      <c r="B99" s="6" t="s">
        <v>328</v>
      </c>
      <c r="C99" s="6" t="s">
        <v>223</v>
      </c>
      <c r="D99" s="6" t="s">
        <v>593</v>
      </c>
      <c r="E99" s="6" t="s">
        <v>399</v>
      </c>
      <c r="F99" s="6" t="s">
        <v>395</v>
      </c>
      <c r="G99" s="6" t="s">
        <v>77</v>
      </c>
      <c r="H99" s="6" t="s">
        <v>594</v>
      </c>
      <c r="I99" s="6" t="s">
        <v>115</v>
      </c>
      <c r="J99" s="6" t="s">
        <v>107</v>
      </c>
      <c r="K99" s="6" t="s">
        <v>123</v>
      </c>
      <c r="L99" s="6" t="s">
        <v>228</v>
      </c>
      <c r="M99" s="6">
        <v>7</v>
      </c>
      <c r="N99" s="6">
        <v>20</v>
      </c>
      <c r="O99" s="6">
        <v>0</v>
      </c>
      <c r="P99" s="6">
        <v>140</v>
      </c>
      <c r="Q99" s="6">
        <v>1</v>
      </c>
      <c r="R99" s="6" t="s">
        <v>80</v>
      </c>
      <c r="S99" s="6" t="s">
        <v>152</v>
      </c>
      <c r="T99" s="6" t="s">
        <v>333</v>
      </c>
      <c r="U99" s="7" t="s">
        <v>595</v>
      </c>
      <c r="V99" s="6" t="s">
        <v>70</v>
      </c>
      <c r="W99" t="str">
        <f t="shared" si="1"/>
        <v>Blacklisted</v>
      </c>
    </row>
    <row r="100" spans="1:23" ht="14.25" customHeight="1">
      <c r="A100" s="3" t="s">
        <v>596</v>
      </c>
      <c r="B100" s="3" t="s">
        <v>169</v>
      </c>
      <c r="C100" s="3" t="s">
        <v>185</v>
      </c>
      <c r="D100" s="3" t="s">
        <v>597</v>
      </c>
      <c r="E100" s="3" t="s">
        <v>598</v>
      </c>
      <c r="F100" s="3" t="s">
        <v>362</v>
      </c>
      <c r="G100" s="3" t="s">
        <v>29</v>
      </c>
      <c r="H100" s="3" t="s">
        <v>599</v>
      </c>
      <c r="I100" s="3" t="s">
        <v>45</v>
      </c>
      <c r="J100" s="3" t="s">
        <v>46</v>
      </c>
      <c r="K100" s="3" t="s">
        <v>47</v>
      </c>
      <c r="L100" s="3" t="s">
        <v>190</v>
      </c>
      <c r="M100" s="3">
        <v>5</v>
      </c>
      <c r="N100" s="3">
        <v>700</v>
      </c>
      <c r="O100" s="3">
        <v>15</v>
      </c>
      <c r="P100" s="3">
        <v>999999</v>
      </c>
      <c r="Q100" s="3">
        <v>4</v>
      </c>
      <c r="R100" s="3" t="s">
        <v>80</v>
      </c>
      <c r="S100" s="3" t="s">
        <v>36</v>
      </c>
      <c r="T100" s="3" t="s">
        <v>176</v>
      </c>
      <c r="U100" s="5" t="s">
        <v>600</v>
      </c>
      <c r="V100" s="3" t="s">
        <v>65</v>
      </c>
      <c r="W100" t="str">
        <f t="shared" si="1"/>
        <v>Blacklisted</v>
      </c>
    </row>
    <row r="101" spans="1:23" ht="14.25" customHeight="1">
      <c r="A101" s="6" t="s">
        <v>601</v>
      </c>
      <c r="B101" s="6" t="s">
        <v>84</v>
      </c>
      <c r="C101" s="6" t="s">
        <v>260</v>
      </c>
      <c r="D101" s="6" t="s">
        <v>584</v>
      </c>
      <c r="E101" s="6" t="s">
        <v>602</v>
      </c>
      <c r="F101" s="6" t="s">
        <v>181</v>
      </c>
      <c r="G101" s="6" t="s">
        <v>77</v>
      </c>
      <c r="H101" s="6" t="s">
        <v>603</v>
      </c>
      <c r="I101" s="6" t="s">
        <v>60</v>
      </c>
      <c r="J101" s="6" t="s">
        <v>32</v>
      </c>
      <c r="K101" s="6" t="s">
        <v>123</v>
      </c>
      <c r="L101" s="6" t="s">
        <v>264</v>
      </c>
      <c r="M101" s="6">
        <v>9</v>
      </c>
      <c r="N101" s="6">
        <v>45</v>
      </c>
      <c r="O101" s="6">
        <v>5</v>
      </c>
      <c r="P101" s="6">
        <v>384.75</v>
      </c>
      <c r="Q101" s="6">
        <v>3</v>
      </c>
      <c r="R101" s="6" t="s">
        <v>35</v>
      </c>
      <c r="S101" s="6" t="s">
        <v>36</v>
      </c>
      <c r="T101" s="6" t="s">
        <v>90</v>
      </c>
      <c r="U101" s="7" t="s">
        <v>604</v>
      </c>
      <c r="V101" s="6" t="s">
        <v>39</v>
      </c>
      <c r="W101" t="str">
        <f t="shared" si="1"/>
        <v>Silver</v>
      </c>
    </row>
    <row r="102" spans="1:23" ht="14.25" customHeight="1">
      <c r="A102" s="3" t="s">
        <v>605</v>
      </c>
      <c r="B102" s="3" t="s">
        <v>128</v>
      </c>
      <c r="C102" s="3" t="s">
        <v>119</v>
      </c>
      <c r="D102" s="3" t="s">
        <v>606</v>
      </c>
      <c r="E102" s="3" t="s">
        <v>607</v>
      </c>
      <c r="F102" s="3" t="s">
        <v>201</v>
      </c>
      <c r="G102" s="3" t="s">
        <v>77</v>
      </c>
      <c r="H102" s="3" t="s">
        <v>608</v>
      </c>
      <c r="I102" s="3" t="s">
        <v>295</v>
      </c>
      <c r="J102" s="3" t="s">
        <v>296</v>
      </c>
      <c r="K102" s="3" t="s">
        <v>123</v>
      </c>
      <c r="L102" s="3" t="s">
        <v>124</v>
      </c>
      <c r="M102" s="3">
        <v>19</v>
      </c>
      <c r="N102" s="3">
        <v>60</v>
      </c>
      <c r="O102" s="3">
        <v>10</v>
      </c>
      <c r="P102" s="3">
        <v>1026</v>
      </c>
      <c r="Q102" s="3">
        <v>5</v>
      </c>
      <c r="R102" s="3" t="s">
        <v>49</v>
      </c>
      <c r="S102" s="3" t="s">
        <v>116</v>
      </c>
      <c r="T102" s="3" t="s">
        <v>133</v>
      </c>
      <c r="U102" s="5" t="s">
        <v>609</v>
      </c>
      <c r="V102" s="3" t="s">
        <v>39</v>
      </c>
      <c r="W102" t="str">
        <f t="shared" si="1"/>
        <v>Silver</v>
      </c>
    </row>
    <row r="103" spans="1:23" ht="14.25" customHeight="1">
      <c r="A103" s="6" t="s">
        <v>610</v>
      </c>
      <c r="B103" s="6" t="s">
        <v>328</v>
      </c>
      <c r="C103" s="6" t="s">
        <v>185</v>
      </c>
      <c r="D103" s="6" t="s">
        <v>611</v>
      </c>
      <c r="E103" s="6" t="s">
        <v>612</v>
      </c>
      <c r="F103" s="6" t="s">
        <v>395</v>
      </c>
      <c r="G103" s="6" t="s">
        <v>77</v>
      </c>
      <c r="H103" s="6" t="s">
        <v>613</v>
      </c>
      <c r="I103" s="6" t="s">
        <v>139</v>
      </c>
      <c r="J103" s="6" t="s">
        <v>107</v>
      </c>
      <c r="K103" s="6" t="s">
        <v>47</v>
      </c>
      <c r="L103" s="6" t="s">
        <v>190</v>
      </c>
      <c r="M103" s="6">
        <v>4</v>
      </c>
      <c r="N103" s="6">
        <v>700</v>
      </c>
      <c r="O103" s="6">
        <v>5</v>
      </c>
      <c r="P103" s="6">
        <v>2660</v>
      </c>
      <c r="Q103" s="6">
        <v>3</v>
      </c>
      <c r="R103" s="6" t="s">
        <v>49</v>
      </c>
      <c r="S103" s="6" t="s">
        <v>62</v>
      </c>
      <c r="T103" s="6" t="s">
        <v>333</v>
      </c>
      <c r="U103" s="7" t="s">
        <v>614</v>
      </c>
      <c r="V103" s="6" t="s">
        <v>39</v>
      </c>
      <c r="W103" t="str">
        <f t="shared" si="1"/>
        <v>Silver</v>
      </c>
    </row>
    <row r="104" spans="1:23" ht="14.25" customHeight="1">
      <c r="A104" s="3" t="s">
        <v>615</v>
      </c>
      <c r="B104" s="3" t="s">
        <v>328</v>
      </c>
      <c r="C104" s="3" t="s">
        <v>93</v>
      </c>
      <c r="D104" s="3" t="s">
        <v>584</v>
      </c>
      <c r="E104" s="3" t="s">
        <v>616</v>
      </c>
      <c r="F104" s="3" t="s">
        <v>395</v>
      </c>
      <c r="G104" s="3" t="s">
        <v>77</v>
      </c>
      <c r="H104" s="3" t="s">
        <v>617</v>
      </c>
      <c r="I104" s="3" t="s">
        <v>115</v>
      </c>
      <c r="J104" s="3" t="s">
        <v>107</v>
      </c>
      <c r="K104" s="3" t="s">
        <v>33</v>
      </c>
      <c r="L104" s="3" t="s">
        <v>98</v>
      </c>
      <c r="M104" s="3">
        <v>16</v>
      </c>
      <c r="N104" s="3">
        <v>3500</v>
      </c>
      <c r="O104" s="3">
        <v>0</v>
      </c>
      <c r="P104" s="3">
        <v>56000</v>
      </c>
      <c r="Q104" s="3">
        <v>2</v>
      </c>
      <c r="R104" s="3" t="s">
        <v>80</v>
      </c>
      <c r="S104" s="3" t="s">
        <v>50</v>
      </c>
      <c r="T104" s="3" t="s">
        <v>333</v>
      </c>
      <c r="U104" s="5" t="s">
        <v>618</v>
      </c>
      <c r="V104" s="3" t="s">
        <v>39</v>
      </c>
      <c r="W104" t="str">
        <f t="shared" si="1"/>
        <v>Blacklisted</v>
      </c>
    </row>
    <row r="105" spans="1:23" ht="14.25" customHeight="1">
      <c r="A105" s="6" t="s">
        <v>619</v>
      </c>
      <c r="B105" s="6" t="s">
        <v>252</v>
      </c>
      <c r="C105" s="6" t="s">
        <v>260</v>
      </c>
      <c r="D105" s="6" t="s">
        <v>620</v>
      </c>
      <c r="E105" s="6" t="s">
        <v>621</v>
      </c>
      <c r="F105" s="6" t="s">
        <v>255</v>
      </c>
      <c r="G105" s="6" t="s">
        <v>29</v>
      </c>
      <c r="H105" s="6" t="s">
        <v>622</v>
      </c>
      <c r="I105" s="6" t="s">
        <v>60</v>
      </c>
      <c r="J105" s="6" t="s">
        <v>32</v>
      </c>
      <c r="K105" s="6" t="s">
        <v>123</v>
      </c>
      <c r="L105" s="6" t="s">
        <v>264</v>
      </c>
      <c r="M105" s="6">
        <v>5</v>
      </c>
      <c r="N105" s="6">
        <v>45</v>
      </c>
      <c r="O105" s="6">
        <v>20</v>
      </c>
      <c r="P105" s="6">
        <v>180</v>
      </c>
      <c r="Q105" s="6">
        <v>3</v>
      </c>
      <c r="R105" s="6" t="s">
        <v>80</v>
      </c>
      <c r="S105" s="6" t="s">
        <v>36</v>
      </c>
      <c r="T105" s="6" t="s">
        <v>257</v>
      </c>
      <c r="U105" s="7" t="s">
        <v>623</v>
      </c>
      <c r="V105" s="6" t="s">
        <v>39</v>
      </c>
      <c r="W105" t="str">
        <f t="shared" si="1"/>
        <v>Silver</v>
      </c>
    </row>
    <row r="106" spans="1:23" ht="14.25" customHeight="1">
      <c r="A106" s="3" t="s">
        <v>624</v>
      </c>
      <c r="B106" s="3" t="s">
        <v>84</v>
      </c>
      <c r="C106" s="3" t="s">
        <v>223</v>
      </c>
      <c r="D106" s="3" t="s">
        <v>625</v>
      </c>
      <c r="E106" s="3" t="s">
        <v>526</v>
      </c>
      <c r="F106" s="3" t="s">
        <v>181</v>
      </c>
      <c r="G106" s="3" t="s">
        <v>77</v>
      </c>
      <c r="H106" s="3" t="s">
        <v>626</v>
      </c>
      <c r="I106" s="3" t="s">
        <v>106</v>
      </c>
      <c r="J106" s="3" t="s">
        <v>107</v>
      </c>
      <c r="K106" s="3" t="s">
        <v>123</v>
      </c>
      <c r="L106" s="3" t="s">
        <v>228</v>
      </c>
      <c r="M106" s="3">
        <v>9</v>
      </c>
      <c r="N106" s="3">
        <v>20</v>
      </c>
      <c r="O106" s="3">
        <v>10</v>
      </c>
      <c r="P106" s="3">
        <v>162</v>
      </c>
      <c r="Q106" s="3">
        <v>4</v>
      </c>
      <c r="R106" s="3" t="s">
        <v>80</v>
      </c>
      <c r="S106" s="3" t="s">
        <v>36</v>
      </c>
      <c r="T106" s="3" t="s">
        <v>90</v>
      </c>
      <c r="U106" s="5" t="s">
        <v>627</v>
      </c>
      <c r="V106" s="3" t="s">
        <v>65</v>
      </c>
      <c r="W106" t="str">
        <f t="shared" si="1"/>
        <v>Blacklisted</v>
      </c>
    </row>
    <row r="107" spans="1:23" ht="14.25" customHeight="1">
      <c r="A107" s="6" t="s">
        <v>628</v>
      </c>
      <c r="B107" s="6" t="s">
        <v>54</v>
      </c>
      <c r="C107" s="6" t="s">
        <v>73</v>
      </c>
      <c r="D107" s="6" t="s">
        <v>629</v>
      </c>
      <c r="E107" s="6" t="s">
        <v>432</v>
      </c>
      <c r="F107" s="6" t="s">
        <v>164</v>
      </c>
      <c r="G107" s="6" t="s">
        <v>29</v>
      </c>
      <c r="H107" s="6" t="s">
        <v>630</v>
      </c>
      <c r="I107" s="6" t="s">
        <v>45</v>
      </c>
      <c r="J107" s="6" t="s">
        <v>46</v>
      </c>
      <c r="K107" s="6" t="s">
        <v>47</v>
      </c>
      <c r="L107" s="6" t="s">
        <v>79</v>
      </c>
      <c r="M107" s="6">
        <v>9</v>
      </c>
      <c r="N107" s="6">
        <v>1200</v>
      </c>
      <c r="O107" s="6">
        <v>5</v>
      </c>
      <c r="P107" s="6">
        <v>10260</v>
      </c>
      <c r="Q107" s="6">
        <v>3</v>
      </c>
      <c r="R107" s="6" t="s">
        <v>89</v>
      </c>
      <c r="S107" s="6" t="s">
        <v>36</v>
      </c>
      <c r="T107" s="6" t="s">
        <v>63</v>
      </c>
      <c r="U107" s="7" t="s">
        <v>631</v>
      </c>
      <c r="V107" s="6" t="s">
        <v>65</v>
      </c>
      <c r="W107" t="str">
        <f t="shared" si="1"/>
        <v>Blacklisted</v>
      </c>
    </row>
    <row r="108" spans="1:23" ht="14.25" customHeight="1">
      <c r="A108" s="3" t="s">
        <v>632</v>
      </c>
      <c r="B108" s="3" t="s">
        <v>101</v>
      </c>
      <c r="C108" s="3" t="s">
        <v>93</v>
      </c>
      <c r="D108" s="3" t="s">
        <v>388</v>
      </c>
      <c r="E108" s="3" t="s">
        <v>633</v>
      </c>
      <c r="F108" s="3" t="s">
        <v>104</v>
      </c>
      <c r="G108" s="3" t="s">
        <v>29</v>
      </c>
      <c r="H108" s="3" t="s">
        <v>634</v>
      </c>
      <c r="I108" s="3" t="s">
        <v>45</v>
      </c>
      <c r="J108" s="3" t="s">
        <v>46</v>
      </c>
      <c r="K108" s="3" t="s">
        <v>33</v>
      </c>
      <c r="L108" s="3" t="s">
        <v>98</v>
      </c>
      <c r="M108" s="3">
        <v>3</v>
      </c>
      <c r="N108" s="3">
        <v>3500</v>
      </c>
      <c r="O108" s="3">
        <v>10</v>
      </c>
      <c r="P108" s="3">
        <v>9450</v>
      </c>
      <c r="Q108" s="3">
        <v>2</v>
      </c>
      <c r="R108" s="3" t="s">
        <v>80</v>
      </c>
      <c r="S108" s="3" t="s">
        <v>152</v>
      </c>
      <c r="T108" s="3" t="s">
        <v>145</v>
      </c>
      <c r="U108" s="5" t="s">
        <v>635</v>
      </c>
      <c r="V108" s="3" t="s">
        <v>70</v>
      </c>
      <c r="W108" t="str">
        <f t="shared" si="1"/>
        <v>Blacklisted</v>
      </c>
    </row>
    <row r="109" spans="1:23" ht="14.25" customHeight="1">
      <c r="A109" s="6" t="s">
        <v>636</v>
      </c>
      <c r="B109" s="6" t="s">
        <v>222</v>
      </c>
      <c r="C109" s="6" t="s">
        <v>73</v>
      </c>
      <c r="D109" s="6" t="s">
        <v>242</v>
      </c>
      <c r="E109" s="6" t="s">
        <v>637</v>
      </c>
      <c r="F109" s="6" t="s">
        <v>226</v>
      </c>
      <c r="G109" s="6" t="s">
        <v>77</v>
      </c>
      <c r="H109" s="6" t="s">
        <v>638</v>
      </c>
      <c r="I109" s="6" t="s">
        <v>106</v>
      </c>
      <c r="J109" s="6" t="s">
        <v>107</v>
      </c>
      <c r="K109" s="6" t="s">
        <v>47</v>
      </c>
      <c r="L109" s="6" t="s">
        <v>79</v>
      </c>
      <c r="M109" s="6">
        <v>6</v>
      </c>
      <c r="N109" s="6">
        <v>1200</v>
      </c>
      <c r="O109" s="6">
        <v>15</v>
      </c>
      <c r="P109" s="6">
        <v>6120</v>
      </c>
      <c r="Q109" s="6">
        <v>4</v>
      </c>
      <c r="R109" s="6" t="s">
        <v>89</v>
      </c>
      <c r="S109" s="6" t="s">
        <v>36</v>
      </c>
      <c r="T109" s="6" t="s">
        <v>229</v>
      </c>
      <c r="U109" s="7" t="s">
        <v>639</v>
      </c>
      <c r="V109" s="6" t="s">
        <v>70</v>
      </c>
      <c r="W109" t="str">
        <f t="shared" si="1"/>
        <v>Blacklisted</v>
      </c>
    </row>
    <row r="110" spans="1:23" ht="14.25" customHeight="1">
      <c r="A110" s="3" t="s">
        <v>640</v>
      </c>
      <c r="B110" s="3" t="s">
        <v>84</v>
      </c>
      <c r="C110" s="3" t="s">
        <v>73</v>
      </c>
      <c r="D110" s="3" t="s">
        <v>641</v>
      </c>
      <c r="E110" s="3" t="s">
        <v>642</v>
      </c>
      <c r="F110" s="3" t="s">
        <v>181</v>
      </c>
      <c r="G110" s="3" t="s">
        <v>77</v>
      </c>
      <c r="H110" s="3" t="s">
        <v>643</v>
      </c>
      <c r="I110" s="3" t="s">
        <v>213</v>
      </c>
      <c r="J110" s="3" t="s">
        <v>46</v>
      </c>
      <c r="K110" s="3" t="s">
        <v>47</v>
      </c>
      <c r="L110" s="3" t="s">
        <v>79</v>
      </c>
      <c r="M110" s="3">
        <v>17</v>
      </c>
      <c r="N110" s="3">
        <v>1200</v>
      </c>
      <c r="O110" s="3">
        <v>15</v>
      </c>
      <c r="P110" s="3">
        <v>17340</v>
      </c>
      <c r="Q110" s="3">
        <v>1</v>
      </c>
      <c r="R110" s="3" t="s">
        <v>35</v>
      </c>
      <c r="S110" s="3" t="s">
        <v>62</v>
      </c>
      <c r="T110" s="3" t="s">
        <v>90</v>
      </c>
      <c r="U110" s="5" t="s">
        <v>644</v>
      </c>
      <c r="V110" s="3" t="s">
        <v>39</v>
      </c>
      <c r="W110" t="str">
        <f t="shared" si="1"/>
        <v>Blacklisted</v>
      </c>
    </row>
    <row r="111" spans="1:23" ht="14.25" customHeight="1">
      <c r="A111" s="6" t="s">
        <v>645</v>
      </c>
      <c r="B111" s="6" t="s">
        <v>222</v>
      </c>
      <c r="C111" s="6" t="s">
        <v>170</v>
      </c>
      <c r="D111" s="6" t="s">
        <v>646</v>
      </c>
      <c r="E111" s="6" t="s">
        <v>288</v>
      </c>
      <c r="F111" s="6" t="s">
        <v>226</v>
      </c>
      <c r="G111" s="6" t="s">
        <v>77</v>
      </c>
      <c r="H111" s="6" t="s">
        <v>647</v>
      </c>
      <c r="I111" s="6" t="s">
        <v>60</v>
      </c>
      <c r="J111" s="6" t="s">
        <v>32</v>
      </c>
      <c r="K111" s="6" t="s">
        <v>33</v>
      </c>
      <c r="L111" s="6" t="s">
        <v>175</v>
      </c>
      <c r="M111" s="6">
        <v>15</v>
      </c>
      <c r="N111" s="6">
        <v>8500</v>
      </c>
      <c r="O111" s="6">
        <v>0</v>
      </c>
      <c r="P111" s="6">
        <v>127500</v>
      </c>
      <c r="Q111" s="6">
        <v>3</v>
      </c>
      <c r="R111" s="6" t="s">
        <v>35</v>
      </c>
      <c r="S111" s="6" t="s">
        <v>116</v>
      </c>
      <c r="T111" s="6" t="s">
        <v>229</v>
      </c>
      <c r="U111" s="7" t="s">
        <v>648</v>
      </c>
      <c r="V111" s="6" t="s">
        <v>65</v>
      </c>
      <c r="W111" t="str">
        <f t="shared" si="1"/>
        <v>Blacklisted</v>
      </c>
    </row>
    <row r="112" spans="1:23" ht="14.25" customHeight="1">
      <c r="A112" s="3" t="s">
        <v>649</v>
      </c>
      <c r="B112" s="3" t="s">
        <v>128</v>
      </c>
      <c r="C112" s="3" t="s">
        <v>73</v>
      </c>
      <c r="D112" s="3" t="s">
        <v>102</v>
      </c>
      <c r="E112" s="3" t="s">
        <v>103</v>
      </c>
      <c r="F112" s="3" t="s">
        <v>201</v>
      </c>
      <c r="G112" s="3" t="s">
        <v>77</v>
      </c>
      <c r="H112" s="3" t="s">
        <v>650</v>
      </c>
      <c r="I112" s="3" t="s">
        <v>31</v>
      </c>
      <c r="J112" s="3" t="s">
        <v>32</v>
      </c>
      <c r="K112" s="3" t="s">
        <v>47</v>
      </c>
      <c r="L112" s="3" t="s">
        <v>79</v>
      </c>
      <c r="M112" s="3">
        <v>1</v>
      </c>
      <c r="N112" s="3">
        <v>1200</v>
      </c>
      <c r="O112" s="3">
        <v>20</v>
      </c>
      <c r="P112" s="3">
        <v>960</v>
      </c>
      <c r="Q112" s="3">
        <v>1</v>
      </c>
      <c r="R112" s="3" t="s">
        <v>89</v>
      </c>
      <c r="S112" s="3" t="s">
        <v>116</v>
      </c>
      <c r="T112" s="3" t="s">
        <v>133</v>
      </c>
      <c r="U112" s="5" t="s">
        <v>651</v>
      </c>
      <c r="V112" s="3" t="s">
        <v>65</v>
      </c>
      <c r="W112" t="str">
        <f t="shared" si="1"/>
        <v>Blacklisted</v>
      </c>
    </row>
    <row r="113" spans="1:23" ht="14.25" customHeight="1">
      <c r="A113" s="6" t="s">
        <v>652</v>
      </c>
      <c r="B113" s="6" t="s">
        <v>128</v>
      </c>
      <c r="C113" s="6" t="s">
        <v>170</v>
      </c>
      <c r="D113" s="6" t="s">
        <v>653</v>
      </c>
      <c r="E113" s="6" t="s">
        <v>540</v>
      </c>
      <c r="F113" s="6" t="s">
        <v>201</v>
      </c>
      <c r="G113" s="6" t="s">
        <v>77</v>
      </c>
      <c r="H113" s="6" t="s">
        <v>654</v>
      </c>
      <c r="I113" s="6" t="s">
        <v>295</v>
      </c>
      <c r="J113" s="6" t="s">
        <v>296</v>
      </c>
      <c r="K113" s="6" t="s">
        <v>33</v>
      </c>
      <c r="L113" s="6" t="s">
        <v>175</v>
      </c>
      <c r="M113" s="6">
        <v>5</v>
      </c>
      <c r="N113" s="6">
        <v>8500</v>
      </c>
      <c r="O113" s="6">
        <v>10</v>
      </c>
      <c r="P113" s="6">
        <v>38250</v>
      </c>
      <c r="Q113" s="6">
        <v>1</v>
      </c>
      <c r="R113" s="6" t="s">
        <v>80</v>
      </c>
      <c r="S113" s="6" t="s">
        <v>62</v>
      </c>
      <c r="T113" s="6" t="s">
        <v>133</v>
      </c>
      <c r="U113" s="7" t="s">
        <v>655</v>
      </c>
      <c r="V113" s="6" t="s">
        <v>39</v>
      </c>
      <c r="W113" t="str">
        <f t="shared" si="1"/>
        <v>Blacklisted</v>
      </c>
    </row>
    <row r="114" spans="1:23" ht="14.25" customHeight="1">
      <c r="A114" s="3" t="s">
        <v>656</v>
      </c>
      <c r="B114" s="3" t="s">
        <v>54</v>
      </c>
      <c r="C114" s="3" t="s">
        <v>260</v>
      </c>
      <c r="D114" s="3" t="s">
        <v>657</v>
      </c>
      <c r="E114" s="3" t="s">
        <v>658</v>
      </c>
      <c r="F114" s="3" t="s">
        <v>164</v>
      </c>
      <c r="G114" s="3" t="s">
        <v>29</v>
      </c>
      <c r="H114" s="3" t="s">
        <v>659</v>
      </c>
      <c r="I114" s="3" t="s">
        <v>31</v>
      </c>
      <c r="J114" s="3" t="s">
        <v>32</v>
      </c>
      <c r="K114" s="3" t="s">
        <v>123</v>
      </c>
      <c r="L114" s="3" t="s">
        <v>264</v>
      </c>
      <c r="M114" s="3">
        <v>12</v>
      </c>
      <c r="N114" s="3">
        <v>45</v>
      </c>
      <c r="O114" s="3">
        <v>5</v>
      </c>
      <c r="P114" s="3">
        <v>513</v>
      </c>
      <c r="Q114" s="3">
        <v>2</v>
      </c>
      <c r="R114" s="3" t="s">
        <v>49</v>
      </c>
      <c r="S114" s="3" t="s">
        <v>36</v>
      </c>
      <c r="T114" s="3" t="s">
        <v>63</v>
      </c>
      <c r="U114" s="5" t="s">
        <v>660</v>
      </c>
      <c r="V114" s="3" t="s">
        <v>70</v>
      </c>
      <c r="W114" t="str">
        <f t="shared" si="1"/>
        <v>Blacklisted</v>
      </c>
    </row>
    <row r="115" spans="1:23" ht="14.25" customHeight="1">
      <c r="A115" s="6" t="s">
        <v>661</v>
      </c>
      <c r="B115" s="6" t="s">
        <v>222</v>
      </c>
      <c r="C115" s="6" t="s">
        <v>119</v>
      </c>
      <c r="D115" s="6" t="s">
        <v>342</v>
      </c>
      <c r="E115" s="6" t="s">
        <v>662</v>
      </c>
      <c r="F115" s="6" t="s">
        <v>226</v>
      </c>
      <c r="G115" s="6" t="s">
        <v>77</v>
      </c>
      <c r="H115" s="6" t="s">
        <v>663</v>
      </c>
      <c r="I115" s="6" t="s">
        <v>115</v>
      </c>
      <c r="J115" s="6" t="s">
        <v>107</v>
      </c>
      <c r="K115" s="6" t="s">
        <v>123</v>
      </c>
      <c r="L115" s="6" t="s">
        <v>124</v>
      </c>
      <c r="M115" s="6">
        <v>5</v>
      </c>
      <c r="N115" s="6">
        <v>60</v>
      </c>
      <c r="O115" s="6">
        <v>5</v>
      </c>
      <c r="P115" s="6">
        <v>285</v>
      </c>
      <c r="Q115" s="6">
        <v>2</v>
      </c>
      <c r="R115" s="6" t="s">
        <v>35</v>
      </c>
      <c r="S115" s="6" t="s">
        <v>62</v>
      </c>
      <c r="T115" s="6" t="s">
        <v>229</v>
      </c>
      <c r="U115" s="7" t="s">
        <v>664</v>
      </c>
      <c r="V115" s="6" t="s">
        <v>39</v>
      </c>
      <c r="W115" t="str">
        <f t="shared" si="1"/>
        <v>Blacklisted</v>
      </c>
    </row>
    <row r="116" spans="1:23" ht="14.25" customHeight="1">
      <c r="A116" s="3" t="s">
        <v>665</v>
      </c>
      <c r="B116" s="3" t="s">
        <v>54</v>
      </c>
      <c r="C116" s="3" t="s">
        <v>185</v>
      </c>
      <c r="D116" s="3" t="s">
        <v>666</v>
      </c>
      <c r="E116" s="3" t="s">
        <v>667</v>
      </c>
      <c r="F116" s="3" t="s">
        <v>164</v>
      </c>
      <c r="G116" s="3" t="s">
        <v>29</v>
      </c>
      <c r="H116" s="3" t="s">
        <v>668</v>
      </c>
      <c r="I116" s="3" t="s">
        <v>295</v>
      </c>
      <c r="J116" s="3" t="s">
        <v>296</v>
      </c>
      <c r="K116" s="3" t="s">
        <v>47</v>
      </c>
      <c r="L116" s="3" t="s">
        <v>190</v>
      </c>
      <c r="M116" s="3">
        <v>3</v>
      </c>
      <c r="N116" s="3">
        <v>700</v>
      </c>
      <c r="O116" s="3">
        <v>0</v>
      </c>
      <c r="P116" s="3">
        <v>2100</v>
      </c>
      <c r="Q116" s="3">
        <v>4</v>
      </c>
      <c r="R116" s="3" t="s">
        <v>80</v>
      </c>
      <c r="S116" s="3" t="s">
        <v>62</v>
      </c>
      <c r="T116" s="3" t="s">
        <v>63</v>
      </c>
      <c r="U116" s="5" t="s">
        <v>669</v>
      </c>
      <c r="V116" s="3" t="s">
        <v>39</v>
      </c>
      <c r="W116" t="str">
        <f t="shared" si="1"/>
        <v>Silver</v>
      </c>
    </row>
    <row r="117" spans="1:23" ht="14.25" customHeight="1">
      <c r="A117" s="6" t="s">
        <v>670</v>
      </c>
      <c r="B117" s="6" t="s">
        <v>169</v>
      </c>
      <c r="C117" s="6" t="s">
        <v>223</v>
      </c>
      <c r="D117" s="6" t="s">
        <v>336</v>
      </c>
      <c r="E117" s="6" t="s">
        <v>607</v>
      </c>
      <c r="F117" s="6" t="s">
        <v>362</v>
      </c>
      <c r="G117" s="6" t="s">
        <v>29</v>
      </c>
      <c r="H117" s="6" t="s">
        <v>671</v>
      </c>
      <c r="I117" s="6" t="s">
        <v>45</v>
      </c>
      <c r="J117" s="6" t="s">
        <v>46</v>
      </c>
      <c r="K117" s="6" t="s">
        <v>123</v>
      </c>
      <c r="L117" s="6" t="s">
        <v>228</v>
      </c>
      <c r="M117" s="6">
        <v>6</v>
      </c>
      <c r="N117" s="6">
        <v>20</v>
      </c>
      <c r="O117" s="6">
        <v>15</v>
      </c>
      <c r="P117" s="6">
        <v>102</v>
      </c>
      <c r="Q117" s="6">
        <v>5</v>
      </c>
      <c r="R117" s="6" t="s">
        <v>80</v>
      </c>
      <c r="S117" s="6" t="s">
        <v>152</v>
      </c>
      <c r="T117" s="6" t="s">
        <v>176</v>
      </c>
      <c r="U117" s="7" t="s">
        <v>672</v>
      </c>
      <c r="V117" s="6" t="s">
        <v>39</v>
      </c>
      <c r="W117" t="str">
        <f t="shared" si="1"/>
        <v>Silver</v>
      </c>
    </row>
    <row r="118" spans="1:23" ht="14.25" customHeight="1">
      <c r="A118" s="3" t="s">
        <v>673</v>
      </c>
      <c r="B118" s="3" t="s">
        <v>101</v>
      </c>
      <c r="C118" s="3" t="s">
        <v>185</v>
      </c>
      <c r="D118" s="3" t="s">
        <v>674</v>
      </c>
      <c r="E118" s="3" t="s">
        <v>675</v>
      </c>
      <c r="F118" s="3" t="s">
        <v>104</v>
      </c>
      <c r="G118" s="3" t="s">
        <v>29</v>
      </c>
      <c r="H118" s="3" t="s">
        <v>676</v>
      </c>
      <c r="I118" s="3" t="s">
        <v>60</v>
      </c>
      <c r="J118" s="3" t="s">
        <v>32</v>
      </c>
      <c r="K118" s="3" t="s">
        <v>47</v>
      </c>
      <c r="L118" s="3" t="s">
        <v>190</v>
      </c>
      <c r="M118" s="3">
        <v>2</v>
      </c>
      <c r="N118" s="3">
        <v>700</v>
      </c>
      <c r="O118" s="3">
        <v>15</v>
      </c>
      <c r="P118" s="3">
        <v>1190</v>
      </c>
      <c r="Q118" s="3">
        <v>4</v>
      </c>
      <c r="R118" s="3" t="s">
        <v>35</v>
      </c>
      <c r="S118" s="3" t="s">
        <v>152</v>
      </c>
      <c r="T118" s="3" t="s">
        <v>145</v>
      </c>
      <c r="U118" s="5" t="s">
        <v>677</v>
      </c>
      <c r="V118" s="3" t="s">
        <v>65</v>
      </c>
      <c r="W118" t="str">
        <f t="shared" si="1"/>
        <v>Blacklisted</v>
      </c>
    </row>
    <row r="119" spans="1:23" ht="14.25" customHeight="1">
      <c r="A119" s="6" t="s">
        <v>678</v>
      </c>
      <c r="B119" s="6" t="s">
        <v>328</v>
      </c>
      <c r="C119" s="6" t="s">
        <v>260</v>
      </c>
      <c r="D119" s="6" t="s">
        <v>679</v>
      </c>
      <c r="E119" s="6" t="s">
        <v>680</v>
      </c>
      <c r="F119" s="6" t="s">
        <v>395</v>
      </c>
      <c r="G119" s="6" t="s">
        <v>77</v>
      </c>
      <c r="H119" s="6" t="s">
        <v>681</v>
      </c>
      <c r="I119" s="6" t="s">
        <v>115</v>
      </c>
      <c r="J119" s="6" t="s">
        <v>107</v>
      </c>
      <c r="K119" s="6" t="s">
        <v>123</v>
      </c>
      <c r="L119" s="6" t="s">
        <v>264</v>
      </c>
      <c r="M119" s="6">
        <v>16</v>
      </c>
      <c r="N119" s="6">
        <v>45</v>
      </c>
      <c r="O119" s="6">
        <v>0</v>
      </c>
      <c r="P119" s="6">
        <v>720</v>
      </c>
      <c r="Q119" s="6">
        <v>1</v>
      </c>
      <c r="R119" s="6" t="s">
        <v>49</v>
      </c>
      <c r="S119" s="6" t="s">
        <v>62</v>
      </c>
      <c r="T119" s="6" t="s">
        <v>333</v>
      </c>
      <c r="U119" s="7" t="s">
        <v>682</v>
      </c>
      <c r="V119" s="6" t="s">
        <v>39</v>
      </c>
      <c r="W119" t="str">
        <f t="shared" si="1"/>
        <v>Blacklisted</v>
      </c>
    </row>
    <row r="120" spans="1:23" ht="14.25" customHeight="1">
      <c r="A120" s="3" t="s">
        <v>683</v>
      </c>
      <c r="B120" s="3" t="s">
        <v>72</v>
      </c>
      <c r="C120" s="3" t="s">
        <v>73</v>
      </c>
      <c r="D120" s="3" t="s">
        <v>684</v>
      </c>
      <c r="E120" s="3" t="s">
        <v>685</v>
      </c>
      <c r="F120" s="3" t="s">
        <v>218</v>
      </c>
      <c r="G120" s="3" t="s">
        <v>77</v>
      </c>
      <c r="H120" s="3" t="s">
        <v>686</v>
      </c>
      <c r="I120" s="3" t="s">
        <v>139</v>
      </c>
      <c r="J120" s="3" t="s">
        <v>107</v>
      </c>
      <c r="K120" s="3" t="s">
        <v>47</v>
      </c>
      <c r="L120" s="3" t="s">
        <v>79</v>
      </c>
      <c r="M120" s="3" t="s">
        <v>687</v>
      </c>
      <c r="N120" s="3">
        <v>1200</v>
      </c>
      <c r="O120" s="3">
        <v>15</v>
      </c>
      <c r="P120" s="3">
        <v>7140</v>
      </c>
      <c r="Q120" s="3">
        <v>4</v>
      </c>
      <c r="R120" s="3" t="s">
        <v>89</v>
      </c>
      <c r="S120" s="3" t="s">
        <v>152</v>
      </c>
      <c r="T120" s="3" t="s">
        <v>81</v>
      </c>
      <c r="U120" s="5" t="s">
        <v>688</v>
      </c>
      <c r="V120" s="3" t="s">
        <v>65</v>
      </c>
      <c r="W120" t="str">
        <f t="shared" si="1"/>
        <v>Blacklisted</v>
      </c>
    </row>
    <row r="121" spans="1:23" ht="14.25" customHeight="1">
      <c r="A121" s="6" t="s">
        <v>689</v>
      </c>
      <c r="B121" s="6" t="s">
        <v>101</v>
      </c>
      <c r="C121" s="6" t="s">
        <v>41</v>
      </c>
      <c r="D121" s="6" t="s">
        <v>377</v>
      </c>
      <c r="E121" s="6" t="s">
        <v>470</v>
      </c>
      <c r="F121" s="6" t="s">
        <v>104</v>
      </c>
      <c r="G121" s="6" t="s">
        <v>29</v>
      </c>
      <c r="H121" s="6" t="s">
        <v>690</v>
      </c>
      <c r="I121" s="6" t="s">
        <v>213</v>
      </c>
      <c r="J121" s="6" t="s">
        <v>46</v>
      </c>
      <c r="K121" s="6" t="s">
        <v>47</v>
      </c>
      <c r="L121" s="6" t="s">
        <v>48</v>
      </c>
      <c r="M121" s="6">
        <v>14</v>
      </c>
      <c r="N121" s="6">
        <v>12000</v>
      </c>
      <c r="O121" s="6">
        <v>15</v>
      </c>
      <c r="P121" s="6">
        <v>142800</v>
      </c>
      <c r="Q121" s="6">
        <v>2</v>
      </c>
      <c r="R121" s="6" t="s">
        <v>49</v>
      </c>
      <c r="S121" s="6" t="s">
        <v>62</v>
      </c>
      <c r="T121" s="6" t="s">
        <v>145</v>
      </c>
      <c r="U121" s="7" t="s">
        <v>691</v>
      </c>
      <c r="V121" s="6" t="s">
        <v>65</v>
      </c>
      <c r="W121" t="str">
        <f t="shared" si="1"/>
        <v>Blacklisted</v>
      </c>
    </row>
    <row r="122" spans="1:23" ht="14.25" customHeight="1">
      <c r="A122" s="3" t="s">
        <v>692</v>
      </c>
      <c r="B122" s="3" t="s">
        <v>128</v>
      </c>
      <c r="C122" s="3" t="s">
        <v>170</v>
      </c>
      <c r="D122" s="3" t="s">
        <v>455</v>
      </c>
      <c r="E122" s="3" t="s">
        <v>693</v>
      </c>
      <c r="F122" s="3" t="s">
        <v>201</v>
      </c>
      <c r="G122" s="3" t="s">
        <v>77</v>
      </c>
      <c r="H122" s="3" t="s">
        <v>694</v>
      </c>
      <c r="I122" s="3" t="s">
        <v>115</v>
      </c>
      <c r="J122" s="3" t="s">
        <v>107</v>
      </c>
      <c r="K122" s="3" t="s">
        <v>33</v>
      </c>
      <c r="L122" s="3" t="s">
        <v>175</v>
      </c>
      <c r="M122" s="3">
        <v>8</v>
      </c>
      <c r="N122" s="3">
        <v>8500</v>
      </c>
      <c r="O122" s="3">
        <v>20</v>
      </c>
      <c r="P122" s="3">
        <v>54400</v>
      </c>
      <c r="Q122" s="3">
        <v>3</v>
      </c>
      <c r="R122" s="3" t="s">
        <v>80</v>
      </c>
      <c r="S122" s="3" t="s">
        <v>50</v>
      </c>
      <c r="T122" s="3" t="s">
        <v>133</v>
      </c>
      <c r="U122" s="5" t="s">
        <v>695</v>
      </c>
      <c r="V122" s="3" t="s">
        <v>39</v>
      </c>
      <c r="W122" t="str">
        <f t="shared" si="1"/>
        <v>Gold</v>
      </c>
    </row>
    <row r="123" spans="1:23" ht="14.25" customHeight="1">
      <c r="A123" s="6" t="s">
        <v>696</v>
      </c>
      <c r="B123" s="6" t="s">
        <v>84</v>
      </c>
      <c r="C123" s="6" t="s">
        <v>260</v>
      </c>
      <c r="D123" s="6" t="s">
        <v>111</v>
      </c>
      <c r="E123" s="6" t="s">
        <v>314</v>
      </c>
      <c r="F123" s="6" t="s">
        <v>181</v>
      </c>
      <c r="G123" s="6" t="s">
        <v>77</v>
      </c>
      <c r="H123" s="6" t="s">
        <v>697</v>
      </c>
      <c r="I123" s="6" t="s">
        <v>60</v>
      </c>
      <c r="J123" s="6" t="s">
        <v>32</v>
      </c>
      <c r="K123" s="6" t="s">
        <v>123</v>
      </c>
      <c r="L123" s="6" t="s">
        <v>264</v>
      </c>
      <c r="M123" s="6">
        <v>3</v>
      </c>
      <c r="N123" s="6">
        <v>45</v>
      </c>
      <c r="O123" s="6">
        <v>0</v>
      </c>
      <c r="P123" s="6">
        <v>135</v>
      </c>
      <c r="Q123" s="6">
        <v>4</v>
      </c>
      <c r="R123" s="6" t="s">
        <v>89</v>
      </c>
      <c r="S123" s="6" t="s">
        <v>62</v>
      </c>
      <c r="T123" s="6" t="s">
        <v>90</v>
      </c>
      <c r="U123" s="7" t="s">
        <v>698</v>
      </c>
      <c r="V123" s="6" t="s">
        <v>70</v>
      </c>
      <c r="W123" t="str">
        <f t="shared" si="1"/>
        <v>Blacklisted</v>
      </c>
    </row>
    <row r="124" spans="1:23" ht="14.25" customHeight="1">
      <c r="A124" s="3" t="s">
        <v>699</v>
      </c>
      <c r="B124" s="3" t="s">
        <v>328</v>
      </c>
      <c r="C124" s="3" t="s">
        <v>185</v>
      </c>
      <c r="D124" s="3" t="s">
        <v>465</v>
      </c>
      <c r="E124" s="3" t="s">
        <v>85</v>
      </c>
      <c r="F124" s="3" t="s">
        <v>395</v>
      </c>
      <c r="G124" s="3" t="s">
        <v>77</v>
      </c>
      <c r="H124" s="3" t="s">
        <v>700</v>
      </c>
      <c r="I124" s="3" t="s">
        <v>213</v>
      </c>
      <c r="J124" s="3" t="s">
        <v>46</v>
      </c>
      <c r="K124" s="3" t="s">
        <v>47</v>
      </c>
      <c r="L124" s="3" t="s">
        <v>190</v>
      </c>
      <c r="M124" s="3">
        <v>13</v>
      </c>
      <c r="N124" s="3">
        <v>700</v>
      </c>
      <c r="O124" s="3">
        <v>5</v>
      </c>
      <c r="P124" s="3">
        <v>8645</v>
      </c>
      <c r="Q124" s="3">
        <v>3</v>
      </c>
      <c r="R124" s="3" t="s">
        <v>80</v>
      </c>
      <c r="S124" s="3" t="s">
        <v>116</v>
      </c>
      <c r="T124" s="3" t="s">
        <v>333</v>
      </c>
      <c r="U124" s="5" t="s">
        <v>701</v>
      </c>
      <c r="V124" s="3" t="s">
        <v>65</v>
      </c>
      <c r="W124" t="str">
        <f t="shared" si="1"/>
        <v>Blacklisted</v>
      </c>
    </row>
    <row r="125" spans="1:23" ht="14.25" customHeight="1">
      <c r="A125" s="6" t="s">
        <v>702</v>
      </c>
      <c r="B125" s="6" t="s">
        <v>169</v>
      </c>
      <c r="C125" s="6" t="s">
        <v>73</v>
      </c>
      <c r="D125" s="6" t="s">
        <v>703</v>
      </c>
      <c r="E125" s="6" t="s">
        <v>704</v>
      </c>
      <c r="F125" s="6" t="s">
        <v>362</v>
      </c>
      <c r="G125" s="6" t="s">
        <v>29</v>
      </c>
      <c r="H125" s="6" t="s">
        <v>705</v>
      </c>
      <c r="I125" s="6" t="s">
        <v>106</v>
      </c>
      <c r="J125" s="6" t="s">
        <v>107</v>
      </c>
      <c r="K125" s="6" t="s">
        <v>47</v>
      </c>
      <c r="L125" s="6" t="s">
        <v>79</v>
      </c>
      <c r="M125" s="6">
        <v>14</v>
      </c>
      <c r="N125" s="6">
        <v>1200</v>
      </c>
      <c r="O125" s="6">
        <v>20</v>
      </c>
      <c r="P125" s="6">
        <v>13440</v>
      </c>
      <c r="Q125" s="6">
        <v>5</v>
      </c>
      <c r="R125" s="6" t="s">
        <v>49</v>
      </c>
      <c r="S125" s="6" t="s">
        <v>62</v>
      </c>
      <c r="T125" s="6" t="s">
        <v>176</v>
      </c>
      <c r="U125" s="7" t="s">
        <v>706</v>
      </c>
      <c r="V125" s="6" t="s">
        <v>39</v>
      </c>
      <c r="W125" t="str">
        <f t="shared" si="1"/>
        <v>Silver</v>
      </c>
    </row>
    <row r="126" spans="1:23" ht="14.25" customHeight="1">
      <c r="A126" s="3" t="s">
        <v>707</v>
      </c>
      <c r="B126" s="3" t="s">
        <v>101</v>
      </c>
      <c r="C126" s="3" t="s">
        <v>260</v>
      </c>
      <c r="D126" s="3" t="s">
        <v>598</v>
      </c>
      <c r="E126" s="3" t="s">
        <v>708</v>
      </c>
      <c r="F126" s="3" t="s">
        <v>104</v>
      </c>
      <c r="G126" s="3" t="s">
        <v>29</v>
      </c>
      <c r="H126" s="3" t="s">
        <v>709</v>
      </c>
      <c r="I126" s="3" t="s">
        <v>45</v>
      </c>
      <c r="J126" s="3" t="s">
        <v>46</v>
      </c>
      <c r="K126" s="3" t="s">
        <v>123</v>
      </c>
      <c r="L126" s="3" t="s">
        <v>264</v>
      </c>
      <c r="M126" s="3">
        <v>2</v>
      </c>
      <c r="N126" s="3">
        <v>45</v>
      </c>
      <c r="O126" s="3">
        <v>5</v>
      </c>
      <c r="P126" s="3">
        <v>85.5</v>
      </c>
      <c r="Q126" s="3">
        <v>3</v>
      </c>
      <c r="R126" s="3" t="s">
        <v>89</v>
      </c>
      <c r="S126" s="3" t="s">
        <v>36</v>
      </c>
      <c r="T126" s="3" t="s">
        <v>145</v>
      </c>
      <c r="U126" s="5" t="s">
        <v>710</v>
      </c>
      <c r="V126" s="3" t="s">
        <v>70</v>
      </c>
      <c r="W126" t="str">
        <f t="shared" si="1"/>
        <v>Blacklisted</v>
      </c>
    </row>
    <row r="127" spans="1:23" ht="14.25" customHeight="1">
      <c r="A127" s="6" t="s">
        <v>711</v>
      </c>
      <c r="B127" s="6" t="s">
        <v>169</v>
      </c>
      <c r="C127" s="6" t="s">
        <v>73</v>
      </c>
      <c r="D127" s="6" t="s">
        <v>712</v>
      </c>
      <c r="E127" s="6" t="s">
        <v>713</v>
      </c>
      <c r="F127" s="6" t="s">
        <v>362</v>
      </c>
      <c r="G127" s="6" t="s">
        <v>29</v>
      </c>
      <c r="H127" s="6" t="s">
        <v>714</v>
      </c>
      <c r="I127" s="6" t="s">
        <v>60</v>
      </c>
      <c r="J127" s="6" t="s">
        <v>32</v>
      </c>
      <c r="K127" s="6" t="s">
        <v>47</v>
      </c>
      <c r="L127" s="6" t="s">
        <v>79</v>
      </c>
      <c r="M127" s="6">
        <v>2</v>
      </c>
      <c r="N127" s="6">
        <v>1200</v>
      </c>
      <c r="O127" s="6">
        <v>20</v>
      </c>
      <c r="P127" s="6">
        <v>1920</v>
      </c>
      <c r="Q127" s="6">
        <v>3</v>
      </c>
      <c r="R127" s="6" t="s">
        <v>80</v>
      </c>
      <c r="S127" s="6" t="s">
        <v>116</v>
      </c>
      <c r="T127" s="6" t="s">
        <v>176</v>
      </c>
      <c r="U127" s="7" t="s">
        <v>715</v>
      </c>
      <c r="V127" s="6" t="s">
        <v>39</v>
      </c>
      <c r="W127" t="str">
        <f t="shared" si="1"/>
        <v>Silver</v>
      </c>
    </row>
    <row r="128" spans="1:23" ht="14.25" customHeight="1">
      <c r="A128" s="3" t="s">
        <v>716</v>
      </c>
      <c r="B128" s="3" t="s">
        <v>128</v>
      </c>
      <c r="C128" s="3" t="s">
        <v>55</v>
      </c>
      <c r="D128" s="3" t="s">
        <v>225</v>
      </c>
      <c r="E128" s="3" t="s">
        <v>717</v>
      </c>
      <c r="F128" s="3" t="s">
        <v>201</v>
      </c>
      <c r="G128" s="3" t="s">
        <v>77</v>
      </c>
      <c r="H128" s="3" t="s">
        <v>718</v>
      </c>
      <c r="I128" s="3" t="s">
        <v>60</v>
      </c>
      <c r="J128" s="3" t="s">
        <v>32</v>
      </c>
      <c r="K128" s="3" t="s">
        <v>47</v>
      </c>
      <c r="L128" s="3" t="s">
        <v>61</v>
      </c>
      <c r="M128" s="3">
        <v>10</v>
      </c>
      <c r="N128" s="3">
        <v>55000</v>
      </c>
      <c r="O128" s="3">
        <v>5</v>
      </c>
      <c r="P128" s="3">
        <v>522500</v>
      </c>
      <c r="Q128" s="3">
        <v>5</v>
      </c>
      <c r="R128" s="3" t="s">
        <v>89</v>
      </c>
      <c r="S128" s="3" t="s">
        <v>62</v>
      </c>
      <c r="T128" s="3" t="s">
        <v>133</v>
      </c>
      <c r="U128" s="5" t="s">
        <v>719</v>
      </c>
      <c r="V128" s="3" t="s">
        <v>65</v>
      </c>
      <c r="W128" t="str">
        <f t="shared" si="1"/>
        <v>Blacklisted</v>
      </c>
    </row>
    <row r="129" spans="1:23" ht="14.25" customHeight="1">
      <c r="A129" s="6" t="s">
        <v>720</v>
      </c>
      <c r="B129" s="6" t="s">
        <v>252</v>
      </c>
      <c r="C129" s="6" t="s">
        <v>93</v>
      </c>
      <c r="D129" s="6" t="s">
        <v>721</v>
      </c>
      <c r="E129" s="6" t="s">
        <v>383</v>
      </c>
      <c r="F129" s="6" t="s">
        <v>255</v>
      </c>
      <c r="G129" s="6" t="s">
        <v>29</v>
      </c>
      <c r="H129" s="6" t="s">
        <v>722</v>
      </c>
      <c r="I129" s="6" t="s">
        <v>213</v>
      </c>
      <c r="J129" s="6" t="s">
        <v>46</v>
      </c>
      <c r="K129" s="6" t="s">
        <v>33</v>
      </c>
      <c r="L129" s="6" t="s">
        <v>98</v>
      </c>
      <c r="M129" s="6">
        <v>15</v>
      </c>
      <c r="N129" s="6">
        <v>3500</v>
      </c>
      <c r="O129" s="6">
        <v>10</v>
      </c>
      <c r="P129" s="6">
        <v>47250</v>
      </c>
      <c r="Q129" s="6">
        <v>3</v>
      </c>
      <c r="R129" s="6" t="s">
        <v>49</v>
      </c>
      <c r="S129" s="6" t="s">
        <v>116</v>
      </c>
      <c r="T129" s="6" t="s">
        <v>257</v>
      </c>
      <c r="U129" s="7" t="s">
        <v>723</v>
      </c>
      <c r="V129" s="6" t="s">
        <v>39</v>
      </c>
      <c r="W129" t="str">
        <f t="shared" si="1"/>
        <v>Silver</v>
      </c>
    </row>
    <row r="130" spans="1:23" ht="14.25" customHeight="1">
      <c r="A130" s="3" t="s">
        <v>724</v>
      </c>
      <c r="B130" s="3" t="s">
        <v>101</v>
      </c>
      <c r="C130" s="3" t="s">
        <v>25</v>
      </c>
      <c r="D130" s="3" t="s">
        <v>563</v>
      </c>
      <c r="E130" s="3" t="s">
        <v>725</v>
      </c>
      <c r="F130" s="3" t="s">
        <v>104</v>
      </c>
      <c r="G130" s="3" t="s">
        <v>29</v>
      </c>
      <c r="H130" s="3" t="s">
        <v>726</v>
      </c>
      <c r="I130" s="3" t="s">
        <v>60</v>
      </c>
      <c r="J130" s="3" t="s">
        <v>32</v>
      </c>
      <c r="K130" s="3" t="s">
        <v>33</v>
      </c>
      <c r="L130" s="3" t="s">
        <v>34</v>
      </c>
      <c r="M130" s="3">
        <v>10</v>
      </c>
      <c r="N130" s="3">
        <v>2200</v>
      </c>
      <c r="O130" s="3">
        <v>15</v>
      </c>
      <c r="P130" s="3">
        <v>18700</v>
      </c>
      <c r="Q130" s="3">
        <v>4</v>
      </c>
      <c r="R130" s="3" t="s">
        <v>80</v>
      </c>
      <c r="S130" s="3" t="s">
        <v>50</v>
      </c>
      <c r="T130" s="3" t="s">
        <v>145</v>
      </c>
      <c r="U130" s="5" t="s">
        <v>727</v>
      </c>
      <c r="V130" s="3" t="s">
        <v>65</v>
      </c>
      <c r="W130" t="str">
        <f t="shared" ref="W130:W193" si="2">IF(OR(Q130&lt;=2,V130="Cancelled"),"Blacklisted",IF(AND(P130&gt;=100000,Q130&gt;=4,O130&lt;=10%,V130="Completed"),"Platinum",IF(AND(P130&gt;=50000,P130&lt;100000,Q130&gt;=3,V130="Completed"),"Gold",IF(AND(P130&lt;50000,V130="Completed"),"Silver","Blacklisted"))))</f>
        <v>Blacklisted</v>
      </c>
    </row>
    <row r="131" spans="1:23" ht="14.25" customHeight="1">
      <c r="A131" s="6" t="s">
        <v>728</v>
      </c>
      <c r="B131" s="6" t="s">
        <v>252</v>
      </c>
      <c r="C131" s="6" t="s">
        <v>93</v>
      </c>
      <c r="D131" s="6" t="s">
        <v>261</v>
      </c>
      <c r="E131" s="6" t="s">
        <v>232</v>
      </c>
      <c r="F131" s="6" t="s">
        <v>255</v>
      </c>
      <c r="G131" s="6" t="s">
        <v>29</v>
      </c>
      <c r="H131" s="6" t="s">
        <v>729</v>
      </c>
      <c r="I131" s="6" t="s">
        <v>115</v>
      </c>
      <c r="J131" s="6" t="s">
        <v>107</v>
      </c>
      <c r="K131" s="6" t="s">
        <v>33</v>
      </c>
      <c r="L131" s="6" t="s">
        <v>98</v>
      </c>
      <c r="M131" s="6">
        <v>11</v>
      </c>
      <c r="N131" s="6">
        <v>3500</v>
      </c>
      <c r="O131" s="6">
        <v>5</v>
      </c>
      <c r="P131" s="6">
        <v>36575</v>
      </c>
      <c r="Q131" s="6">
        <v>5</v>
      </c>
      <c r="R131" s="6" t="s">
        <v>35</v>
      </c>
      <c r="S131" s="6" t="s">
        <v>36</v>
      </c>
      <c r="T131" s="6" t="s">
        <v>257</v>
      </c>
      <c r="U131" s="7" t="s">
        <v>730</v>
      </c>
      <c r="V131" s="6" t="s">
        <v>70</v>
      </c>
      <c r="W131" t="str">
        <f t="shared" si="2"/>
        <v>Blacklisted</v>
      </c>
    </row>
    <row r="132" spans="1:23" ht="14.25" customHeight="1">
      <c r="A132" s="3" t="s">
        <v>731</v>
      </c>
      <c r="B132" s="3" t="s">
        <v>169</v>
      </c>
      <c r="C132" s="3" t="s">
        <v>73</v>
      </c>
      <c r="D132" s="3" t="s">
        <v>732</v>
      </c>
      <c r="E132" s="3" t="s">
        <v>733</v>
      </c>
      <c r="F132" s="3" t="s">
        <v>362</v>
      </c>
      <c r="G132" s="3" t="s">
        <v>29</v>
      </c>
      <c r="H132" s="3" t="s">
        <v>734</v>
      </c>
      <c r="I132" s="3" t="s">
        <v>60</v>
      </c>
      <c r="J132" s="3" t="s">
        <v>32</v>
      </c>
      <c r="K132" s="3" t="s">
        <v>47</v>
      </c>
      <c r="L132" s="3" t="s">
        <v>79</v>
      </c>
      <c r="M132" s="3">
        <v>14</v>
      </c>
      <c r="N132" s="3">
        <v>1200</v>
      </c>
      <c r="O132" s="3">
        <v>0</v>
      </c>
      <c r="P132" s="3">
        <v>16800</v>
      </c>
      <c r="Q132" s="3">
        <v>5</v>
      </c>
      <c r="R132" s="3" t="s">
        <v>35</v>
      </c>
      <c r="S132" s="3" t="s">
        <v>50</v>
      </c>
      <c r="T132" s="3" t="s">
        <v>176</v>
      </c>
      <c r="U132" s="5" t="s">
        <v>735</v>
      </c>
      <c r="V132" s="3" t="s">
        <v>70</v>
      </c>
      <c r="W132" t="str">
        <f t="shared" si="2"/>
        <v>Blacklisted</v>
      </c>
    </row>
    <row r="133" spans="1:23" ht="14.25" customHeight="1">
      <c r="A133" s="6" t="s">
        <v>736</v>
      </c>
      <c r="B133" s="6" t="s">
        <v>101</v>
      </c>
      <c r="C133" s="6" t="s">
        <v>223</v>
      </c>
      <c r="D133" s="6" t="s">
        <v>737</v>
      </c>
      <c r="E133" s="6" t="s">
        <v>171</v>
      </c>
      <c r="F133" s="6" t="s">
        <v>104</v>
      </c>
      <c r="G133" s="6" t="s">
        <v>29</v>
      </c>
      <c r="H133" s="6" t="s">
        <v>738</v>
      </c>
      <c r="I133" s="6" t="s">
        <v>45</v>
      </c>
      <c r="J133" s="6" t="s">
        <v>46</v>
      </c>
      <c r="K133" s="6" t="s">
        <v>123</v>
      </c>
      <c r="L133" s="6" t="s">
        <v>228</v>
      </c>
      <c r="M133" s="6">
        <v>11</v>
      </c>
      <c r="N133" s="6">
        <v>20</v>
      </c>
      <c r="O133" s="6">
        <v>20</v>
      </c>
      <c r="P133" s="6">
        <v>176</v>
      </c>
      <c r="Q133" s="6">
        <v>4</v>
      </c>
      <c r="R133" s="6" t="s">
        <v>49</v>
      </c>
      <c r="S133" s="6" t="s">
        <v>36</v>
      </c>
      <c r="T133" s="6" t="s">
        <v>145</v>
      </c>
      <c r="U133" s="7" t="s">
        <v>739</v>
      </c>
      <c r="V133" s="6" t="s">
        <v>39</v>
      </c>
      <c r="W133" t="str">
        <f t="shared" si="2"/>
        <v>Silver</v>
      </c>
    </row>
    <row r="134" spans="1:23" ht="14.25" customHeight="1">
      <c r="A134" s="3" t="s">
        <v>740</v>
      </c>
      <c r="B134" s="3" t="s">
        <v>72</v>
      </c>
      <c r="C134" s="3" t="s">
        <v>41</v>
      </c>
      <c r="D134" s="3" t="s">
        <v>741</v>
      </c>
      <c r="E134" s="3" t="s">
        <v>658</v>
      </c>
      <c r="F134" s="3" t="s">
        <v>218</v>
      </c>
      <c r="G134" s="3" t="s">
        <v>77</v>
      </c>
      <c r="H134" s="3" t="s">
        <v>742</v>
      </c>
      <c r="I134" s="3" t="s">
        <v>115</v>
      </c>
      <c r="J134" s="3" t="s">
        <v>107</v>
      </c>
      <c r="K134" s="3" t="s">
        <v>47</v>
      </c>
      <c r="L134" s="3" t="s">
        <v>48</v>
      </c>
      <c r="M134" s="3">
        <v>6</v>
      </c>
      <c r="N134" s="3">
        <v>12000</v>
      </c>
      <c r="O134" s="3">
        <v>10</v>
      </c>
      <c r="P134" s="3">
        <v>64800</v>
      </c>
      <c r="Q134" s="3">
        <v>5</v>
      </c>
      <c r="R134" s="3" t="s">
        <v>89</v>
      </c>
      <c r="S134" s="3" t="s">
        <v>152</v>
      </c>
      <c r="T134" s="3" t="s">
        <v>81</v>
      </c>
      <c r="U134" s="5" t="s">
        <v>743</v>
      </c>
      <c r="V134" s="3" t="s">
        <v>39</v>
      </c>
      <c r="W134" t="str">
        <f t="shared" si="2"/>
        <v>Gold</v>
      </c>
    </row>
    <row r="135" spans="1:23" ht="14.25" customHeight="1">
      <c r="A135" s="6" t="s">
        <v>744</v>
      </c>
      <c r="B135" s="6" t="s">
        <v>72</v>
      </c>
      <c r="C135" s="6" t="s">
        <v>25</v>
      </c>
      <c r="D135" s="6" t="s">
        <v>653</v>
      </c>
      <c r="E135" s="6" t="s">
        <v>540</v>
      </c>
      <c r="F135" s="6" t="s">
        <v>218</v>
      </c>
      <c r="G135" s="6" t="s">
        <v>77</v>
      </c>
      <c r="H135" s="6" t="s">
        <v>745</v>
      </c>
      <c r="I135" s="6" t="s">
        <v>31</v>
      </c>
      <c r="J135" s="6" t="s">
        <v>32</v>
      </c>
      <c r="K135" s="6" t="s">
        <v>33</v>
      </c>
      <c r="L135" s="6" t="s">
        <v>34</v>
      </c>
      <c r="M135" s="6">
        <v>6</v>
      </c>
      <c r="N135" s="6">
        <v>2200</v>
      </c>
      <c r="O135" s="6">
        <v>5</v>
      </c>
      <c r="P135" s="6">
        <v>12540</v>
      </c>
      <c r="Q135" s="6">
        <v>4</v>
      </c>
      <c r="R135" s="6" t="s">
        <v>35</v>
      </c>
      <c r="S135" s="6" t="s">
        <v>50</v>
      </c>
      <c r="T135" s="6" t="s">
        <v>81</v>
      </c>
      <c r="U135" s="7" t="s">
        <v>746</v>
      </c>
      <c r="V135" s="6" t="s">
        <v>39</v>
      </c>
      <c r="W135" t="str">
        <f t="shared" si="2"/>
        <v>Silver</v>
      </c>
    </row>
    <row r="136" spans="1:23" ht="14.25" customHeight="1">
      <c r="A136" s="3" t="s">
        <v>747</v>
      </c>
      <c r="B136" s="3" t="s">
        <v>54</v>
      </c>
      <c r="C136" s="3" t="s">
        <v>93</v>
      </c>
      <c r="D136" s="3" t="s">
        <v>409</v>
      </c>
      <c r="E136" s="3" t="s">
        <v>489</v>
      </c>
      <c r="F136" s="3" t="s">
        <v>164</v>
      </c>
      <c r="G136" s="3" t="s">
        <v>29</v>
      </c>
      <c r="H136" s="3" t="s">
        <v>748</v>
      </c>
      <c r="I136" s="3" t="s">
        <v>45</v>
      </c>
      <c r="J136" s="3" t="s">
        <v>46</v>
      </c>
      <c r="K136" s="3" t="s">
        <v>33</v>
      </c>
      <c r="L136" s="3" t="s">
        <v>98</v>
      </c>
      <c r="M136" s="3">
        <v>3</v>
      </c>
      <c r="N136" s="3">
        <v>3500</v>
      </c>
      <c r="O136" s="3">
        <v>5</v>
      </c>
      <c r="P136" s="3">
        <v>9975</v>
      </c>
      <c r="Q136" s="3">
        <v>4</v>
      </c>
      <c r="R136" s="3" t="s">
        <v>49</v>
      </c>
      <c r="S136" s="3" t="s">
        <v>50</v>
      </c>
      <c r="T136" s="3" t="s">
        <v>63</v>
      </c>
      <c r="U136" s="5" t="s">
        <v>749</v>
      </c>
      <c r="V136" s="3" t="s">
        <v>65</v>
      </c>
      <c r="W136" t="str">
        <f t="shared" si="2"/>
        <v>Blacklisted</v>
      </c>
    </row>
    <row r="137" spans="1:23" ht="14.25" customHeight="1">
      <c r="A137" s="6" t="s">
        <v>750</v>
      </c>
      <c r="B137" s="6" t="s">
        <v>72</v>
      </c>
      <c r="C137" s="6" t="s">
        <v>170</v>
      </c>
      <c r="D137" s="6" t="s">
        <v>751</v>
      </c>
      <c r="E137" s="6" t="s">
        <v>752</v>
      </c>
      <c r="F137" s="6" t="s">
        <v>218</v>
      </c>
      <c r="G137" s="6" t="s">
        <v>77</v>
      </c>
      <c r="H137" s="6" t="s">
        <v>753</v>
      </c>
      <c r="I137" s="6" t="s">
        <v>31</v>
      </c>
      <c r="J137" s="6" t="s">
        <v>32</v>
      </c>
      <c r="K137" s="6" t="s">
        <v>33</v>
      </c>
      <c r="L137" s="6" t="s">
        <v>175</v>
      </c>
      <c r="M137" s="6">
        <v>5</v>
      </c>
      <c r="N137" s="6">
        <v>8500</v>
      </c>
      <c r="O137" s="6">
        <v>20</v>
      </c>
      <c r="P137" s="6">
        <v>34000</v>
      </c>
      <c r="Q137" s="6">
        <v>5</v>
      </c>
      <c r="R137" s="6" t="s">
        <v>35</v>
      </c>
      <c r="S137" s="6" t="s">
        <v>62</v>
      </c>
      <c r="T137" s="6" t="s">
        <v>81</v>
      </c>
      <c r="U137" s="7" t="s">
        <v>754</v>
      </c>
      <c r="V137" s="6" t="s">
        <v>65</v>
      </c>
      <c r="W137" t="str">
        <f t="shared" si="2"/>
        <v>Blacklisted</v>
      </c>
    </row>
    <row r="138" spans="1:23" ht="14.25" customHeight="1">
      <c r="A138" s="3" t="s">
        <v>755</v>
      </c>
      <c r="B138" s="3" t="s">
        <v>24</v>
      </c>
      <c r="C138" s="3" t="s">
        <v>93</v>
      </c>
      <c r="D138" s="3" t="s">
        <v>756</v>
      </c>
      <c r="E138" s="3" t="s">
        <v>757</v>
      </c>
      <c r="F138" s="3" t="s">
        <v>28</v>
      </c>
      <c r="G138" s="3" t="s">
        <v>29</v>
      </c>
      <c r="H138" s="3" t="s">
        <v>758</v>
      </c>
      <c r="I138" s="3" t="s">
        <v>60</v>
      </c>
      <c r="J138" s="3" t="s">
        <v>32</v>
      </c>
      <c r="K138" s="3" t="s">
        <v>33</v>
      </c>
      <c r="L138" s="3" t="s">
        <v>98</v>
      </c>
      <c r="M138" s="3">
        <v>14</v>
      </c>
      <c r="N138" s="3">
        <v>3500</v>
      </c>
      <c r="O138" s="3">
        <v>10</v>
      </c>
      <c r="P138" s="3">
        <v>44100</v>
      </c>
      <c r="Q138" s="3">
        <v>4</v>
      </c>
      <c r="R138" s="3" t="s">
        <v>89</v>
      </c>
      <c r="S138" s="3" t="s">
        <v>36</v>
      </c>
      <c r="T138" s="3" t="s">
        <v>51</v>
      </c>
      <c r="U138" s="5" t="s">
        <v>759</v>
      </c>
      <c r="V138" s="3" t="s">
        <v>70</v>
      </c>
      <c r="W138" t="str">
        <f t="shared" si="2"/>
        <v>Blacklisted</v>
      </c>
    </row>
    <row r="139" spans="1:23" ht="14.25" customHeight="1">
      <c r="A139" s="6" t="s">
        <v>760</v>
      </c>
      <c r="B139" s="6" t="s">
        <v>328</v>
      </c>
      <c r="C139" s="6" t="s">
        <v>260</v>
      </c>
      <c r="D139" s="6" t="s">
        <v>761</v>
      </c>
      <c r="E139" s="6" t="s">
        <v>762</v>
      </c>
      <c r="F139" s="6" t="s">
        <v>395</v>
      </c>
      <c r="G139" s="6" t="s">
        <v>77</v>
      </c>
      <c r="H139" s="6" t="s">
        <v>763</v>
      </c>
      <c r="I139" s="6" t="s">
        <v>139</v>
      </c>
      <c r="J139" s="6" t="s">
        <v>107</v>
      </c>
      <c r="K139" s="6" t="s">
        <v>123</v>
      </c>
      <c r="L139" s="6" t="s">
        <v>264</v>
      </c>
      <c r="M139" s="6">
        <v>8</v>
      </c>
      <c r="N139" s="6">
        <v>45</v>
      </c>
      <c r="O139" s="6">
        <v>0</v>
      </c>
      <c r="P139" s="6">
        <v>360</v>
      </c>
      <c r="Q139" s="6">
        <v>1</v>
      </c>
      <c r="R139" s="6" t="s">
        <v>80</v>
      </c>
      <c r="S139" s="6" t="s">
        <v>152</v>
      </c>
      <c r="T139" s="6" t="s">
        <v>333</v>
      </c>
      <c r="U139" s="7" t="s">
        <v>764</v>
      </c>
      <c r="V139" s="6" t="s">
        <v>70</v>
      </c>
      <c r="W139" t="str">
        <f t="shared" si="2"/>
        <v>Blacklisted</v>
      </c>
    </row>
    <row r="140" spans="1:23" ht="14.25" customHeight="1">
      <c r="A140" s="3" t="s">
        <v>765</v>
      </c>
      <c r="B140" s="3" t="s">
        <v>222</v>
      </c>
      <c r="C140" s="3" t="s">
        <v>260</v>
      </c>
      <c r="D140" s="3" t="s">
        <v>766</v>
      </c>
      <c r="E140" s="3" t="s">
        <v>767</v>
      </c>
      <c r="F140" s="3" t="s">
        <v>226</v>
      </c>
      <c r="G140" s="3" t="s">
        <v>77</v>
      </c>
      <c r="H140" s="3" t="s">
        <v>768</v>
      </c>
      <c r="I140" s="3" t="s">
        <v>45</v>
      </c>
      <c r="J140" s="3" t="s">
        <v>46</v>
      </c>
      <c r="K140" s="3" t="s">
        <v>123</v>
      </c>
      <c r="L140" s="3" t="s">
        <v>264</v>
      </c>
      <c r="M140" s="3">
        <v>11</v>
      </c>
      <c r="N140" s="3">
        <v>45</v>
      </c>
      <c r="O140" s="3">
        <v>5</v>
      </c>
      <c r="P140" s="3">
        <v>470.25</v>
      </c>
      <c r="Q140" s="3">
        <v>3</v>
      </c>
      <c r="R140" s="3" t="s">
        <v>80</v>
      </c>
      <c r="S140" s="3" t="s">
        <v>50</v>
      </c>
      <c r="T140" s="3" t="s">
        <v>229</v>
      </c>
      <c r="U140" s="5" t="s">
        <v>769</v>
      </c>
      <c r="V140" s="3" t="s">
        <v>39</v>
      </c>
      <c r="W140" t="str">
        <f t="shared" si="2"/>
        <v>Silver</v>
      </c>
    </row>
    <row r="141" spans="1:23" ht="14.25" customHeight="1">
      <c r="A141" s="6" t="s">
        <v>770</v>
      </c>
      <c r="B141" s="6" t="s">
        <v>84</v>
      </c>
      <c r="C141" s="6" t="s">
        <v>55</v>
      </c>
      <c r="D141" s="6" t="s">
        <v>771</v>
      </c>
      <c r="E141" s="6" t="s">
        <v>772</v>
      </c>
      <c r="F141" s="6" t="s">
        <v>181</v>
      </c>
      <c r="G141" s="6" t="s">
        <v>77</v>
      </c>
      <c r="H141" s="6" t="s">
        <v>773</v>
      </c>
      <c r="I141" s="6" t="s">
        <v>139</v>
      </c>
      <c r="J141" s="6" t="s">
        <v>107</v>
      </c>
      <c r="K141" s="6" t="s">
        <v>47</v>
      </c>
      <c r="L141" s="6" t="s">
        <v>61</v>
      </c>
      <c r="M141" s="6">
        <v>19</v>
      </c>
      <c r="N141" s="6">
        <v>55000</v>
      </c>
      <c r="O141" s="6">
        <v>0</v>
      </c>
      <c r="P141" s="6">
        <v>1045000</v>
      </c>
      <c r="Q141" s="6">
        <v>2</v>
      </c>
      <c r="R141" s="6" t="s">
        <v>80</v>
      </c>
      <c r="S141" s="6" t="s">
        <v>36</v>
      </c>
      <c r="T141" s="6" t="s">
        <v>90</v>
      </c>
      <c r="U141" s="7" t="s">
        <v>774</v>
      </c>
      <c r="V141" s="6" t="s">
        <v>70</v>
      </c>
      <c r="W141" t="str">
        <f t="shared" si="2"/>
        <v>Blacklisted</v>
      </c>
    </row>
    <row r="142" spans="1:23" ht="14.25" customHeight="1">
      <c r="A142" s="3" t="s">
        <v>775</v>
      </c>
      <c r="B142" s="3" t="s">
        <v>54</v>
      </c>
      <c r="C142" s="3" t="s">
        <v>93</v>
      </c>
      <c r="D142" s="3" t="s">
        <v>776</v>
      </c>
      <c r="E142" s="3" t="s">
        <v>540</v>
      </c>
      <c r="F142" s="3" t="s">
        <v>164</v>
      </c>
      <c r="G142" s="3" t="s">
        <v>29</v>
      </c>
      <c r="H142" s="3" t="s">
        <v>777</v>
      </c>
      <c r="I142" s="3" t="s">
        <v>115</v>
      </c>
      <c r="J142" s="3" t="s">
        <v>107</v>
      </c>
      <c r="K142" s="3" t="s">
        <v>33</v>
      </c>
      <c r="L142" s="3" t="s">
        <v>98</v>
      </c>
      <c r="M142" s="3">
        <v>20</v>
      </c>
      <c r="N142" s="3">
        <v>3500</v>
      </c>
      <c r="O142" s="3">
        <v>20</v>
      </c>
      <c r="P142" s="3">
        <v>56000</v>
      </c>
      <c r="Q142" s="3">
        <v>4</v>
      </c>
      <c r="R142" s="3" t="s">
        <v>49</v>
      </c>
      <c r="S142" s="3" t="s">
        <v>50</v>
      </c>
      <c r="T142" s="3" t="s">
        <v>63</v>
      </c>
      <c r="U142" s="5" t="s">
        <v>778</v>
      </c>
      <c r="V142" s="3" t="s">
        <v>39</v>
      </c>
      <c r="W142" t="str">
        <f t="shared" si="2"/>
        <v>Gold</v>
      </c>
    </row>
    <row r="143" spans="1:23" ht="14.25" customHeight="1">
      <c r="A143" s="6" t="s">
        <v>779</v>
      </c>
      <c r="B143" s="6" t="s">
        <v>84</v>
      </c>
      <c r="C143" s="6" t="s">
        <v>25</v>
      </c>
      <c r="D143" s="6" t="s">
        <v>277</v>
      </c>
      <c r="E143" s="6" t="s">
        <v>780</v>
      </c>
      <c r="F143" s="6" t="s">
        <v>181</v>
      </c>
      <c r="G143" s="6" t="s">
        <v>77</v>
      </c>
      <c r="H143" s="6" t="s">
        <v>781</v>
      </c>
      <c r="I143" s="6" t="s">
        <v>115</v>
      </c>
      <c r="J143" s="6" t="s">
        <v>107</v>
      </c>
      <c r="K143" s="6" t="s">
        <v>33</v>
      </c>
      <c r="L143" s="6" t="s">
        <v>34</v>
      </c>
      <c r="M143" s="6">
        <v>17</v>
      </c>
      <c r="N143" s="6">
        <v>2200</v>
      </c>
      <c r="O143" s="6">
        <v>0</v>
      </c>
      <c r="P143" s="6">
        <v>37400</v>
      </c>
      <c r="Q143" s="6">
        <v>5</v>
      </c>
      <c r="R143" s="6" t="s">
        <v>49</v>
      </c>
      <c r="S143" s="6" t="s">
        <v>36</v>
      </c>
      <c r="T143" s="6" t="s">
        <v>90</v>
      </c>
      <c r="U143" s="7" t="s">
        <v>782</v>
      </c>
      <c r="V143" s="6" t="s">
        <v>65</v>
      </c>
      <c r="W143" t="str">
        <f t="shared" si="2"/>
        <v>Blacklisted</v>
      </c>
    </row>
    <row r="144" spans="1:23" ht="14.25" customHeight="1">
      <c r="A144" s="3" t="s">
        <v>783</v>
      </c>
      <c r="B144" s="3" t="s">
        <v>84</v>
      </c>
      <c r="C144" s="3" t="s">
        <v>73</v>
      </c>
      <c r="D144" s="3" t="s">
        <v>771</v>
      </c>
      <c r="E144" s="3" t="s">
        <v>784</v>
      </c>
      <c r="F144" s="3" t="s">
        <v>181</v>
      </c>
      <c r="G144" s="3" t="s">
        <v>77</v>
      </c>
      <c r="H144" s="3" t="s">
        <v>785</v>
      </c>
      <c r="I144" s="3" t="s">
        <v>115</v>
      </c>
      <c r="J144" s="3" t="s">
        <v>107</v>
      </c>
      <c r="K144" s="3" t="s">
        <v>47</v>
      </c>
      <c r="L144" s="3" t="s">
        <v>79</v>
      </c>
      <c r="M144" s="3">
        <v>10</v>
      </c>
      <c r="N144" s="3">
        <v>1200</v>
      </c>
      <c r="O144" s="3">
        <v>5</v>
      </c>
      <c r="P144" s="3">
        <v>11400</v>
      </c>
      <c r="Q144" s="3">
        <v>2</v>
      </c>
      <c r="R144" s="3" t="s">
        <v>35</v>
      </c>
      <c r="S144" s="3" t="s">
        <v>50</v>
      </c>
      <c r="T144" s="3" t="s">
        <v>90</v>
      </c>
      <c r="U144" s="5" t="s">
        <v>786</v>
      </c>
      <c r="V144" s="3" t="s">
        <v>70</v>
      </c>
      <c r="W144" t="str">
        <f t="shared" si="2"/>
        <v>Blacklisted</v>
      </c>
    </row>
    <row r="145" spans="1:23" ht="14.25" customHeight="1">
      <c r="A145" s="6" t="s">
        <v>787</v>
      </c>
      <c r="B145" s="6" t="s">
        <v>222</v>
      </c>
      <c r="C145" s="6" t="s">
        <v>119</v>
      </c>
      <c r="D145" s="6" t="s">
        <v>788</v>
      </c>
      <c r="E145" s="6" t="s">
        <v>789</v>
      </c>
      <c r="F145" s="6" t="s">
        <v>226</v>
      </c>
      <c r="G145" s="6" t="s">
        <v>77</v>
      </c>
      <c r="H145" s="6" t="s">
        <v>790</v>
      </c>
      <c r="I145" s="6" t="s">
        <v>31</v>
      </c>
      <c r="J145" s="6" t="s">
        <v>32</v>
      </c>
      <c r="K145" s="6" t="s">
        <v>123</v>
      </c>
      <c r="L145" s="6" t="s">
        <v>124</v>
      </c>
      <c r="M145" s="6">
        <v>3</v>
      </c>
      <c r="N145" s="6">
        <v>60</v>
      </c>
      <c r="O145" s="6">
        <v>0</v>
      </c>
      <c r="P145" s="6">
        <v>180</v>
      </c>
      <c r="Q145" s="6">
        <v>4</v>
      </c>
      <c r="R145" s="6" t="s">
        <v>49</v>
      </c>
      <c r="S145" s="6" t="s">
        <v>152</v>
      </c>
      <c r="T145" s="6" t="s">
        <v>229</v>
      </c>
      <c r="U145" s="7" t="s">
        <v>791</v>
      </c>
      <c r="V145" s="6" t="s">
        <v>39</v>
      </c>
      <c r="W145" t="str">
        <f t="shared" si="2"/>
        <v>Silver</v>
      </c>
    </row>
    <row r="146" spans="1:23" ht="14.25" customHeight="1">
      <c r="A146" s="3" t="s">
        <v>792</v>
      </c>
      <c r="B146" s="3" t="s">
        <v>54</v>
      </c>
      <c r="C146" s="3" t="s">
        <v>25</v>
      </c>
      <c r="D146" s="3" t="s">
        <v>793</v>
      </c>
      <c r="E146" s="3" t="s">
        <v>794</v>
      </c>
      <c r="F146" s="3" t="s">
        <v>164</v>
      </c>
      <c r="G146" s="3" t="s">
        <v>29</v>
      </c>
      <c r="H146" s="3" t="s">
        <v>795</v>
      </c>
      <c r="I146" s="3" t="s">
        <v>106</v>
      </c>
      <c r="J146" s="3" t="s">
        <v>107</v>
      </c>
      <c r="K146" s="3" t="s">
        <v>33</v>
      </c>
      <c r="L146" s="3" t="s">
        <v>34</v>
      </c>
      <c r="M146" s="3">
        <v>18</v>
      </c>
      <c r="N146" s="3">
        <v>2200</v>
      </c>
      <c r="O146" s="3">
        <v>10</v>
      </c>
      <c r="P146" s="3">
        <v>35640</v>
      </c>
      <c r="Q146" s="3">
        <v>1</v>
      </c>
      <c r="R146" s="3" t="s">
        <v>80</v>
      </c>
      <c r="S146" s="3" t="s">
        <v>152</v>
      </c>
      <c r="T146" s="3" t="s">
        <v>63</v>
      </c>
      <c r="U146" s="5" t="s">
        <v>796</v>
      </c>
      <c r="V146" s="3" t="s">
        <v>70</v>
      </c>
      <c r="W146" t="str">
        <f t="shared" si="2"/>
        <v>Blacklisted</v>
      </c>
    </row>
    <row r="147" spans="1:23" ht="14.25" customHeight="1">
      <c r="A147" s="6" t="s">
        <v>797</v>
      </c>
      <c r="B147" s="6" t="s">
        <v>72</v>
      </c>
      <c r="C147" s="6" t="s">
        <v>119</v>
      </c>
      <c r="D147" s="6" t="s">
        <v>798</v>
      </c>
      <c r="E147" s="6" t="s">
        <v>799</v>
      </c>
      <c r="F147" s="6" t="s">
        <v>218</v>
      </c>
      <c r="G147" s="6" t="s">
        <v>77</v>
      </c>
      <c r="H147" s="6" t="s">
        <v>800</v>
      </c>
      <c r="I147" s="6" t="s">
        <v>45</v>
      </c>
      <c r="J147" s="6" t="s">
        <v>46</v>
      </c>
      <c r="K147" s="6" t="s">
        <v>123</v>
      </c>
      <c r="L147" s="6" t="s">
        <v>124</v>
      </c>
      <c r="M147" s="6">
        <v>18</v>
      </c>
      <c r="N147" s="6">
        <v>60</v>
      </c>
      <c r="O147" s="6">
        <v>5</v>
      </c>
      <c r="P147" s="6">
        <v>1026</v>
      </c>
      <c r="Q147" s="6">
        <v>3</v>
      </c>
      <c r="R147" s="6" t="s">
        <v>80</v>
      </c>
      <c r="S147" s="6" t="s">
        <v>50</v>
      </c>
      <c r="T147" s="6" t="s">
        <v>81</v>
      </c>
      <c r="U147" s="7" t="s">
        <v>801</v>
      </c>
      <c r="V147" s="6" t="s">
        <v>65</v>
      </c>
      <c r="W147" t="str">
        <f t="shared" si="2"/>
        <v>Blacklisted</v>
      </c>
    </row>
    <row r="148" spans="1:23" ht="14.25" customHeight="1">
      <c r="A148" s="3" t="s">
        <v>802</v>
      </c>
      <c r="B148" s="3" t="s">
        <v>128</v>
      </c>
      <c r="C148" s="3" t="s">
        <v>55</v>
      </c>
      <c r="D148" s="3" t="s">
        <v>423</v>
      </c>
      <c r="E148" s="3" t="s">
        <v>378</v>
      </c>
      <c r="F148" s="3" t="s">
        <v>201</v>
      </c>
      <c r="G148" s="3" t="s">
        <v>77</v>
      </c>
      <c r="H148" s="3" t="s">
        <v>803</v>
      </c>
      <c r="I148" s="3" t="s">
        <v>115</v>
      </c>
      <c r="J148" s="3" t="s">
        <v>107</v>
      </c>
      <c r="K148" s="3" t="s">
        <v>47</v>
      </c>
      <c r="L148" s="3" t="s">
        <v>61</v>
      </c>
      <c r="M148" s="3">
        <v>11</v>
      </c>
      <c r="N148" s="3">
        <v>55000</v>
      </c>
      <c r="O148" s="3">
        <v>15</v>
      </c>
      <c r="P148" s="3">
        <v>514250</v>
      </c>
      <c r="Q148" s="3">
        <v>4</v>
      </c>
      <c r="R148" s="3" t="s">
        <v>89</v>
      </c>
      <c r="S148" s="3" t="s">
        <v>116</v>
      </c>
      <c r="T148" s="3" t="s">
        <v>133</v>
      </c>
      <c r="U148" s="5" t="s">
        <v>804</v>
      </c>
      <c r="V148" s="3" t="s">
        <v>70</v>
      </c>
      <c r="W148" t="str">
        <f t="shared" si="2"/>
        <v>Blacklisted</v>
      </c>
    </row>
    <row r="149" spans="1:23" ht="14.25" customHeight="1">
      <c r="A149" s="6" t="s">
        <v>805</v>
      </c>
      <c r="B149" s="6" t="s">
        <v>252</v>
      </c>
      <c r="C149" s="6" t="s">
        <v>170</v>
      </c>
      <c r="D149" s="6" t="s">
        <v>475</v>
      </c>
      <c r="E149" s="6" t="s">
        <v>465</v>
      </c>
      <c r="F149" s="6" t="s">
        <v>255</v>
      </c>
      <c r="G149" s="6" t="s">
        <v>29</v>
      </c>
      <c r="H149" s="6" t="s">
        <v>806</v>
      </c>
      <c r="I149" s="6" t="s">
        <v>295</v>
      </c>
      <c r="J149" s="6" t="s">
        <v>296</v>
      </c>
      <c r="K149" s="6" t="s">
        <v>33</v>
      </c>
      <c r="L149" s="6" t="s">
        <v>175</v>
      </c>
      <c r="M149" s="6">
        <v>5</v>
      </c>
      <c r="N149" s="6">
        <v>8500</v>
      </c>
      <c r="O149" s="6">
        <v>5</v>
      </c>
      <c r="P149" s="6">
        <v>40375</v>
      </c>
      <c r="Q149" s="6">
        <v>4</v>
      </c>
      <c r="R149" s="6" t="s">
        <v>35</v>
      </c>
      <c r="S149" s="6" t="s">
        <v>152</v>
      </c>
      <c r="T149" s="6" t="s">
        <v>257</v>
      </c>
      <c r="U149" s="7" t="s">
        <v>807</v>
      </c>
      <c r="V149" s="6" t="s">
        <v>39</v>
      </c>
      <c r="W149" t="str">
        <f t="shared" si="2"/>
        <v>Silver</v>
      </c>
    </row>
    <row r="150" spans="1:23" ht="14.25" customHeight="1">
      <c r="A150" s="3" t="s">
        <v>193</v>
      </c>
      <c r="B150" s="3" t="s">
        <v>101</v>
      </c>
      <c r="C150" s="3" t="s">
        <v>185</v>
      </c>
      <c r="D150" s="3" t="s">
        <v>247</v>
      </c>
      <c r="E150" s="3" t="s">
        <v>129</v>
      </c>
      <c r="F150" s="3" t="s">
        <v>104</v>
      </c>
      <c r="G150" s="3" t="s">
        <v>29</v>
      </c>
      <c r="H150" s="3" t="s">
        <v>808</v>
      </c>
      <c r="I150" s="3" t="s">
        <v>213</v>
      </c>
      <c r="J150" s="3" t="s">
        <v>46</v>
      </c>
      <c r="K150" s="3" t="s">
        <v>47</v>
      </c>
      <c r="L150" s="3" t="s">
        <v>190</v>
      </c>
      <c r="M150" s="3">
        <v>16</v>
      </c>
      <c r="N150" s="3">
        <v>700</v>
      </c>
      <c r="O150" s="3">
        <v>15</v>
      </c>
      <c r="P150" s="3">
        <v>9520</v>
      </c>
      <c r="Q150" s="3">
        <v>4</v>
      </c>
      <c r="R150" s="3" t="s">
        <v>80</v>
      </c>
      <c r="S150" s="3" t="s">
        <v>62</v>
      </c>
      <c r="T150" s="3" t="s">
        <v>145</v>
      </c>
      <c r="U150" s="5" t="s">
        <v>809</v>
      </c>
      <c r="V150" s="3" t="s">
        <v>39</v>
      </c>
      <c r="W150" t="str">
        <f t="shared" si="2"/>
        <v>Silver</v>
      </c>
    </row>
    <row r="151" spans="1:23" ht="14.25" customHeight="1">
      <c r="A151" s="6" t="s">
        <v>810</v>
      </c>
      <c r="B151" s="6" t="s">
        <v>128</v>
      </c>
      <c r="C151" s="6" t="s">
        <v>185</v>
      </c>
      <c r="D151" s="6" t="s">
        <v>490</v>
      </c>
      <c r="E151" s="6" t="s">
        <v>268</v>
      </c>
      <c r="F151" s="6" t="s">
        <v>201</v>
      </c>
      <c r="G151" s="6" t="s">
        <v>77</v>
      </c>
      <c r="H151" s="6" t="s">
        <v>811</v>
      </c>
      <c r="I151" s="6" t="s">
        <v>115</v>
      </c>
      <c r="J151" s="6" t="s">
        <v>107</v>
      </c>
      <c r="K151" s="6" t="s">
        <v>47</v>
      </c>
      <c r="L151" s="6" t="s">
        <v>190</v>
      </c>
      <c r="M151" s="6">
        <v>6</v>
      </c>
      <c r="N151" s="6">
        <v>700</v>
      </c>
      <c r="O151" s="6">
        <v>10</v>
      </c>
      <c r="P151" s="6">
        <v>3780</v>
      </c>
      <c r="Q151" s="6">
        <v>4</v>
      </c>
      <c r="R151" s="6" t="s">
        <v>35</v>
      </c>
      <c r="S151" s="6" t="s">
        <v>50</v>
      </c>
      <c r="T151" s="6" t="s">
        <v>133</v>
      </c>
      <c r="U151" s="7" t="s">
        <v>812</v>
      </c>
      <c r="V151" s="6" t="s">
        <v>70</v>
      </c>
      <c r="W151" t="str">
        <f t="shared" si="2"/>
        <v>Blacklisted</v>
      </c>
    </row>
    <row r="152" spans="1:23" ht="14.25" customHeight="1">
      <c r="A152" s="3" t="s">
        <v>813</v>
      </c>
      <c r="B152" s="3" t="s">
        <v>54</v>
      </c>
      <c r="C152" s="3" t="s">
        <v>93</v>
      </c>
      <c r="D152" s="3" t="s">
        <v>519</v>
      </c>
      <c r="E152" s="3" t="s">
        <v>616</v>
      </c>
      <c r="F152" s="3" t="s">
        <v>164</v>
      </c>
      <c r="G152" s="3" t="s">
        <v>29</v>
      </c>
      <c r="H152" s="3" t="s">
        <v>814</v>
      </c>
      <c r="I152" s="3" t="s">
        <v>45</v>
      </c>
      <c r="J152" s="3" t="s">
        <v>46</v>
      </c>
      <c r="K152" s="3" t="s">
        <v>33</v>
      </c>
      <c r="L152" s="3" t="s">
        <v>98</v>
      </c>
      <c r="M152" s="3">
        <v>20</v>
      </c>
      <c r="N152" s="3">
        <v>3500</v>
      </c>
      <c r="O152" s="3">
        <v>10</v>
      </c>
      <c r="P152" s="3">
        <v>63000</v>
      </c>
      <c r="Q152" s="3">
        <v>4</v>
      </c>
      <c r="R152" s="3" t="s">
        <v>89</v>
      </c>
      <c r="S152" s="3" t="s">
        <v>50</v>
      </c>
      <c r="T152" s="3" t="s">
        <v>63</v>
      </c>
      <c r="U152" s="5" t="s">
        <v>815</v>
      </c>
      <c r="V152" s="3" t="s">
        <v>65</v>
      </c>
      <c r="W152" t="str">
        <f t="shared" si="2"/>
        <v>Blacklisted</v>
      </c>
    </row>
    <row r="153" spans="1:23" ht="14.25" customHeight="1">
      <c r="A153" s="6" t="s">
        <v>816</v>
      </c>
      <c r="B153" s="6" t="s">
        <v>24</v>
      </c>
      <c r="C153" s="6" t="s">
        <v>223</v>
      </c>
      <c r="D153" s="6" t="s">
        <v>817</v>
      </c>
      <c r="E153" s="6" t="s">
        <v>818</v>
      </c>
      <c r="F153" s="6" t="s">
        <v>28</v>
      </c>
      <c r="G153" s="6" t="s">
        <v>29</v>
      </c>
      <c r="H153" s="6" t="s">
        <v>819</v>
      </c>
      <c r="I153" s="6" t="s">
        <v>60</v>
      </c>
      <c r="J153" s="6" t="s">
        <v>32</v>
      </c>
      <c r="K153" s="6" t="s">
        <v>123</v>
      </c>
      <c r="L153" s="6" t="s">
        <v>228</v>
      </c>
      <c r="M153" s="6">
        <v>2</v>
      </c>
      <c r="N153" s="6">
        <v>20</v>
      </c>
      <c r="O153" s="6">
        <v>10</v>
      </c>
      <c r="P153" s="6">
        <v>36</v>
      </c>
      <c r="Q153" s="6">
        <v>1</v>
      </c>
      <c r="R153" s="6" t="s">
        <v>49</v>
      </c>
      <c r="S153" s="6" t="s">
        <v>116</v>
      </c>
      <c r="T153" s="6" t="s">
        <v>51</v>
      </c>
      <c r="U153" s="7" t="s">
        <v>820</v>
      </c>
      <c r="V153" s="6" t="s">
        <v>65</v>
      </c>
      <c r="W153" t="str">
        <f t="shared" si="2"/>
        <v>Blacklisted</v>
      </c>
    </row>
    <row r="154" spans="1:23" ht="14.25" customHeight="1">
      <c r="A154" s="3" t="s">
        <v>821</v>
      </c>
      <c r="B154" s="3" t="s">
        <v>101</v>
      </c>
      <c r="C154" s="3" t="s">
        <v>25</v>
      </c>
      <c r="D154" s="3" t="s">
        <v>780</v>
      </c>
      <c r="E154" s="3" t="s">
        <v>822</v>
      </c>
      <c r="F154" s="3" t="s">
        <v>104</v>
      </c>
      <c r="G154" s="3" t="s">
        <v>29</v>
      </c>
      <c r="H154" s="3" t="s">
        <v>823</v>
      </c>
      <c r="I154" s="3" t="s">
        <v>115</v>
      </c>
      <c r="J154" s="3" t="s">
        <v>107</v>
      </c>
      <c r="K154" s="3" t="s">
        <v>33</v>
      </c>
      <c r="L154" s="3" t="s">
        <v>34</v>
      </c>
      <c r="M154" s="3">
        <v>16</v>
      </c>
      <c r="N154" s="3">
        <v>2200</v>
      </c>
      <c r="O154" s="3">
        <v>20</v>
      </c>
      <c r="P154" s="3">
        <v>28160</v>
      </c>
      <c r="Q154" s="3">
        <v>2</v>
      </c>
      <c r="R154" s="3" t="s">
        <v>89</v>
      </c>
      <c r="S154" s="3" t="s">
        <v>152</v>
      </c>
      <c r="T154" s="3" t="s">
        <v>145</v>
      </c>
      <c r="U154" s="5" t="s">
        <v>824</v>
      </c>
      <c r="V154" s="3" t="s">
        <v>65</v>
      </c>
      <c r="W154" t="str">
        <f t="shared" si="2"/>
        <v>Blacklisted</v>
      </c>
    </row>
    <row r="155" spans="1:23" ht="14.25" customHeight="1">
      <c r="A155" s="6" t="s">
        <v>825</v>
      </c>
      <c r="B155" s="6" t="s">
        <v>222</v>
      </c>
      <c r="C155" s="6" t="s">
        <v>41</v>
      </c>
      <c r="D155" s="6" t="s">
        <v>149</v>
      </c>
      <c r="E155" s="6" t="s">
        <v>826</v>
      </c>
      <c r="F155" s="6" t="s">
        <v>226</v>
      </c>
      <c r="G155" s="6" t="s">
        <v>77</v>
      </c>
      <c r="H155" s="6" t="s">
        <v>827</v>
      </c>
      <c r="I155" s="6" t="s">
        <v>115</v>
      </c>
      <c r="J155" s="6" t="s">
        <v>107</v>
      </c>
      <c r="K155" s="6" t="s">
        <v>47</v>
      </c>
      <c r="L155" s="6" t="s">
        <v>48</v>
      </c>
      <c r="M155" s="6">
        <v>15</v>
      </c>
      <c r="N155" s="6">
        <v>12000</v>
      </c>
      <c r="O155" s="6">
        <v>0</v>
      </c>
      <c r="P155" s="6">
        <v>180000</v>
      </c>
      <c r="Q155" s="6">
        <v>1</v>
      </c>
      <c r="R155" s="6" t="s">
        <v>80</v>
      </c>
      <c r="S155" s="6" t="s">
        <v>62</v>
      </c>
      <c r="T155" s="6" t="s">
        <v>229</v>
      </c>
      <c r="U155" s="7" t="s">
        <v>828</v>
      </c>
      <c r="V155" s="6" t="s">
        <v>65</v>
      </c>
      <c r="W155" t="str">
        <f t="shared" si="2"/>
        <v>Blacklisted</v>
      </c>
    </row>
    <row r="156" spans="1:23" ht="14.25" customHeight="1">
      <c r="A156" s="3" t="s">
        <v>829</v>
      </c>
      <c r="B156" s="3" t="s">
        <v>24</v>
      </c>
      <c r="C156" s="3" t="s">
        <v>119</v>
      </c>
      <c r="D156" s="3" t="s">
        <v>830</v>
      </c>
      <c r="E156" s="3" t="s">
        <v>831</v>
      </c>
      <c r="F156" s="3" t="s">
        <v>28</v>
      </c>
      <c r="G156" s="3" t="s">
        <v>29</v>
      </c>
      <c r="H156" s="3" t="s">
        <v>832</v>
      </c>
      <c r="I156" s="3" t="s">
        <v>45</v>
      </c>
      <c r="J156" s="3" t="s">
        <v>46</v>
      </c>
      <c r="K156" s="3" t="s">
        <v>123</v>
      </c>
      <c r="L156" s="3" t="s">
        <v>124</v>
      </c>
      <c r="M156" s="3">
        <v>14</v>
      </c>
      <c r="N156" s="3">
        <v>60</v>
      </c>
      <c r="O156" s="3">
        <v>15</v>
      </c>
      <c r="P156" s="3">
        <v>714</v>
      </c>
      <c r="Q156" s="3">
        <v>4</v>
      </c>
      <c r="R156" s="3" t="s">
        <v>89</v>
      </c>
      <c r="S156" s="3" t="s">
        <v>50</v>
      </c>
      <c r="T156" s="3" t="s">
        <v>51</v>
      </c>
      <c r="U156" s="5" t="s">
        <v>833</v>
      </c>
      <c r="V156" s="3" t="s">
        <v>39</v>
      </c>
      <c r="W156" t="str">
        <f t="shared" si="2"/>
        <v>Silver</v>
      </c>
    </row>
    <row r="157" spans="1:23" ht="14.25" customHeight="1">
      <c r="A157" s="6" t="s">
        <v>834</v>
      </c>
      <c r="B157" s="6" t="s">
        <v>54</v>
      </c>
      <c r="C157" s="6" t="s">
        <v>73</v>
      </c>
      <c r="D157" s="6" t="s">
        <v>835</v>
      </c>
      <c r="E157" s="6" t="s">
        <v>836</v>
      </c>
      <c r="F157" s="6" t="s">
        <v>164</v>
      </c>
      <c r="G157" s="6" t="s">
        <v>29</v>
      </c>
      <c r="H157" s="6" t="s">
        <v>837</v>
      </c>
      <c r="I157" s="6" t="s">
        <v>31</v>
      </c>
      <c r="J157" s="6" t="s">
        <v>32</v>
      </c>
      <c r="K157" s="6" t="s">
        <v>47</v>
      </c>
      <c r="L157" s="6" t="s">
        <v>79</v>
      </c>
      <c r="M157" s="6">
        <v>9</v>
      </c>
      <c r="N157" s="6">
        <v>1200</v>
      </c>
      <c r="O157" s="6">
        <v>5</v>
      </c>
      <c r="P157" s="6">
        <v>10260</v>
      </c>
      <c r="Q157" s="6">
        <v>5</v>
      </c>
      <c r="R157" s="6" t="s">
        <v>49</v>
      </c>
      <c r="S157" s="6" t="s">
        <v>62</v>
      </c>
      <c r="T157" s="6" t="s">
        <v>63</v>
      </c>
      <c r="U157" s="7" t="s">
        <v>838</v>
      </c>
      <c r="V157" s="6" t="s">
        <v>65</v>
      </c>
      <c r="W157" t="str">
        <f t="shared" si="2"/>
        <v>Blacklisted</v>
      </c>
    </row>
    <row r="158" spans="1:23" ht="14.25" customHeight="1">
      <c r="A158" s="3" t="s">
        <v>839</v>
      </c>
      <c r="B158" s="3" t="s">
        <v>222</v>
      </c>
      <c r="C158" s="3" t="s">
        <v>73</v>
      </c>
      <c r="D158" s="3" t="s">
        <v>822</v>
      </c>
      <c r="E158" s="3" t="s">
        <v>840</v>
      </c>
      <c r="F158" s="3" t="s">
        <v>226</v>
      </c>
      <c r="G158" s="3" t="s">
        <v>77</v>
      </c>
      <c r="H158" s="3" t="s">
        <v>841</v>
      </c>
      <c r="I158" s="3" t="s">
        <v>295</v>
      </c>
      <c r="J158" s="3" t="s">
        <v>296</v>
      </c>
      <c r="K158" s="3" t="s">
        <v>47</v>
      </c>
      <c r="L158" s="3" t="s">
        <v>79</v>
      </c>
      <c r="M158" s="3">
        <v>3</v>
      </c>
      <c r="N158" s="3">
        <v>1200</v>
      </c>
      <c r="O158" s="3">
        <v>10</v>
      </c>
      <c r="P158" s="3">
        <v>3240</v>
      </c>
      <c r="Q158" s="3">
        <v>2</v>
      </c>
      <c r="R158" s="3" t="s">
        <v>80</v>
      </c>
      <c r="S158" s="3" t="s">
        <v>152</v>
      </c>
      <c r="T158" s="3" t="s">
        <v>229</v>
      </c>
      <c r="U158" s="5" t="s">
        <v>842</v>
      </c>
      <c r="V158" s="3" t="s">
        <v>70</v>
      </c>
      <c r="W158" t="str">
        <f t="shared" si="2"/>
        <v>Blacklisted</v>
      </c>
    </row>
    <row r="159" spans="1:23" ht="14.25" customHeight="1">
      <c r="A159" s="6" t="s">
        <v>843</v>
      </c>
      <c r="B159" s="6" t="s">
        <v>328</v>
      </c>
      <c r="C159" s="6" t="s">
        <v>119</v>
      </c>
      <c r="D159" s="6" t="s">
        <v>460</v>
      </c>
      <c r="E159" s="6" t="s">
        <v>578</v>
      </c>
      <c r="F159" s="6" t="s">
        <v>395</v>
      </c>
      <c r="G159" s="6" t="s">
        <v>77</v>
      </c>
      <c r="H159" s="6" t="s">
        <v>844</v>
      </c>
      <c r="I159" s="6" t="s">
        <v>31</v>
      </c>
      <c r="J159" s="6" t="s">
        <v>32</v>
      </c>
      <c r="K159" s="6" t="s">
        <v>123</v>
      </c>
      <c r="L159" s="6" t="s">
        <v>124</v>
      </c>
      <c r="M159" s="6">
        <v>2</v>
      </c>
      <c r="N159" s="6">
        <v>60</v>
      </c>
      <c r="O159" s="6">
        <v>10</v>
      </c>
      <c r="P159" s="6">
        <v>108</v>
      </c>
      <c r="Q159" s="6">
        <v>2</v>
      </c>
      <c r="R159" s="6" t="s">
        <v>89</v>
      </c>
      <c r="S159" s="6" t="s">
        <v>62</v>
      </c>
      <c r="T159" s="6" t="s">
        <v>333</v>
      </c>
      <c r="U159" s="7" t="s">
        <v>845</v>
      </c>
      <c r="V159" s="6" t="s">
        <v>39</v>
      </c>
      <c r="W159" t="str">
        <f t="shared" si="2"/>
        <v>Blacklisted</v>
      </c>
    </row>
    <row r="160" spans="1:23" ht="14.25" customHeight="1">
      <c r="A160" s="3" t="s">
        <v>846</v>
      </c>
      <c r="B160" s="3" t="s">
        <v>72</v>
      </c>
      <c r="C160" s="3" t="s">
        <v>93</v>
      </c>
      <c r="D160" s="3" t="s">
        <v>427</v>
      </c>
      <c r="E160" s="3" t="s">
        <v>847</v>
      </c>
      <c r="F160" s="3" t="s">
        <v>218</v>
      </c>
      <c r="G160" s="3" t="s">
        <v>77</v>
      </c>
      <c r="H160" s="3" t="s">
        <v>848</v>
      </c>
      <c r="I160" s="3" t="s">
        <v>45</v>
      </c>
      <c r="J160" s="3" t="s">
        <v>46</v>
      </c>
      <c r="K160" s="3" t="s">
        <v>33</v>
      </c>
      <c r="L160" s="3" t="s">
        <v>98</v>
      </c>
      <c r="M160" s="3">
        <v>9</v>
      </c>
      <c r="N160" s="3">
        <v>3500</v>
      </c>
      <c r="O160" s="3">
        <v>20</v>
      </c>
      <c r="P160" s="3">
        <v>25200</v>
      </c>
      <c r="Q160" s="3">
        <v>1</v>
      </c>
      <c r="R160" s="3" t="s">
        <v>49</v>
      </c>
      <c r="S160" s="3" t="s">
        <v>36</v>
      </c>
      <c r="T160" s="3" t="s">
        <v>81</v>
      </c>
      <c r="U160" s="5" t="s">
        <v>849</v>
      </c>
      <c r="V160" s="3" t="s">
        <v>39</v>
      </c>
      <c r="W160" t="str">
        <f t="shared" si="2"/>
        <v>Blacklisted</v>
      </c>
    </row>
    <row r="161" spans="1:23" ht="14.25" customHeight="1">
      <c r="A161" s="6" t="s">
        <v>850</v>
      </c>
      <c r="B161" s="6" t="s">
        <v>222</v>
      </c>
      <c r="C161" s="6" t="s">
        <v>55</v>
      </c>
      <c r="D161" s="6" t="s">
        <v>242</v>
      </c>
      <c r="E161" s="6" t="s">
        <v>544</v>
      </c>
      <c r="F161" s="6" t="s">
        <v>226</v>
      </c>
      <c r="G161" s="6" t="s">
        <v>77</v>
      </c>
      <c r="H161" s="6" t="s">
        <v>851</v>
      </c>
      <c r="I161" s="6" t="s">
        <v>213</v>
      </c>
      <c r="J161" s="6" t="s">
        <v>46</v>
      </c>
      <c r="K161" s="6" t="s">
        <v>47</v>
      </c>
      <c r="L161" s="6" t="s">
        <v>61</v>
      </c>
      <c r="M161" s="6">
        <v>4</v>
      </c>
      <c r="N161" s="6">
        <v>55000</v>
      </c>
      <c r="O161" s="6">
        <v>5</v>
      </c>
      <c r="P161" s="6">
        <v>209000</v>
      </c>
      <c r="Q161" s="6">
        <v>2</v>
      </c>
      <c r="R161" s="6" t="s">
        <v>35</v>
      </c>
      <c r="S161" s="6" t="s">
        <v>152</v>
      </c>
      <c r="T161" s="6" t="s">
        <v>229</v>
      </c>
      <c r="U161" s="7" t="s">
        <v>852</v>
      </c>
      <c r="V161" s="6" t="s">
        <v>65</v>
      </c>
      <c r="W161" t="str">
        <f t="shared" si="2"/>
        <v>Blacklisted</v>
      </c>
    </row>
    <row r="162" spans="1:23" ht="14.25" customHeight="1">
      <c r="A162" s="3" t="s">
        <v>853</v>
      </c>
      <c r="B162" s="3" t="s">
        <v>328</v>
      </c>
      <c r="C162" s="3" t="s">
        <v>185</v>
      </c>
      <c r="D162" s="3" t="s">
        <v>489</v>
      </c>
      <c r="E162" s="3" t="s">
        <v>267</v>
      </c>
      <c r="F162" s="3" t="s">
        <v>854</v>
      </c>
      <c r="G162" s="3" t="s">
        <v>77</v>
      </c>
      <c r="H162" s="3" t="s">
        <v>855</v>
      </c>
      <c r="I162" s="3" t="s">
        <v>45</v>
      </c>
      <c r="J162" s="3" t="s">
        <v>46</v>
      </c>
      <c r="K162" s="3" t="s">
        <v>47</v>
      </c>
      <c r="L162" s="3" t="s">
        <v>190</v>
      </c>
      <c r="M162" s="3">
        <v>11</v>
      </c>
      <c r="N162" s="3">
        <v>700</v>
      </c>
      <c r="O162" s="3">
        <v>20</v>
      </c>
      <c r="P162" s="3">
        <v>6160</v>
      </c>
      <c r="Q162" s="3">
        <v>4</v>
      </c>
      <c r="R162" s="3" t="s">
        <v>35</v>
      </c>
      <c r="S162" s="3" t="s">
        <v>152</v>
      </c>
      <c r="T162" s="3" t="s">
        <v>333</v>
      </c>
      <c r="U162" s="5" t="s">
        <v>856</v>
      </c>
      <c r="V162" s="3" t="s">
        <v>70</v>
      </c>
      <c r="W162" t="str">
        <f t="shared" si="2"/>
        <v>Blacklisted</v>
      </c>
    </row>
    <row r="163" spans="1:23" ht="14.25" customHeight="1">
      <c r="A163" s="6" t="s">
        <v>857</v>
      </c>
      <c r="B163" s="6" t="s">
        <v>169</v>
      </c>
      <c r="C163" s="6" t="s">
        <v>73</v>
      </c>
      <c r="D163" s="6" t="s">
        <v>287</v>
      </c>
      <c r="E163" s="6" t="s">
        <v>817</v>
      </c>
      <c r="F163" s="6" t="s">
        <v>362</v>
      </c>
      <c r="G163" s="6" t="s">
        <v>29</v>
      </c>
      <c r="H163" s="6" t="s">
        <v>858</v>
      </c>
      <c r="I163" s="6" t="s">
        <v>295</v>
      </c>
      <c r="J163" s="6" t="s">
        <v>296</v>
      </c>
      <c r="K163" s="6" t="s">
        <v>47</v>
      </c>
      <c r="L163" s="6" t="s">
        <v>79</v>
      </c>
      <c r="M163" s="6">
        <v>16</v>
      </c>
      <c r="N163" s="6">
        <v>1200</v>
      </c>
      <c r="O163" s="6">
        <v>5</v>
      </c>
      <c r="P163" s="6">
        <v>18240</v>
      </c>
      <c r="Q163" s="6">
        <v>1</v>
      </c>
      <c r="R163" s="6" t="s">
        <v>80</v>
      </c>
      <c r="S163" s="6" t="s">
        <v>36</v>
      </c>
      <c r="T163" s="6" t="s">
        <v>176</v>
      </c>
      <c r="U163" s="7" t="s">
        <v>859</v>
      </c>
      <c r="V163" s="6" t="s">
        <v>65</v>
      </c>
      <c r="W163" t="str">
        <f t="shared" si="2"/>
        <v>Blacklisted</v>
      </c>
    </row>
    <row r="164" spans="1:23" ht="14.25" customHeight="1">
      <c r="A164" s="3" t="s">
        <v>860</v>
      </c>
      <c r="B164" s="3" t="s">
        <v>169</v>
      </c>
      <c r="C164" s="3" t="s">
        <v>73</v>
      </c>
      <c r="D164" s="3" t="s">
        <v>549</v>
      </c>
      <c r="E164" s="3" t="s">
        <v>861</v>
      </c>
      <c r="F164" s="3" t="s">
        <v>362</v>
      </c>
      <c r="G164" s="3" t="s">
        <v>29</v>
      </c>
      <c r="H164" s="3" t="s">
        <v>862</v>
      </c>
      <c r="I164" s="3" t="s">
        <v>115</v>
      </c>
      <c r="J164" s="3" t="s">
        <v>107</v>
      </c>
      <c r="K164" s="3" t="s">
        <v>47</v>
      </c>
      <c r="L164" s="3" t="s">
        <v>79</v>
      </c>
      <c r="M164" s="3">
        <v>1</v>
      </c>
      <c r="N164" s="3">
        <v>1200</v>
      </c>
      <c r="O164" s="3">
        <v>5</v>
      </c>
      <c r="P164" s="3">
        <v>1140</v>
      </c>
      <c r="Q164" s="3">
        <v>4</v>
      </c>
      <c r="R164" s="3" t="s">
        <v>80</v>
      </c>
      <c r="S164" s="3" t="s">
        <v>36</v>
      </c>
      <c r="T164" s="3" t="s">
        <v>176</v>
      </c>
      <c r="U164" s="5" t="s">
        <v>863</v>
      </c>
      <c r="V164" s="3" t="s">
        <v>39</v>
      </c>
      <c r="W164" t="str">
        <f t="shared" si="2"/>
        <v>Silver</v>
      </c>
    </row>
    <row r="165" spans="1:23" ht="14.25" customHeight="1">
      <c r="A165" s="6" t="s">
        <v>864</v>
      </c>
      <c r="B165" s="6" t="s">
        <v>328</v>
      </c>
      <c r="C165" s="6" t="s">
        <v>119</v>
      </c>
      <c r="D165" s="6" t="s">
        <v>865</v>
      </c>
      <c r="E165" s="6" t="s">
        <v>866</v>
      </c>
      <c r="F165" s="6" t="s">
        <v>854</v>
      </c>
      <c r="G165" s="6" t="s">
        <v>77</v>
      </c>
      <c r="H165" s="6" t="s">
        <v>867</v>
      </c>
      <c r="I165" s="6" t="s">
        <v>213</v>
      </c>
      <c r="J165" s="6" t="s">
        <v>46</v>
      </c>
      <c r="K165" s="6" t="s">
        <v>123</v>
      </c>
      <c r="L165" s="6" t="s">
        <v>124</v>
      </c>
      <c r="M165" s="6">
        <v>7</v>
      </c>
      <c r="N165" s="6">
        <v>60</v>
      </c>
      <c r="O165" s="6">
        <v>0</v>
      </c>
      <c r="P165" s="6">
        <v>420</v>
      </c>
      <c r="Q165" s="6">
        <v>2</v>
      </c>
      <c r="R165" s="6" t="s">
        <v>89</v>
      </c>
      <c r="S165" s="6" t="s">
        <v>152</v>
      </c>
      <c r="T165" s="6" t="s">
        <v>333</v>
      </c>
      <c r="U165" s="7" t="s">
        <v>868</v>
      </c>
      <c r="V165" s="6" t="s">
        <v>39</v>
      </c>
      <c r="W165" t="str">
        <f t="shared" si="2"/>
        <v>Blacklisted</v>
      </c>
    </row>
    <row r="166" spans="1:23" ht="14.25" customHeight="1">
      <c r="A166" s="3" t="s">
        <v>869</v>
      </c>
      <c r="B166" s="3" t="s">
        <v>169</v>
      </c>
      <c r="C166" s="3" t="s">
        <v>25</v>
      </c>
      <c r="D166" s="3" t="s">
        <v>206</v>
      </c>
      <c r="E166" s="3" t="s">
        <v>514</v>
      </c>
      <c r="F166" s="3" t="s">
        <v>362</v>
      </c>
      <c r="G166" s="3" t="s">
        <v>29</v>
      </c>
      <c r="H166" s="3" t="s">
        <v>870</v>
      </c>
      <c r="I166" s="3" t="s">
        <v>115</v>
      </c>
      <c r="J166" s="3" t="s">
        <v>107</v>
      </c>
      <c r="K166" s="3" t="s">
        <v>33</v>
      </c>
      <c r="L166" s="3" t="s">
        <v>34</v>
      </c>
      <c r="M166" s="3">
        <v>14</v>
      </c>
      <c r="N166" s="3">
        <v>2200</v>
      </c>
      <c r="O166" s="3">
        <v>0</v>
      </c>
      <c r="P166" s="3">
        <v>30800</v>
      </c>
      <c r="Q166" s="3">
        <v>2</v>
      </c>
      <c r="R166" s="3" t="s">
        <v>89</v>
      </c>
      <c r="S166" s="3" t="s">
        <v>36</v>
      </c>
      <c r="T166" s="3" t="s">
        <v>176</v>
      </c>
      <c r="U166" s="5" t="s">
        <v>871</v>
      </c>
      <c r="V166" s="3" t="s">
        <v>70</v>
      </c>
      <c r="W166" t="str">
        <f t="shared" si="2"/>
        <v>Blacklisted</v>
      </c>
    </row>
    <row r="167" spans="1:23" ht="14.25" customHeight="1">
      <c r="A167" s="6" t="s">
        <v>872</v>
      </c>
      <c r="B167" s="6" t="s">
        <v>169</v>
      </c>
      <c r="C167" s="6" t="s">
        <v>93</v>
      </c>
      <c r="D167" s="6" t="s">
        <v>873</v>
      </c>
      <c r="E167" s="6" t="s">
        <v>489</v>
      </c>
      <c r="F167" s="6" t="s">
        <v>362</v>
      </c>
      <c r="G167" s="6" t="s">
        <v>29</v>
      </c>
      <c r="H167" s="6" t="s">
        <v>874</v>
      </c>
      <c r="I167" s="6" t="s">
        <v>139</v>
      </c>
      <c r="J167" s="6" t="s">
        <v>107</v>
      </c>
      <c r="K167" s="6" t="s">
        <v>33</v>
      </c>
      <c r="L167" s="6" t="s">
        <v>98</v>
      </c>
      <c r="M167" s="6">
        <v>15</v>
      </c>
      <c r="N167" s="6">
        <v>3500</v>
      </c>
      <c r="O167" s="6">
        <v>15</v>
      </c>
      <c r="P167" s="6">
        <v>44625</v>
      </c>
      <c r="Q167" s="6">
        <v>2</v>
      </c>
      <c r="R167" s="6" t="s">
        <v>89</v>
      </c>
      <c r="S167" s="6" t="s">
        <v>62</v>
      </c>
      <c r="T167" s="6" t="s">
        <v>176</v>
      </c>
      <c r="U167" s="7" t="s">
        <v>875</v>
      </c>
      <c r="V167" s="6" t="s">
        <v>65</v>
      </c>
      <c r="W167" t="str">
        <f t="shared" si="2"/>
        <v>Blacklisted</v>
      </c>
    </row>
    <row r="168" spans="1:23" ht="14.25" customHeight="1">
      <c r="A168" s="3" t="s">
        <v>876</v>
      </c>
      <c r="B168" s="3" t="s">
        <v>128</v>
      </c>
      <c r="C168" s="3" t="s">
        <v>93</v>
      </c>
      <c r="D168" s="3" t="s">
        <v>877</v>
      </c>
      <c r="E168" s="3" t="s">
        <v>878</v>
      </c>
      <c r="F168" s="3" t="s">
        <v>201</v>
      </c>
      <c r="G168" s="3" t="s">
        <v>77</v>
      </c>
      <c r="H168" s="3" t="s">
        <v>879</v>
      </c>
      <c r="I168" s="3" t="s">
        <v>295</v>
      </c>
      <c r="J168" s="3" t="s">
        <v>296</v>
      </c>
      <c r="K168" s="3" t="s">
        <v>33</v>
      </c>
      <c r="L168" s="3" t="s">
        <v>98</v>
      </c>
      <c r="M168" s="3">
        <v>19</v>
      </c>
      <c r="N168" s="3">
        <v>3500</v>
      </c>
      <c r="O168" s="3">
        <v>5</v>
      </c>
      <c r="P168" s="3">
        <v>63175</v>
      </c>
      <c r="Q168" s="3">
        <v>2</v>
      </c>
      <c r="R168" s="3" t="s">
        <v>35</v>
      </c>
      <c r="S168" s="3" t="s">
        <v>116</v>
      </c>
      <c r="T168" s="3" t="s">
        <v>133</v>
      </c>
      <c r="U168" s="5" t="s">
        <v>880</v>
      </c>
      <c r="V168" s="3" t="s">
        <v>70</v>
      </c>
      <c r="W168" t="str">
        <f t="shared" si="2"/>
        <v>Blacklisted</v>
      </c>
    </row>
    <row r="169" spans="1:23" ht="14.25" customHeight="1">
      <c r="A169" s="6" t="s">
        <v>881</v>
      </c>
      <c r="B169" s="6" t="s">
        <v>328</v>
      </c>
      <c r="C169" s="6" t="s">
        <v>55</v>
      </c>
      <c r="D169" s="6" t="s">
        <v>882</v>
      </c>
      <c r="E169" s="6" t="s">
        <v>641</v>
      </c>
      <c r="F169" s="6" t="s">
        <v>395</v>
      </c>
      <c r="G169" s="6" t="s">
        <v>77</v>
      </c>
      <c r="H169" s="6" t="s">
        <v>883</v>
      </c>
      <c r="I169" s="6" t="s">
        <v>60</v>
      </c>
      <c r="J169" s="6" t="s">
        <v>32</v>
      </c>
      <c r="K169" s="6" t="s">
        <v>47</v>
      </c>
      <c r="L169" s="6" t="s">
        <v>61</v>
      </c>
      <c r="M169" s="6">
        <v>12</v>
      </c>
      <c r="N169" s="6">
        <v>55000</v>
      </c>
      <c r="O169" s="6">
        <v>5</v>
      </c>
      <c r="P169" s="6">
        <v>627000</v>
      </c>
      <c r="Q169" s="6">
        <v>4</v>
      </c>
      <c r="R169" s="6" t="s">
        <v>80</v>
      </c>
      <c r="S169" s="6" t="s">
        <v>62</v>
      </c>
      <c r="T169" s="6" t="s">
        <v>333</v>
      </c>
      <c r="U169" s="7" t="s">
        <v>884</v>
      </c>
      <c r="V169" s="6" t="s">
        <v>70</v>
      </c>
      <c r="W169" t="str">
        <f t="shared" si="2"/>
        <v>Blacklisted</v>
      </c>
    </row>
    <row r="170" spans="1:23" ht="14.25" customHeight="1">
      <c r="A170" s="3" t="s">
        <v>885</v>
      </c>
      <c r="B170" s="3" t="s">
        <v>54</v>
      </c>
      <c r="C170" s="3" t="s">
        <v>73</v>
      </c>
      <c r="D170" s="3" t="s">
        <v>588</v>
      </c>
      <c r="E170" s="3" t="s">
        <v>484</v>
      </c>
      <c r="F170" s="3" t="s">
        <v>164</v>
      </c>
      <c r="G170" s="3" t="s">
        <v>29</v>
      </c>
      <c r="H170" s="3" t="s">
        <v>886</v>
      </c>
      <c r="I170" s="3" t="s">
        <v>106</v>
      </c>
      <c r="J170" s="3" t="s">
        <v>107</v>
      </c>
      <c r="K170" s="3" t="s">
        <v>47</v>
      </c>
      <c r="L170" s="3" t="s">
        <v>79</v>
      </c>
      <c r="M170" s="3">
        <v>6</v>
      </c>
      <c r="N170" s="3">
        <v>1200</v>
      </c>
      <c r="O170" s="3">
        <v>10</v>
      </c>
      <c r="P170" s="3">
        <v>6480</v>
      </c>
      <c r="Q170" s="3">
        <v>5</v>
      </c>
      <c r="R170" s="3" t="s">
        <v>49</v>
      </c>
      <c r="S170" s="3" t="s">
        <v>116</v>
      </c>
      <c r="T170" s="3" t="s">
        <v>63</v>
      </c>
      <c r="U170" s="5" t="s">
        <v>887</v>
      </c>
      <c r="V170" s="3" t="s">
        <v>70</v>
      </c>
      <c r="W170" t="str">
        <f t="shared" si="2"/>
        <v>Blacklisted</v>
      </c>
    </row>
    <row r="171" spans="1:23" ht="14.25" customHeight="1">
      <c r="A171" s="6" t="s">
        <v>888</v>
      </c>
      <c r="B171" s="6" t="s">
        <v>252</v>
      </c>
      <c r="C171" s="6" t="s">
        <v>170</v>
      </c>
      <c r="D171" s="6" t="s">
        <v>129</v>
      </c>
      <c r="E171" s="6" t="s">
        <v>248</v>
      </c>
      <c r="F171" s="6" t="s">
        <v>255</v>
      </c>
      <c r="G171" s="6" t="s">
        <v>29</v>
      </c>
      <c r="H171" s="6" t="s">
        <v>889</v>
      </c>
      <c r="I171" s="6" t="s">
        <v>31</v>
      </c>
      <c r="J171" s="6" t="s">
        <v>32</v>
      </c>
      <c r="K171" s="6" t="s">
        <v>33</v>
      </c>
      <c r="L171" s="6" t="s">
        <v>175</v>
      </c>
      <c r="M171" s="6">
        <v>1</v>
      </c>
      <c r="N171" s="6">
        <v>8500</v>
      </c>
      <c r="O171" s="6">
        <v>0</v>
      </c>
      <c r="P171" s="6">
        <v>8500</v>
      </c>
      <c r="Q171" s="6">
        <v>1</v>
      </c>
      <c r="R171" s="6" t="s">
        <v>89</v>
      </c>
      <c r="S171" s="6" t="s">
        <v>152</v>
      </c>
      <c r="T171" s="6" t="s">
        <v>257</v>
      </c>
      <c r="U171" s="7" t="s">
        <v>890</v>
      </c>
      <c r="V171" s="6" t="s">
        <v>70</v>
      </c>
      <c r="W171" t="str">
        <f t="shared" si="2"/>
        <v>Blacklisted</v>
      </c>
    </row>
    <row r="172" spans="1:23" ht="14.25" customHeight="1">
      <c r="A172" s="3" t="s">
        <v>891</v>
      </c>
      <c r="B172" s="3" t="s">
        <v>128</v>
      </c>
      <c r="C172" s="3" t="s">
        <v>55</v>
      </c>
      <c r="D172" s="3" t="s">
        <v>892</v>
      </c>
      <c r="E172" s="3" t="s">
        <v>893</v>
      </c>
      <c r="F172" s="3" t="s">
        <v>201</v>
      </c>
      <c r="G172" s="3" t="s">
        <v>77</v>
      </c>
      <c r="H172" s="3" t="s">
        <v>894</v>
      </c>
      <c r="I172" s="3" t="s">
        <v>139</v>
      </c>
      <c r="J172" s="3" t="s">
        <v>107</v>
      </c>
      <c r="K172" s="3" t="s">
        <v>47</v>
      </c>
      <c r="L172" s="3" t="s">
        <v>61</v>
      </c>
      <c r="M172" s="3">
        <v>20</v>
      </c>
      <c r="N172" s="3">
        <v>55000</v>
      </c>
      <c r="O172" s="3">
        <v>10</v>
      </c>
      <c r="P172" s="3">
        <v>990000</v>
      </c>
      <c r="Q172" s="3">
        <v>5</v>
      </c>
      <c r="R172" s="3" t="s">
        <v>49</v>
      </c>
      <c r="S172" s="3" t="s">
        <v>152</v>
      </c>
      <c r="T172" s="3" t="s">
        <v>133</v>
      </c>
      <c r="U172" s="5" t="s">
        <v>895</v>
      </c>
      <c r="V172" s="3" t="s">
        <v>39</v>
      </c>
      <c r="W172" t="str">
        <f t="shared" si="2"/>
        <v>Blacklisted</v>
      </c>
    </row>
    <row r="173" spans="1:23" ht="14.25" customHeight="1">
      <c r="A173" s="6" t="s">
        <v>896</v>
      </c>
      <c r="B173" s="6" t="s">
        <v>222</v>
      </c>
      <c r="C173" s="6" t="s">
        <v>73</v>
      </c>
      <c r="D173" s="6" t="s">
        <v>662</v>
      </c>
      <c r="E173" s="6" t="s">
        <v>897</v>
      </c>
      <c r="F173" s="6" t="s">
        <v>226</v>
      </c>
      <c r="G173" s="6" t="s">
        <v>77</v>
      </c>
      <c r="H173" s="6" t="s">
        <v>898</v>
      </c>
      <c r="I173" s="6" t="s">
        <v>139</v>
      </c>
      <c r="J173" s="6" t="s">
        <v>107</v>
      </c>
      <c r="K173" s="6" t="s">
        <v>47</v>
      </c>
      <c r="L173" s="6" t="s">
        <v>79</v>
      </c>
      <c r="M173" s="6">
        <v>8</v>
      </c>
      <c r="N173" s="6">
        <v>1200</v>
      </c>
      <c r="O173" s="6">
        <v>15</v>
      </c>
      <c r="P173" s="6">
        <v>8160</v>
      </c>
      <c r="Q173" s="6">
        <v>2</v>
      </c>
      <c r="R173" s="6" t="s">
        <v>89</v>
      </c>
      <c r="S173" s="6" t="s">
        <v>116</v>
      </c>
      <c r="T173" s="6" t="s">
        <v>229</v>
      </c>
      <c r="U173" s="7" t="s">
        <v>899</v>
      </c>
      <c r="V173" s="6" t="s">
        <v>70</v>
      </c>
      <c r="W173" t="str">
        <f t="shared" si="2"/>
        <v>Blacklisted</v>
      </c>
    </row>
    <row r="174" spans="1:23" ht="14.25" customHeight="1">
      <c r="A174" s="3" t="s">
        <v>900</v>
      </c>
      <c r="B174" s="3" t="s">
        <v>24</v>
      </c>
      <c r="C174" s="3" t="s">
        <v>93</v>
      </c>
      <c r="D174" s="3" t="s">
        <v>901</v>
      </c>
      <c r="E174" s="3" t="s">
        <v>902</v>
      </c>
      <c r="F174" s="3" t="s">
        <v>28</v>
      </c>
      <c r="G174" s="3" t="s">
        <v>29</v>
      </c>
      <c r="H174" s="3" t="s">
        <v>903</v>
      </c>
      <c r="I174" s="3" t="s">
        <v>213</v>
      </c>
      <c r="J174" s="3" t="s">
        <v>46</v>
      </c>
      <c r="K174" s="3" t="s">
        <v>33</v>
      </c>
      <c r="L174" s="3" t="s">
        <v>98</v>
      </c>
      <c r="M174" s="3">
        <v>19</v>
      </c>
      <c r="N174" s="3">
        <v>3500</v>
      </c>
      <c r="O174" s="3">
        <v>5</v>
      </c>
      <c r="P174" s="3">
        <v>63175</v>
      </c>
      <c r="Q174" s="3">
        <v>4</v>
      </c>
      <c r="R174" s="3" t="s">
        <v>89</v>
      </c>
      <c r="S174" s="3" t="s">
        <v>50</v>
      </c>
      <c r="T174" s="3" t="s">
        <v>51</v>
      </c>
      <c r="U174" s="5" t="s">
        <v>904</v>
      </c>
      <c r="V174" s="3" t="s">
        <v>65</v>
      </c>
      <c r="W174" t="str">
        <f t="shared" si="2"/>
        <v>Blacklisted</v>
      </c>
    </row>
    <row r="175" spans="1:23" ht="14.25" customHeight="1">
      <c r="A175" s="6" t="s">
        <v>905</v>
      </c>
      <c r="B175" s="6" t="s">
        <v>222</v>
      </c>
      <c r="C175" s="6" t="s">
        <v>260</v>
      </c>
      <c r="D175" s="6" t="s">
        <v>42</v>
      </c>
      <c r="E175" s="6" t="s">
        <v>607</v>
      </c>
      <c r="F175" s="6" t="s">
        <v>906</v>
      </c>
      <c r="G175" s="6" t="s">
        <v>77</v>
      </c>
      <c r="H175" s="6" t="s">
        <v>907</v>
      </c>
      <c r="I175" s="6" t="s">
        <v>213</v>
      </c>
      <c r="J175" s="6" t="s">
        <v>46</v>
      </c>
      <c r="K175" s="6" t="s">
        <v>123</v>
      </c>
      <c r="L175" s="6" t="s">
        <v>264</v>
      </c>
      <c r="M175" s="6">
        <v>6</v>
      </c>
      <c r="N175" s="6">
        <v>45</v>
      </c>
      <c r="O175" s="6">
        <v>20</v>
      </c>
      <c r="P175" s="6">
        <v>216</v>
      </c>
      <c r="Q175" s="6">
        <v>1</v>
      </c>
      <c r="R175" s="6" t="s">
        <v>80</v>
      </c>
      <c r="S175" s="6" t="s">
        <v>50</v>
      </c>
      <c r="T175" s="6" t="s">
        <v>908</v>
      </c>
      <c r="U175" s="7" t="s">
        <v>909</v>
      </c>
      <c r="V175" s="6" t="s">
        <v>65</v>
      </c>
      <c r="W175" t="str">
        <f t="shared" si="2"/>
        <v>Blacklisted</v>
      </c>
    </row>
    <row r="176" spans="1:23" ht="14.25" customHeight="1">
      <c r="A176" s="3" t="s">
        <v>910</v>
      </c>
      <c r="B176" s="3" t="s">
        <v>252</v>
      </c>
      <c r="C176" s="3" t="s">
        <v>260</v>
      </c>
      <c r="D176" s="3" t="s">
        <v>911</v>
      </c>
      <c r="E176" s="3" t="s">
        <v>120</v>
      </c>
      <c r="F176" s="3" t="s">
        <v>255</v>
      </c>
      <c r="G176" s="3" t="s">
        <v>29</v>
      </c>
      <c r="H176" s="3" t="s">
        <v>912</v>
      </c>
      <c r="I176" s="3" t="s">
        <v>115</v>
      </c>
      <c r="J176" s="3" t="s">
        <v>107</v>
      </c>
      <c r="K176" s="3" t="s">
        <v>123</v>
      </c>
      <c r="L176" s="3" t="s">
        <v>264</v>
      </c>
      <c r="M176" s="3">
        <v>17</v>
      </c>
      <c r="N176" s="3">
        <v>45</v>
      </c>
      <c r="O176" s="3">
        <v>15</v>
      </c>
      <c r="P176" s="3">
        <v>650.25</v>
      </c>
      <c r="Q176" s="3">
        <v>5</v>
      </c>
      <c r="R176" s="3" t="s">
        <v>35</v>
      </c>
      <c r="S176" s="3" t="s">
        <v>116</v>
      </c>
      <c r="T176" s="3" t="s">
        <v>257</v>
      </c>
      <c r="U176" s="5" t="s">
        <v>913</v>
      </c>
      <c r="V176" s="3" t="s">
        <v>65</v>
      </c>
      <c r="W176" t="str">
        <f t="shared" si="2"/>
        <v>Blacklisted</v>
      </c>
    </row>
    <row r="177" spans="1:23" ht="14.25" customHeight="1">
      <c r="A177" s="6" t="s">
        <v>914</v>
      </c>
      <c r="B177" s="6" t="s">
        <v>24</v>
      </c>
      <c r="C177" s="6" t="s">
        <v>223</v>
      </c>
      <c r="D177" s="6" t="s">
        <v>277</v>
      </c>
      <c r="E177" s="6" t="s">
        <v>915</v>
      </c>
      <c r="F177" s="6" t="s">
        <v>28</v>
      </c>
      <c r="G177" s="6" t="s">
        <v>29</v>
      </c>
      <c r="H177" s="6" t="s">
        <v>916</v>
      </c>
      <c r="I177" s="6" t="s">
        <v>115</v>
      </c>
      <c r="J177" s="6" t="s">
        <v>107</v>
      </c>
      <c r="K177" s="6" t="s">
        <v>123</v>
      </c>
      <c r="L177" s="6" t="s">
        <v>228</v>
      </c>
      <c r="M177" s="6">
        <v>19</v>
      </c>
      <c r="N177" s="6">
        <v>20</v>
      </c>
      <c r="O177" s="6">
        <v>5</v>
      </c>
      <c r="P177" s="6">
        <v>361</v>
      </c>
      <c r="Q177" s="6">
        <v>4</v>
      </c>
      <c r="R177" s="6" t="s">
        <v>35</v>
      </c>
      <c r="S177" s="6" t="s">
        <v>36</v>
      </c>
      <c r="T177" s="6" t="s">
        <v>51</v>
      </c>
      <c r="U177" s="7" t="s">
        <v>917</v>
      </c>
      <c r="V177" s="6" t="s">
        <v>65</v>
      </c>
      <c r="W177" t="str">
        <f t="shared" si="2"/>
        <v>Blacklisted</v>
      </c>
    </row>
    <row r="178" spans="1:23" ht="14.25" customHeight="1">
      <c r="A178" s="3" t="s">
        <v>918</v>
      </c>
      <c r="B178" s="3" t="s">
        <v>252</v>
      </c>
      <c r="C178" s="3" t="s">
        <v>223</v>
      </c>
      <c r="D178" s="3" t="s">
        <v>919</v>
      </c>
      <c r="E178" s="3" t="s">
        <v>353</v>
      </c>
      <c r="F178" s="3" t="s">
        <v>920</v>
      </c>
      <c r="G178" s="3" t="s">
        <v>29</v>
      </c>
      <c r="H178" s="3" t="s">
        <v>921</v>
      </c>
      <c r="I178" s="3" t="s">
        <v>139</v>
      </c>
      <c r="J178" s="3" t="s">
        <v>107</v>
      </c>
      <c r="K178" s="3" t="s">
        <v>123</v>
      </c>
      <c r="L178" s="3" t="s">
        <v>228</v>
      </c>
      <c r="M178" s="3">
        <v>11</v>
      </c>
      <c r="N178" s="3">
        <v>20</v>
      </c>
      <c r="O178" s="3">
        <v>0</v>
      </c>
      <c r="P178" s="3">
        <v>220</v>
      </c>
      <c r="Q178" s="3">
        <v>3</v>
      </c>
      <c r="R178" s="3" t="s">
        <v>49</v>
      </c>
      <c r="S178" s="3" t="s">
        <v>50</v>
      </c>
      <c r="T178" s="3" t="s">
        <v>257</v>
      </c>
      <c r="U178" s="5" t="s">
        <v>922</v>
      </c>
      <c r="V178" s="3" t="s">
        <v>39</v>
      </c>
      <c r="W178" t="str">
        <f t="shared" si="2"/>
        <v>Silver</v>
      </c>
    </row>
    <row r="179" spans="1:23" ht="14.25" customHeight="1">
      <c r="A179" s="6" t="s">
        <v>923</v>
      </c>
      <c r="B179" s="6" t="s">
        <v>169</v>
      </c>
      <c r="C179" s="6" t="s">
        <v>119</v>
      </c>
      <c r="D179" s="6" t="s">
        <v>324</v>
      </c>
      <c r="E179" s="6" t="s">
        <v>924</v>
      </c>
      <c r="F179" s="6" t="s">
        <v>362</v>
      </c>
      <c r="G179" s="6" t="s">
        <v>29</v>
      </c>
      <c r="H179" s="6" t="s">
        <v>925</v>
      </c>
      <c r="I179" s="6" t="s">
        <v>45</v>
      </c>
      <c r="J179" s="6" t="s">
        <v>46</v>
      </c>
      <c r="K179" s="6" t="s">
        <v>123</v>
      </c>
      <c r="L179" s="6" t="s">
        <v>124</v>
      </c>
      <c r="M179" s="6">
        <v>12</v>
      </c>
      <c r="N179" s="6">
        <v>60</v>
      </c>
      <c r="O179" s="6">
        <v>0</v>
      </c>
      <c r="P179" s="6">
        <v>720</v>
      </c>
      <c r="Q179" s="6">
        <v>2</v>
      </c>
      <c r="R179" s="6" t="s">
        <v>49</v>
      </c>
      <c r="S179" s="6" t="s">
        <v>50</v>
      </c>
      <c r="T179" s="6" t="s">
        <v>176</v>
      </c>
      <c r="U179" s="7" t="s">
        <v>926</v>
      </c>
      <c r="V179" s="6" t="s">
        <v>39</v>
      </c>
      <c r="W179" t="str">
        <f t="shared" si="2"/>
        <v>Blacklisted</v>
      </c>
    </row>
    <row r="180" spans="1:23" ht="14.25" customHeight="1">
      <c r="A180" s="3" t="s">
        <v>927</v>
      </c>
      <c r="B180" s="3" t="s">
        <v>222</v>
      </c>
      <c r="C180" s="3" t="s">
        <v>260</v>
      </c>
      <c r="D180" s="3" t="s">
        <v>928</v>
      </c>
      <c r="E180" s="3" t="s">
        <v>866</v>
      </c>
      <c r="F180" s="3" t="s">
        <v>929</v>
      </c>
      <c r="G180" s="3" t="s">
        <v>77</v>
      </c>
      <c r="H180" s="3" t="s">
        <v>930</v>
      </c>
      <c r="I180" s="3" t="s">
        <v>295</v>
      </c>
      <c r="J180" s="3" t="s">
        <v>296</v>
      </c>
      <c r="K180" s="3" t="s">
        <v>123</v>
      </c>
      <c r="L180" s="3" t="s">
        <v>264</v>
      </c>
      <c r="M180" s="3">
        <v>14</v>
      </c>
      <c r="N180" s="3">
        <v>45</v>
      </c>
      <c r="O180" s="3">
        <v>15</v>
      </c>
      <c r="P180" s="3">
        <v>535.5</v>
      </c>
      <c r="Q180" s="3">
        <v>5</v>
      </c>
      <c r="R180" s="3" t="s">
        <v>89</v>
      </c>
      <c r="S180" s="3" t="s">
        <v>116</v>
      </c>
      <c r="T180" s="3" t="s">
        <v>229</v>
      </c>
      <c r="U180" s="5" t="s">
        <v>931</v>
      </c>
      <c r="V180" s="3" t="s">
        <v>65</v>
      </c>
      <c r="W180" t="str">
        <f t="shared" si="2"/>
        <v>Blacklisted</v>
      </c>
    </row>
    <row r="181" spans="1:23" ht="14.25" customHeight="1">
      <c r="A181" s="6" t="s">
        <v>932</v>
      </c>
      <c r="B181" s="6" t="s">
        <v>24</v>
      </c>
      <c r="C181" s="6" t="s">
        <v>185</v>
      </c>
      <c r="D181" s="6" t="s">
        <v>933</v>
      </c>
      <c r="E181" s="6" t="s">
        <v>304</v>
      </c>
      <c r="F181" s="6" t="s">
        <v>28</v>
      </c>
      <c r="G181" s="6" t="s">
        <v>29</v>
      </c>
      <c r="H181" s="6" t="s">
        <v>934</v>
      </c>
      <c r="I181" s="6" t="s">
        <v>31</v>
      </c>
      <c r="J181" s="6" t="s">
        <v>32</v>
      </c>
      <c r="K181" s="6" t="s">
        <v>47</v>
      </c>
      <c r="L181" s="6" t="s">
        <v>190</v>
      </c>
      <c r="M181" s="6">
        <v>15</v>
      </c>
      <c r="N181" s="6">
        <v>700</v>
      </c>
      <c r="O181" s="6">
        <v>10</v>
      </c>
      <c r="P181" s="6">
        <v>9450</v>
      </c>
      <c r="Q181" s="6">
        <v>3</v>
      </c>
      <c r="R181" s="6" t="s">
        <v>49</v>
      </c>
      <c r="S181" s="6" t="s">
        <v>50</v>
      </c>
      <c r="T181" s="6" t="s">
        <v>51</v>
      </c>
      <c r="U181" s="7" t="s">
        <v>935</v>
      </c>
      <c r="V181" s="6" t="s">
        <v>65</v>
      </c>
      <c r="W181" t="str">
        <f t="shared" si="2"/>
        <v>Blacklisted</v>
      </c>
    </row>
    <row r="182" spans="1:23" ht="14.25" customHeight="1">
      <c r="A182" s="3" t="s">
        <v>936</v>
      </c>
      <c r="B182" s="3" t="s">
        <v>101</v>
      </c>
      <c r="C182" s="3" t="s">
        <v>170</v>
      </c>
      <c r="D182" s="3" t="s">
        <v>937</v>
      </c>
      <c r="E182" s="3" t="s">
        <v>684</v>
      </c>
      <c r="F182" s="3" t="s">
        <v>104</v>
      </c>
      <c r="G182" s="3" t="s">
        <v>29</v>
      </c>
      <c r="H182" s="3" t="s">
        <v>938</v>
      </c>
      <c r="I182" s="3" t="s">
        <v>139</v>
      </c>
      <c r="J182" s="3" t="s">
        <v>107</v>
      </c>
      <c r="K182" s="3" t="s">
        <v>33</v>
      </c>
      <c r="L182" s="3" t="s">
        <v>175</v>
      </c>
      <c r="M182" s="3">
        <v>19</v>
      </c>
      <c r="N182" s="3">
        <v>8500</v>
      </c>
      <c r="O182" s="3">
        <v>15</v>
      </c>
      <c r="P182" s="3">
        <v>137275</v>
      </c>
      <c r="Q182" s="3">
        <v>2</v>
      </c>
      <c r="R182" s="3" t="s">
        <v>35</v>
      </c>
      <c r="S182" s="3" t="s">
        <v>36</v>
      </c>
      <c r="T182" s="3" t="s">
        <v>145</v>
      </c>
      <c r="U182" s="5" t="s">
        <v>939</v>
      </c>
      <c r="V182" s="3" t="s">
        <v>70</v>
      </c>
      <c r="W182" t="str">
        <f t="shared" si="2"/>
        <v>Blacklisted</v>
      </c>
    </row>
    <row r="183" spans="1:23" ht="14.25" customHeight="1">
      <c r="A183" s="6" t="s">
        <v>940</v>
      </c>
      <c r="B183" s="6" t="s">
        <v>252</v>
      </c>
      <c r="C183" s="6" t="s">
        <v>119</v>
      </c>
      <c r="D183" s="6" t="s">
        <v>941</v>
      </c>
      <c r="E183" s="6" t="s">
        <v>942</v>
      </c>
      <c r="F183" s="6" t="s">
        <v>255</v>
      </c>
      <c r="G183" s="6" t="s">
        <v>29</v>
      </c>
      <c r="H183" s="6" t="s">
        <v>912</v>
      </c>
      <c r="I183" s="6" t="s">
        <v>213</v>
      </c>
      <c r="J183" s="6" t="s">
        <v>46</v>
      </c>
      <c r="K183" s="6" t="s">
        <v>123</v>
      </c>
      <c r="L183" s="6" t="s">
        <v>124</v>
      </c>
      <c r="M183" s="6">
        <v>19</v>
      </c>
      <c r="N183" s="6">
        <v>60</v>
      </c>
      <c r="O183" s="6">
        <v>20</v>
      </c>
      <c r="P183" s="6">
        <v>912</v>
      </c>
      <c r="Q183" s="6">
        <v>4</v>
      </c>
      <c r="R183" s="6" t="s">
        <v>80</v>
      </c>
      <c r="S183" s="6" t="s">
        <v>50</v>
      </c>
      <c r="T183" s="6" t="s">
        <v>257</v>
      </c>
      <c r="U183" s="7" t="s">
        <v>943</v>
      </c>
      <c r="V183" s="6" t="s">
        <v>65</v>
      </c>
      <c r="W183" t="str">
        <f t="shared" si="2"/>
        <v>Blacklisted</v>
      </c>
    </row>
    <row r="184" spans="1:23" ht="14.25" customHeight="1">
      <c r="A184" s="3" t="s">
        <v>944</v>
      </c>
      <c r="B184" s="3" t="s">
        <v>101</v>
      </c>
      <c r="C184" s="3" t="s">
        <v>260</v>
      </c>
      <c r="D184" s="3" t="s">
        <v>945</v>
      </c>
      <c r="E184" s="3" t="s">
        <v>937</v>
      </c>
      <c r="F184" s="3" t="s">
        <v>104</v>
      </c>
      <c r="G184" s="3" t="s">
        <v>29</v>
      </c>
      <c r="H184" s="3" t="s">
        <v>946</v>
      </c>
      <c r="I184" s="3" t="s">
        <v>60</v>
      </c>
      <c r="J184" s="3" t="s">
        <v>32</v>
      </c>
      <c r="K184" s="3" t="s">
        <v>123</v>
      </c>
      <c r="L184" s="3" t="s">
        <v>264</v>
      </c>
      <c r="M184" s="3">
        <v>10</v>
      </c>
      <c r="N184" s="3">
        <v>45</v>
      </c>
      <c r="O184" s="3">
        <v>15</v>
      </c>
      <c r="P184" s="3">
        <v>382.5</v>
      </c>
      <c r="Q184" s="3">
        <v>4</v>
      </c>
      <c r="R184" s="3" t="s">
        <v>35</v>
      </c>
      <c r="S184" s="3" t="s">
        <v>152</v>
      </c>
      <c r="T184" s="3" t="s">
        <v>145</v>
      </c>
      <c r="U184" s="5" t="s">
        <v>947</v>
      </c>
      <c r="V184" s="3" t="s">
        <v>39</v>
      </c>
      <c r="W184" t="str">
        <f t="shared" si="2"/>
        <v>Silver</v>
      </c>
    </row>
    <row r="185" spans="1:23" ht="14.25" customHeight="1">
      <c r="A185" s="6" t="s">
        <v>948</v>
      </c>
      <c r="B185" s="6" t="s">
        <v>72</v>
      </c>
      <c r="C185" s="6" t="s">
        <v>25</v>
      </c>
      <c r="D185" s="6" t="s">
        <v>949</v>
      </c>
      <c r="E185" s="6" t="s">
        <v>950</v>
      </c>
      <c r="F185" s="6" t="s">
        <v>218</v>
      </c>
      <c r="G185" s="6" t="s">
        <v>77</v>
      </c>
      <c r="H185" s="6" t="s">
        <v>951</v>
      </c>
      <c r="I185" s="6" t="s">
        <v>45</v>
      </c>
      <c r="J185" s="6" t="s">
        <v>46</v>
      </c>
      <c r="K185" s="6" t="s">
        <v>33</v>
      </c>
      <c r="L185" s="6" t="s">
        <v>34</v>
      </c>
      <c r="M185" s="6">
        <v>7</v>
      </c>
      <c r="N185" s="6">
        <v>2200</v>
      </c>
      <c r="O185" s="6">
        <v>20</v>
      </c>
      <c r="P185" s="6">
        <v>12320</v>
      </c>
      <c r="Q185" s="6">
        <v>5</v>
      </c>
      <c r="R185" s="6" t="s">
        <v>89</v>
      </c>
      <c r="S185" s="6" t="s">
        <v>50</v>
      </c>
      <c r="T185" s="6" t="s">
        <v>81</v>
      </c>
      <c r="U185" s="7" t="s">
        <v>952</v>
      </c>
      <c r="V185" s="6" t="s">
        <v>65</v>
      </c>
      <c r="W185" t="str">
        <f t="shared" si="2"/>
        <v>Blacklisted</v>
      </c>
    </row>
    <row r="186" spans="1:23" ht="14.25" customHeight="1">
      <c r="A186" s="3" t="s">
        <v>953</v>
      </c>
      <c r="B186" s="3" t="s">
        <v>101</v>
      </c>
      <c r="C186" s="3" t="s">
        <v>170</v>
      </c>
      <c r="D186" s="3" t="s">
        <v>954</v>
      </c>
      <c r="E186" s="3" t="s">
        <v>43</v>
      </c>
      <c r="F186" s="3" t="s">
        <v>104</v>
      </c>
      <c r="G186" s="3" t="s">
        <v>29</v>
      </c>
      <c r="H186" s="3" t="s">
        <v>955</v>
      </c>
      <c r="I186" s="3" t="s">
        <v>295</v>
      </c>
      <c r="J186" s="3" t="s">
        <v>296</v>
      </c>
      <c r="K186" s="3" t="s">
        <v>33</v>
      </c>
      <c r="L186" s="3" t="s">
        <v>175</v>
      </c>
      <c r="M186" s="3">
        <v>20</v>
      </c>
      <c r="N186" s="3">
        <v>8500</v>
      </c>
      <c r="O186" s="3">
        <v>20</v>
      </c>
      <c r="P186" s="3">
        <v>136000</v>
      </c>
      <c r="Q186" s="3">
        <v>4</v>
      </c>
      <c r="R186" s="3" t="s">
        <v>49</v>
      </c>
      <c r="S186" s="3" t="s">
        <v>36</v>
      </c>
      <c r="T186" s="3" t="s">
        <v>145</v>
      </c>
      <c r="U186" s="5" t="s">
        <v>956</v>
      </c>
      <c r="V186" s="3" t="s">
        <v>39</v>
      </c>
      <c r="W186" t="str">
        <f t="shared" si="2"/>
        <v>Blacklisted</v>
      </c>
    </row>
    <row r="187" spans="1:23" ht="14.25" customHeight="1">
      <c r="A187" s="6" t="s">
        <v>957</v>
      </c>
      <c r="B187" s="6" t="s">
        <v>252</v>
      </c>
      <c r="C187" s="6" t="s">
        <v>25</v>
      </c>
      <c r="D187" s="6" t="s">
        <v>771</v>
      </c>
      <c r="E187" s="6" t="s">
        <v>958</v>
      </c>
      <c r="F187" s="6" t="s">
        <v>255</v>
      </c>
      <c r="G187" s="6" t="s">
        <v>29</v>
      </c>
      <c r="H187" s="6" t="s">
        <v>959</v>
      </c>
      <c r="I187" s="6" t="s">
        <v>31</v>
      </c>
      <c r="J187" s="6" t="s">
        <v>32</v>
      </c>
      <c r="K187" s="6" t="s">
        <v>33</v>
      </c>
      <c r="L187" s="6" t="s">
        <v>34</v>
      </c>
      <c r="M187" s="6">
        <v>10</v>
      </c>
      <c r="N187" s="6">
        <v>2200</v>
      </c>
      <c r="O187" s="6">
        <v>5</v>
      </c>
      <c r="P187" s="6">
        <v>20900</v>
      </c>
      <c r="Q187" s="6">
        <v>2</v>
      </c>
      <c r="R187" s="6" t="s">
        <v>49</v>
      </c>
      <c r="S187" s="6" t="s">
        <v>50</v>
      </c>
      <c r="T187" s="6" t="s">
        <v>257</v>
      </c>
      <c r="U187" s="7" t="s">
        <v>960</v>
      </c>
      <c r="V187" s="6" t="s">
        <v>39</v>
      </c>
      <c r="W187" t="str">
        <f t="shared" si="2"/>
        <v>Blacklisted</v>
      </c>
    </row>
    <row r="188" spans="1:23" ht="14.25" customHeight="1">
      <c r="A188" s="3" t="s">
        <v>961</v>
      </c>
      <c r="B188" s="3" t="s">
        <v>128</v>
      </c>
      <c r="C188" s="3" t="s">
        <v>119</v>
      </c>
      <c r="D188" s="3" t="s">
        <v>693</v>
      </c>
      <c r="E188" s="3" t="s">
        <v>962</v>
      </c>
      <c r="F188" s="3" t="s">
        <v>201</v>
      </c>
      <c r="G188" s="3" t="s">
        <v>77</v>
      </c>
      <c r="H188" s="3" t="s">
        <v>963</v>
      </c>
      <c r="I188" s="3" t="s">
        <v>115</v>
      </c>
      <c r="J188" s="3" t="s">
        <v>107</v>
      </c>
      <c r="K188" s="3" t="s">
        <v>123</v>
      </c>
      <c r="L188" s="3" t="s">
        <v>124</v>
      </c>
      <c r="M188" s="3">
        <v>15</v>
      </c>
      <c r="N188" s="3">
        <v>60</v>
      </c>
      <c r="O188" s="3">
        <v>20</v>
      </c>
      <c r="P188" s="3">
        <v>720</v>
      </c>
      <c r="Q188" s="3">
        <v>1</v>
      </c>
      <c r="R188" s="3" t="s">
        <v>80</v>
      </c>
      <c r="S188" s="3" t="s">
        <v>36</v>
      </c>
      <c r="T188" s="3" t="s">
        <v>133</v>
      </c>
      <c r="U188" s="5" t="s">
        <v>964</v>
      </c>
      <c r="V188" s="3" t="s">
        <v>39</v>
      </c>
      <c r="W188" t="str">
        <f t="shared" si="2"/>
        <v>Blacklisted</v>
      </c>
    </row>
    <row r="189" spans="1:23" ht="14.25" customHeight="1">
      <c r="A189" s="6" t="s">
        <v>965</v>
      </c>
      <c r="B189" s="6" t="s">
        <v>222</v>
      </c>
      <c r="C189" s="6" t="s">
        <v>93</v>
      </c>
      <c r="D189" s="6" t="s">
        <v>232</v>
      </c>
      <c r="E189" s="6" t="s">
        <v>966</v>
      </c>
      <c r="F189" s="6" t="s">
        <v>226</v>
      </c>
      <c r="G189" s="6" t="s">
        <v>77</v>
      </c>
      <c r="H189" s="6" t="s">
        <v>967</v>
      </c>
      <c r="I189" s="6" t="s">
        <v>31</v>
      </c>
      <c r="J189" s="6" t="s">
        <v>32</v>
      </c>
      <c r="K189" s="6" t="s">
        <v>33</v>
      </c>
      <c r="L189" s="6" t="s">
        <v>98</v>
      </c>
      <c r="M189" s="6">
        <v>18</v>
      </c>
      <c r="N189" s="6">
        <v>3500</v>
      </c>
      <c r="O189" s="6">
        <v>5</v>
      </c>
      <c r="P189" s="6">
        <v>59850</v>
      </c>
      <c r="Q189" s="6">
        <v>1</v>
      </c>
      <c r="R189" s="6" t="s">
        <v>80</v>
      </c>
      <c r="S189" s="6" t="s">
        <v>50</v>
      </c>
      <c r="T189" s="6" t="s">
        <v>229</v>
      </c>
      <c r="U189" s="7" t="s">
        <v>968</v>
      </c>
      <c r="V189" s="6" t="s">
        <v>70</v>
      </c>
      <c r="W189" t="str">
        <f t="shared" si="2"/>
        <v>Blacklisted</v>
      </c>
    </row>
    <row r="190" spans="1:23" ht="14.25" customHeight="1">
      <c r="A190" s="3" t="s">
        <v>969</v>
      </c>
      <c r="B190" s="3" t="s">
        <v>328</v>
      </c>
      <c r="C190" s="3" t="s">
        <v>41</v>
      </c>
      <c r="D190" s="3" t="s">
        <v>970</v>
      </c>
      <c r="E190" s="3" t="s">
        <v>971</v>
      </c>
      <c r="F190" s="3" t="s">
        <v>395</v>
      </c>
      <c r="G190" s="3" t="s">
        <v>77</v>
      </c>
      <c r="H190" s="3" t="s">
        <v>972</v>
      </c>
      <c r="I190" s="3" t="s">
        <v>115</v>
      </c>
      <c r="J190" s="3" t="s">
        <v>107</v>
      </c>
      <c r="K190" s="3" t="s">
        <v>47</v>
      </c>
      <c r="L190" s="3" t="s">
        <v>48</v>
      </c>
      <c r="M190" s="3">
        <v>6</v>
      </c>
      <c r="N190" s="3">
        <v>12000</v>
      </c>
      <c r="O190" s="3">
        <v>5</v>
      </c>
      <c r="P190" s="3">
        <v>68400</v>
      </c>
      <c r="Q190" s="3">
        <v>1</v>
      </c>
      <c r="R190" s="3" t="s">
        <v>49</v>
      </c>
      <c r="S190" s="3" t="s">
        <v>50</v>
      </c>
      <c r="T190" s="3" t="s">
        <v>333</v>
      </c>
      <c r="U190" s="5" t="s">
        <v>973</v>
      </c>
      <c r="V190" s="3" t="s">
        <v>70</v>
      </c>
      <c r="W190" t="str">
        <f t="shared" si="2"/>
        <v>Blacklisted</v>
      </c>
    </row>
    <row r="191" spans="1:23" ht="14.25" customHeight="1">
      <c r="A191" s="6" t="s">
        <v>974</v>
      </c>
      <c r="B191" s="6" t="s">
        <v>328</v>
      </c>
      <c r="C191" s="6" t="s">
        <v>223</v>
      </c>
      <c r="D191" s="6" t="s">
        <v>324</v>
      </c>
      <c r="E191" s="6" t="s">
        <v>480</v>
      </c>
      <c r="F191" s="6" t="s">
        <v>395</v>
      </c>
      <c r="G191" s="6" t="s">
        <v>77</v>
      </c>
      <c r="H191" s="6" t="s">
        <v>975</v>
      </c>
      <c r="I191" s="6" t="s">
        <v>60</v>
      </c>
      <c r="J191" s="6" t="s">
        <v>32</v>
      </c>
      <c r="K191" s="6" t="s">
        <v>123</v>
      </c>
      <c r="L191" s="6" t="s">
        <v>228</v>
      </c>
      <c r="M191" s="6">
        <v>19</v>
      </c>
      <c r="N191" s="6">
        <v>20</v>
      </c>
      <c r="O191" s="6">
        <v>10</v>
      </c>
      <c r="P191" s="6">
        <v>342</v>
      </c>
      <c r="Q191" s="6">
        <v>2</v>
      </c>
      <c r="R191" s="6" t="s">
        <v>49</v>
      </c>
      <c r="S191" s="6" t="s">
        <v>36</v>
      </c>
      <c r="T191" s="6" t="s">
        <v>333</v>
      </c>
      <c r="U191" s="7" t="s">
        <v>976</v>
      </c>
      <c r="V191" s="6" t="s">
        <v>65</v>
      </c>
      <c r="W191" t="str">
        <f t="shared" si="2"/>
        <v>Blacklisted</v>
      </c>
    </row>
    <row r="192" spans="1:23" ht="14.25" customHeight="1">
      <c r="A192" s="3" t="s">
        <v>977</v>
      </c>
      <c r="B192" s="3" t="s">
        <v>222</v>
      </c>
      <c r="C192" s="3" t="s">
        <v>25</v>
      </c>
      <c r="D192" s="3" t="s">
        <v>427</v>
      </c>
      <c r="E192" s="3" t="s">
        <v>428</v>
      </c>
      <c r="F192" s="3" t="s">
        <v>226</v>
      </c>
      <c r="G192" s="3" t="s">
        <v>77</v>
      </c>
      <c r="H192" s="3" t="s">
        <v>978</v>
      </c>
      <c r="I192" s="3" t="s">
        <v>115</v>
      </c>
      <c r="J192" s="3" t="s">
        <v>107</v>
      </c>
      <c r="K192" s="3" t="s">
        <v>33</v>
      </c>
      <c r="L192" s="3" t="s">
        <v>34</v>
      </c>
      <c r="M192" s="3">
        <v>7</v>
      </c>
      <c r="N192" s="3">
        <v>2200</v>
      </c>
      <c r="O192" s="3">
        <v>0</v>
      </c>
      <c r="P192" s="3">
        <v>15400</v>
      </c>
      <c r="Q192" s="3">
        <v>1</v>
      </c>
      <c r="R192" s="3" t="s">
        <v>80</v>
      </c>
      <c r="S192" s="3" t="s">
        <v>116</v>
      </c>
      <c r="T192" s="3" t="s">
        <v>229</v>
      </c>
      <c r="U192" s="5" t="s">
        <v>979</v>
      </c>
      <c r="V192" s="3" t="s">
        <v>70</v>
      </c>
      <c r="W192" t="str">
        <f t="shared" si="2"/>
        <v>Blacklisted</v>
      </c>
    </row>
    <row r="193" spans="1:23" ht="14.25" customHeight="1">
      <c r="A193" s="6" t="s">
        <v>980</v>
      </c>
      <c r="B193" s="6" t="s">
        <v>328</v>
      </c>
      <c r="C193" s="6" t="s">
        <v>41</v>
      </c>
      <c r="D193" s="6" t="s">
        <v>504</v>
      </c>
      <c r="E193" s="6" t="s">
        <v>981</v>
      </c>
      <c r="F193" s="6" t="s">
        <v>395</v>
      </c>
      <c r="G193" s="6" t="s">
        <v>77</v>
      </c>
      <c r="H193" s="6" t="s">
        <v>982</v>
      </c>
      <c r="I193" s="6" t="s">
        <v>213</v>
      </c>
      <c r="J193" s="6" t="s">
        <v>46</v>
      </c>
      <c r="K193" s="6" t="s">
        <v>47</v>
      </c>
      <c r="L193" s="6" t="s">
        <v>48</v>
      </c>
      <c r="M193" s="6">
        <v>3</v>
      </c>
      <c r="N193" s="6">
        <v>12000</v>
      </c>
      <c r="O193" s="6">
        <v>5</v>
      </c>
      <c r="P193" s="6">
        <v>34200</v>
      </c>
      <c r="Q193" s="6">
        <v>3</v>
      </c>
      <c r="R193" s="6" t="s">
        <v>80</v>
      </c>
      <c r="S193" s="6" t="s">
        <v>62</v>
      </c>
      <c r="T193" s="6" t="s">
        <v>333</v>
      </c>
      <c r="U193" s="7" t="s">
        <v>983</v>
      </c>
      <c r="V193" s="6" t="s">
        <v>70</v>
      </c>
      <c r="W193" t="str">
        <f t="shared" si="2"/>
        <v>Blacklisted</v>
      </c>
    </row>
    <row r="194" spans="1:23" ht="14.25" customHeight="1">
      <c r="A194" s="3" t="s">
        <v>984</v>
      </c>
      <c r="B194" s="3" t="s">
        <v>169</v>
      </c>
      <c r="C194" s="3" t="s">
        <v>25</v>
      </c>
      <c r="D194" s="3" t="s">
        <v>342</v>
      </c>
      <c r="E194" s="3" t="s">
        <v>865</v>
      </c>
      <c r="F194" s="3" t="s">
        <v>362</v>
      </c>
      <c r="G194" s="3" t="s">
        <v>29</v>
      </c>
      <c r="H194" s="3" t="s">
        <v>985</v>
      </c>
      <c r="I194" s="3" t="s">
        <v>213</v>
      </c>
      <c r="J194" s="3" t="s">
        <v>46</v>
      </c>
      <c r="K194" s="3" t="s">
        <v>33</v>
      </c>
      <c r="L194" s="3" t="s">
        <v>34</v>
      </c>
      <c r="M194" s="3">
        <v>16</v>
      </c>
      <c r="N194" s="3">
        <v>2200</v>
      </c>
      <c r="O194" s="3">
        <v>0</v>
      </c>
      <c r="P194" s="3">
        <v>35200</v>
      </c>
      <c r="Q194" s="3">
        <v>5</v>
      </c>
      <c r="R194" s="3" t="s">
        <v>80</v>
      </c>
      <c r="S194" s="3" t="s">
        <v>36</v>
      </c>
      <c r="T194" s="3" t="s">
        <v>176</v>
      </c>
      <c r="U194" s="5" t="s">
        <v>986</v>
      </c>
      <c r="V194" s="3" t="s">
        <v>65</v>
      </c>
      <c r="W194" t="str">
        <f t="shared" ref="W194:W257" si="3">IF(OR(Q194&lt;=2,V194="Cancelled"),"Blacklisted",IF(AND(P194&gt;=100000,Q194&gt;=4,O194&lt;=10%,V194="Completed"),"Platinum",IF(AND(P194&gt;=50000,P194&lt;100000,Q194&gt;=3,V194="Completed"),"Gold",IF(AND(P194&lt;50000,V194="Completed"),"Silver","Blacklisted"))))</f>
        <v>Blacklisted</v>
      </c>
    </row>
    <row r="195" spans="1:23" ht="14.25" customHeight="1">
      <c r="A195" s="6" t="s">
        <v>987</v>
      </c>
      <c r="B195" s="6" t="s">
        <v>252</v>
      </c>
      <c r="C195" s="6" t="s">
        <v>25</v>
      </c>
      <c r="D195" s="6" t="s">
        <v>988</v>
      </c>
      <c r="E195" s="6" t="s">
        <v>989</v>
      </c>
      <c r="F195" s="6" t="s">
        <v>255</v>
      </c>
      <c r="G195" s="6" t="s">
        <v>29</v>
      </c>
      <c r="H195" s="6" t="s">
        <v>990</v>
      </c>
      <c r="I195" s="6" t="s">
        <v>45</v>
      </c>
      <c r="J195" s="6" t="s">
        <v>46</v>
      </c>
      <c r="K195" s="6" t="s">
        <v>33</v>
      </c>
      <c r="L195" s="6" t="s">
        <v>34</v>
      </c>
      <c r="M195" s="6">
        <v>8</v>
      </c>
      <c r="N195" s="6">
        <v>2200</v>
      </c>
      <c r="O195" s="6">
        <v>5</v>
      </c>
      <c r="P195" s="6">
        <v>16720</v>
      </c>
      <c r="Q195" s="6">
        <v>2</v>
      </c>
      <c r="R195" s="6" t="s">
        <v>89</v>
      </c>
      <c r="S195" s="6" t="s">
        <v>152</v>
      </c>
      <c r="T195" s="6" t="s">
        <v>257</v>
      </c>
      <c r="U195" s="7" t="s">
        <v>991</v>
      </c>
      <c r="V195" s="6" t="s">
        <v>39</v>
      </c>
      <c r="W195" t="str">
        <f t="shared" si="3"/>
        <v>Blacklisted</v>
      </c>
    </row>
    <row r="196" spans="1:23" ht="14.25" customHeight="1">
      <c r="A196" s="3" t="s">
        <v>992</v>
      </c>
      <c r="B196" s="3" t="s">
        <v>252</v>
      </c>
      <c r="C196" s="3" t="s">
        <v>25</v>
      </c>
      <c r="D196" s="3" t="s">
        <v>611</v>
      </c>
      <c r="E196" s="3" t="s">
        <v>455</v>
      </c>
      <c r="F196" s="3" t="s">
        <v>255</v>
      </c>
      <c r="G196" s="3" t="s">
        <v>29</v>
      </c>
      <c r="H196" s="3" t="s">
        <v>993</v>
      </c>
      <c r="I196" s="3" t="s">
        <v>139</v>
      </c>
      <c r="J196" s="3" t="s">
        <v>107</v>
      </c>
      <c r="K196" s="3" t="s">
        <v>33</v>
      </c>
      <c r="L196" s="3" t="s">
        <v>34</v>
      </c>
      <c r="M196" s="3">
        <v>10</v>
      </c>
      <c r="N196" s="3">
        <v>2200</v>
      </c>
      <c r="O196" s="3">
        <v>10</v>
      </c>
      <c r="P196" s="3">
        <v>19800</v>
      </c>
      <c r="Q196" s="3">
        <v>5</v>
      </c>
      <c r="R196" s="3" t="s">
        <v>49</v>
      </c>
      <c r="S196" s="3" t="s">
        <v>116</v>
      </c>
      <c r="T196" s="3" t="s">
        <v>257</v>
      </c>
      <c r="U196" s="5" t="s">
        <v>994</v>
      </c>
      <c r="V196" s="3" t="s">
        <v>65</v>
      </c>
      <c r="W196" t="str">
        <f t="shared" si="3"/>
        <v>Blacklisted</v>
      </c>
    </row>
    <row r="197" spans="1:23" ht="14.25" customHeight="1">
      <c r="A197" s="6" t="s">
        <v>995</v>
      </c>
      <c r="B197" s="6" t="s">
        <v>84</v>
      </c>
      <c r="C197" s="6" t="s">
        <v>223</v>
      </c>
      <c r="D197" s="6" t="s">
        <v>337</v>
      </c>
      <c r="E197" s="6" t="s">
        <v>597</v>
      </c>
      <c r="F197" s="6" t="s">
        <v>181</v>
      </c>
      <c r="G197" s="6" t="s">
        <v>77</v>
      </c>
      <c r="H197" s="6" t="s">
        <v>996</v>
      </c>
      <c r="I197" s="6" t="s">
        <v>45</v>
      </c>
      <c r="J197" s="6" t="s">
        <v>46</v>
      </c>
      <c r="K197" s="6" t="s">
        <v>123</v>
      </c>
      <c r="L197" s="6" t="s">
        <v>228</v>
      </c>
      <c r="M197" s="6">
        <v>7</v>
      </c>
      <c r="N197" s="6">
        <v>20</v>
      </c>
      <c r="O197" s="6">
        <v>10</v>
      </c>
      <c r="P197" s="6">
        <v>126</v>
      </c>
      <c r="Q197" s="6">
        <v>4</v>
      </c>
      <c r="R197" s="6" t="s">
        <v>80</v>
      </c>
      <c r="S197" s="6" t="s">
        <v>62</v>
      </c>
      <c r="T197" s="6" t="s">
        <v>90</v>
      </c>
      <c r="U197" s="7" t="s">
        <v>997</v>
      </c>
      <c r="V197" s="6" t="s">
        <v>39</v>
      </c>
      <c r="W197" t="str">
        <f t="shared" si="3"/>
        <v>Silver</v>
      </c>
    </row>
    <row r="198" spans="1:23" ht="14.25" customHeight="1">
      <c r="A198" s="3" t="s">
        <v>998</v>
      </c>
      <c r="B198" s="3" t="s">
        <v>222</v>
      </c>
      <c r="C198" s="3" t="s">
        <v>170</v>
      </c>
      <c r="D198" s="3" t="s">
        <v>253</v>
      </c>
      <c r="E198" s="3" t="s">
        <v>999</v>
      </c>
      <c r="F198" s="3" t="s">
        <v>226</v>
      </c>
      <c r="G198" s="3" t="s">
        <v>77</v>
      </c>
      <c r="H198" s="3" t="s">
        <v>1000</v>
      </c>
      <c r="I198" s="3" t="s">
        <v>31</v>
      </c>
      <c r="J198" s="3" t="s">
        <v>32</v>
      </c>
      <c r="K198" s="3" t="s">
        <v>33</v>
      </c>
      <c r="L198" s="3" t="s">
        <v>175</v>
      </c>
      <c r="M198" s="3">
        <v>19</v>
      </c>
      <c r="N198" s="3">
        <v>8500</v>
      </c>
      <c r="O198" s="3">
        <v>20</v>
      </c>
      <c r="P198" s="3">
        <v>129200</v>
      </c>
      <c r="Q198" s="3">
        <v>3</v>
      </c>
      <c r="R198" s="3" t="s">
        <v>49</v>
      </c>
      <c r="S198" s="3" t="s">
        <v>62</v>
      </c>
      <c r="T198" s="3" t="s">
        <v>229</v>
      </c>
      <c r="U198" s="5" t="s">
        <v>1001</v>
      </c>
      <c r="V198" s="3" t="s">
        <v>65</v>
      </c>
      <c r="W198" t="str">
        <f t="shared" si="3"/>
        <v>Blacklisted</v>
      </c>
    </row>
    <row r="199" spans="1:23" ht="14.25" customHeight="1">
      <c r="A199" s="6" t="s">
        <v>1002</v>
      </c>
      <c r="B199" s="6" t="s">
        <v>101</v>
      </c>
      <c r="C199" s="6" t="s">
        <v>119</v>
      </c>
      <c r="D199" s="6" t="s">
        <v>432</v>
      </c>
      <c r="E199" s="6" t="s">
        <v>415</v>
      </c>
      <c r="F199" s="6" t="s">
        <v>104</v>
      </c>
      <c r="G199" s="6" t="s">
        <v>29</v>
      </c>
      <c r="H199" s="6" t="s">
        <v>1003</v>
      </c>
      <c r="I199" s="6" t="s">
        <v>115</v>
      </c>
      <c r="J199" s="6" t="s">
        <v>107</v>
      </c>
      <c r="K199" s="6" t="s">
        <v>123</v>
      </c>
      <c r="L199" s="6" t="s">
        <v>124</v>
      </c>
      <c r="M199" s="6">
        <v>16</v>
      </c>
      <c r="N199" s="6">
        <v>60</v>
      </c>
      <c r="O199" s="6">
        <v>0</v>
      </c>
      <c r="P199" s="6">
        <v>960</v>
      </c>
      <c r="Q199" s="6">
        <v>2</v>
      </c>
      <c r="R199" s="6" t="s">
        <v>49</v>
      </c>
      <c r="S199" s="6" t="s">
        <v>116</v>
      </c>
      <c r="T199" s="6" t="s">
        <v>145</v>
      </c>
      <c r="U199" s="7" t="s">
        <v>1004</v>
      </c>
      <c r="V199" s="6" t="s">
        <v>39</v>
      </c>
      <c r="W199" t="str">
        <f t="shared" si="3"/>
        <v>Blacklisted</v>
      </c>
    </row>
    <row r="200" spans="1:23" ht="14.25" customHeight="1">
      <c r="A200" s="3" t="s">
        <v>1005</v>
      </c>
      <c r="B200" s="3" t="s">
        <v>222</v>
      </c>
      <c r="C200" s="3" t="s">
        <v>93</v>
      </c>
      <c r="D200" s="3" t="s">
        <v>1006</v>
      </c>
      <c r="E200" s="3" t="s">
        <v>732</v>
      </c>
      <c r="F200" s="3" t="s">
        <v>226</v>
      </c>
      <c r="G200" s="3" t="s">
        <v>77</v>
      </c>
      <c r="H200" s="3" t="s">
        <v>1007</v>
      </c>
      <c r="I200" s="3" t="s">
        <v>60</v>
      </c>
      <c r="J200" s="3" t="s">
        <v>32</v>
      </c>
      <c r="K200" s="3" t="s">
        <v>1008</v>
      </c>
      <c r="L200" s="3" t="s">
        <v>98</v>
      </c>
      <c r="M200" s="3">
        <v>18</v>
      </c>
      <c r="N200" s="3">
        <v>3500</v>
      </c>
      <c r="O200" s="3">
        <v>5</v>
      </c>
      <c r="P200" s="3">
        <v>59850</v>
      </c>
      <c r="Q200" s="3">
        <v>1</v>
      </c>
      <c r="R200" s="3" t="s">
        <v>89</v>
      </c>
      <c r="S200" s="3" t="s">
        <v>116</v>
      </c>
      <c r="T200" s="3" t="s">
        <v>229</v>
      </c>
      <c r="U200" s="5" t="s">
        <v>1009</v>
      </c>
      <c r="V200" s="3" t="s">
        <v>65</v>
      </c>
      <c r="W200" t="str">
        <f t="shared" si="3"/>
        <v>Blacklisted</v>
      </c>
    </row>
    <row r="201" spans="1:23" ht="14.25" customHeight="1">
      <c r="A201" s="6" t="s">
        <v>1010</v>
      </c>
      <c r="B201" s="6" t="s">
        <v>101</v>
      </c>
      <c r="C201" s="6" t="s">
        <v>55</v>
      </c>
      <c r="D201" s="6" t="s">
        <v>1011</v>
      </c>
      <c r="E201" s="6" t="s">
        <v>432</v>
      </c>
      <c r="F201" s="6" t="s">
        <v>104</v>
      </c>
      <c r="G201" s="6" t="s">
        <v>29</v>
      </c>
      <c r="H201" s="6" t="s">
        <v>1012</v>
      </c>
      <c r="I201" s="6" t="s">
        <v>213</v>
      </c>
      <c r="J201" s="6" t="s">
        <v>46</v>
      </c>
      <c r="K201" s="6" t="s">
        <v>47</v>
      </c>
      <c r="L201" s="6" t="s">
        <v>61</v>
      </c>
      <c r="M201" s="6">
        <v>16</v>
      </c>
      <c r="N201" s="6">
        <v>55000</v>
      </c>
      <c r="O201" s="6">
        <v>0</v>
      </c>
      <c r="P201" s="6">
        <v>880000</v>
      </c>
      <c r="Q201" s="6">
        <v>1</v>
      </c>
      <c r="R201" s="6" t="s">
        <v>80</v>
      </c>
      <c r="S201" s="6" t="s">
        <v>62</v>
      </c>
      <c r="T201" s="6" t="s">
        <v>145</v>
      </c>
      <c r="U201" s="7" t="s">
        <v>1013</v>
      </c>
      <c r="V201" s="6" t="s">
        <v>70</v>
      </c>
      <c r="W201" t="str">
        <f t="shared" si="3"/>
        <v>Blacklisted</v>
      </c>
    </row>
    <row r="202" spans="1:23" ht="14.25" customHeight="1">
      <c r="A202" s="3" t="s">
        <v>1014</v>
      </c>
      <c r="B202" s="3" t="s">
        <v>222</v>
      </c>
      <c r="C202" s="3" t="s">
        <v>73</v>
      </c>
      <c r="D202" s="3" t="s">
        <v>901</v>
      </c>
      <c r="E202" s="3" t="s">
        <v>436</v>
      </c>
      <c r="F202" s="3" t="s">
        <v>226</v>
      </c>
      <c r="G202" s="3" t="s">
        <v>77</v>
      </c>
      <c r="H202" s="3" t="s">
        <v>1015</v>
      </c>
      <c r="I202" s="3" t="s">
        <v>139</v>
      </c>
      <c r="J202" s="3" t="s">
        <v>107</v>
      </c>
      <c r="K202" s="3" t="s">
        <v>47</v>
      </c>
      <c r="L202" s="3" t="s">
        <v>79</v>
      </c>
      <c r="M202" s="3">
        <v>18</v>
      </c>
      <c r="N202" s="3">
        <v>1200</v>
      </c>
      <c r="O202" s="3">
        <v>15</v>
      </c>
      <c r="P202" s="3">
        <v>18360</v>
      </c>
      <c r="Q202" s="3">
        <v>2</v>
      </c>
      <c r="R202" s="3" t="s">
        <v>49</v>
      </c>
      <c r="S202" s="3" t="s">
        <v>36</v>
      </c>
      <c r="T202" s="3" t="s">
        <v>229</v>
      </c>
      <c r="U202" s="5" t="s">
        <v>1016</v>
      </c>
      <c r="V202" s="3" t="s">
        <v>70</v>
      </c>
      <c r="W202" t="str">
        <f t="shared" si="3"/>
        <v>Blacklisted</v>
      </c>
    </row>
    <row r="203" spans="1:23" ht="14.25" customHeight="1">
      <c r="A203" s="6" t="s">
        <v>1017</v>
      </c>
      <c r="B203" s="6" t="s">
        <v>72</v>
      </c>
      <c r="C203" s="6" t="s">
        <v>260</v>
      </c>
      <c r="D203" s="6" t="s">
        <v>1018</v>
      </c>
      <c r="E203" s="6" t="s">
        <v>1019</v>
      </c>
      <c r="F203" s="6" t="s">
        <v>218</v>
      </c>
      <c r="G203" s="6" t="s">
        <v>77</v>
      </c>
      <c r="H203" s="6" t="s">
        <v>1020</v>
      </c>
      <c r="I203" s="6" t="s">
        <v>31</v>
      </c>
      <c r="J203" s="6" t="s">
        <v>32</v>
      </c>
      <c r="K203" s="6" t="s">
        <v>123</v>
      </c>
      <c r="L203" s="6" t="s">
        <v>264</v>
      </c>
      <c r="M203" s="6">
        <v>2</v>
      </c>
      <c r="N203" s="6">
        <v>45</v>
      </c>
      <c r="O203" s="6">
        <v>15</v>
      </c>
      <c r="P203" s="6">
        <v>76.5</v>
      </c>
      <c r="Q203" s="6">
        <v>5</v>
      </c>
      <c r="R203" s="6" t="s">
        <v>35</v>
      </c>
      <c r="S203" s="6" t="s">
        <v>62</v>
      </c>
      <c r="T203" s="6" t="s">
        <v>81</v>
      </c>
      <c r="U203" s="7" t="s">
        <v>1021</v>
      </c>
      <c r="V203" s="6" t="s">
        <v>70</v>
      </c>
      <c r="W203" t="str">
        <f t="shared" si="3"/>
        <v>Blacklisted</v>
      </c>
    </row>
    <row r="204" spans="1:23" ht="14.25" customHeight="1">
      <c r="A204" s="3" t="s">
        <v>1022</v>
      </c>
      <c r="B204" s="3" t="s">
        <v>54</v>
      </c>
      <c r="C204" s="3" t="s">
        <v>170</v>
      </c>
      <c r="D204" s="3" t="s">
        <v>713</v>
      </c>
      <c r="E204" s="3" t="s">
        <v>86</v>
      </c>
      <c r="F204" s="3" t="s">
        <v>164</v>
      </c>
      <c r="G204" s="3" t="s">
        <v>29</v>
      </c>
      <c r="H204" s="3" t="s">
        <v>1023</v>
      </c>
      <c r="I204" s="3" t="s">
        <v>60</v>
      </c>
      <c r="J204" s="3" t="s">
        <v>32</v>
      </c>
      <c r="K204" s="3" t="s">
        <v>33</v>
      </c>
      <c r="L204" s="3" t="s">
        <v>175</v>
      </c>
      <c r="M204" s="3">
        <v>20</v>
      </c>
      <c r="N204" s="3">
        <v>8500</v>
      </c>
      <c r="O204" s="3">
        <v>0</v>
      </c>
      <c r="P204" s="3">
        <v>170000</v>
      </c>
      <c r="Q204" s="3">
        <v>4</v>
      </c>
      <c r="R204" s="3" t="s">
        <v>49</v>
      </c>
      <c r="S204" s="3" t="s">
        <v>62</v>
      </c>
      <c r="T204" s="3" t="s">
        <v>63</v>
      </c>
      <c r="U204" s="5" t="s">
        <v>1024</v>
      </c>
      <c r="V204" s="3" t="s">
        <v>70</v>
      </c>
      <c r="W204" t="str">
        <f t="shared" si="3"/>
        <v>Blacklisted</v>
      </c>
    </row>
    <row r="205" spans="1:23" ht="14.25" customHeight="1">
      <c r="A205" s="6" t="s">
        <v>1025</v>
      </c>
      <c r="B205" s="6" t="s">
        <v>128</v>
      </c>
      <c r="C205" s="6" t="s">
        <v>93</v>
      </c>
      <c r="D205" s="6" t="s">
        <v>299</v>
      </c>
      <c r="E205" s="6" t="s">
        <v>1026</v>
      </c>
      <c r="F205" s="6" t="s">
        <v>201</v>
      </c>
      <c r="G205" s="6" t="s">
        <v>77</v>
      </c>
      <c r="H205" s="6" t="s">
        <v>495</v>
      </c>
      <c r="I205" s="6" t="s">
        <v>213</v>
      </c>
      <c r="J205" s="6" t="s">
        <v>46</v>
      </c>
      <c r="K205" s="6" t="s">
        <v>33</v>
      </c>
      <c r="L205" s="6" t="s">
        <v>98</v>
      </c>
      <c r="M205" s="6">
        <v>6</v>
      </c>
      <c r="N205" s="6">
        <v>3500</v>
      </c>
      <c r="O205" s="6">
        <v>5</v>
      </c>
      <c r="P205" s="6">
        <v>19950</v>
      </c>
      <c r="Q205" s="6">
        <v>1</v>
      </c>
      <c r="R205" s="6" t="s">
        <v>35</v>
      </c>
      <c r="S205" s="6" t="s">
        <v>152</v>
      </c>
      <c r="T205" s="6" t="s">
        <v>133</v>
      </c>
      <c r="U205" s="7" t="s">
        <v>1027</v>
      </c>
      <c r="V205" s="6" t="s">
        <v>39</v>
      </c>
      <c r="W205" t="str">
        <f t="shared" si="3"/>
        <v>Blacklisted</v>
      </c>
    </row>
    <row r="206" spans="1:23" ht="14.25" customHeight="1">
      <c r="A206" s="3" t="s">
        <v>1028</v>
      </c>
      <c r="B206" s="3" t="s">
        <v>169</v>
      </c>
      <c r="C206" s="3" t="s">
        <v>260</v>
      </c>
      <c r="D206" s="3" t="s">
        <v>309</v>
      </c>
      <c r="E206" s="3" t="s">
        <v>282</v>
      </c>
      <c r="F206" s="3" t="s">
        <v>362</v>
      </c>
      <c r="G206" s="3" t="s">
        <v>29</v>
      </c>
      <c r="H206" s="3" t="s">
        <v>1029</v>
      </c>
      <c r="I206" s="3" t="s">
        <v>115</v>
      </c>
      <c r="J206" s="3" t="s">
        <v>107</v>
      </c>
      <c r="K206" s="3" t="s">
        <v>123</v>
      </c>
      <c r="L206" s="3" t="s">
        <v>264</v>
      </c>
      <c r="M206" s="3">
        <v>8</v>
      </c>
      <c r="N206" s="3">
        <v>45</v>
      </c>
      <c r="O206" s="3">
        <v>5</v>
      </c>
      <c r="P206" s="3">
        <v>342</v>
      </c>
      <c r="Q206" s="3">
        <v>2</v>
      </c>
      <c r="R206" s="3" t="s">
        <v>35</v>
      </c>
      <c r="S206" s="3" t="s">
        <v>50</v>
      </c>
      <c r="T206" s="3" t="s">
        <v>176</v>
      </c>
      <c r="U206" s="5" t="s">
        <v>1030</v>
      </c>
      <c r="V206" s="3" t="s">
        <v>65</v>
      </c>
      <c r="W206" t="str">
        <f t="shared" si="3"/>
        <v>Blacklisted</v>
      </c>
    </row>
    <row r="207" spans="1:23" ht="14.25" customHeight="1">
      <c r="A207" s="6" t="s">
        <v>1031</v>
      </c>
      <c r="B207" s="6" t="s">
        <v>328</v>
      </c>
      <c r="C207" s="6" t="s">
        <v>25</v>
      </c>
      <c r="D207" s="6" t="s">
        <v>415</v>
      </c>
      <c r="E207" s="6" t="s">
        <v>1032</v>
      </c>
      <c r="F207" s="6" t="s">
        <v>395</v>
      </c>
      <c r="G207" s="6" t="s">
        <v>77</v>
      </c>
      <c r="H207" s="6" t="s">
        <v>1033</v>
      </c>
      <c r="I207" s="6" t="s">
        <v>106</v>
      </c>
      <c r="J207" s="6" t="s">
        <v>107</v>
      </c>
      <c r="K207" s="6" t="s">
        <v>33</v>
      </c>
      <c r="L207" s="6" t="s">
        <v>34</v>
      </c>
      <c r="M207" s="6">
        <v>18</v>
      </c>
      <c r="N207" s="6">
        <v>2200</v>
      </c>
      <c r="O207" s="6">
        <v>15</v>
      </c>
      <c r="P207" s="6">
        <v>33660</v>
      </c>
      <c r="Q207" s="6">
        <v>4</v>
      </c>
      <c r="R207" s="6" t="s">
        <v>80</v>
      </c>
      <c r="S207" s="6" t="s">
        <v>62</v>
      </c>
      <c r="T207" s="6" t="s">
        <v>333</v>
      </c>
      <c r="U207" s="7" t="s">
        <v>1034</v>
      </c>
      <c r="V207" s="6" t="s">
        <v>65</v>
      </c>
      <c r="W207" t="str">
        <f t="shared" si="3"/>
        <v>Blacklisted</v>
      </c>
    </row>
    <row r="208" spans="1:23" ht="14.25" customHeight="1">
      <c r="A208" s="3" t="s">
        <v>1035</v>
      </c>
      <c r="B208" s="3" t="s">
        <v>222</v>
      </c>
      <c r="C208" s="3" t="s">
        <v>185</v>
      </c>
      <c r="D208" s="3" t="s">
        <v>1036</v>
      </c>
      <c r="E208" s="3" t="s">
        <v>1006</v>
      </c>
      <c r="F208" s="3" t="s">
        <v>226</v>
      </c>
      <c r="G208" s="3" t="s">
        <v>77</v>
      </c>
      <c r="H208" s="3" t="s">
        <v>1037</v>
      </c>
      <c r="I208" s="3" t="s">
        <v>31</v>
      </c>
      <c r="J208" s="3" t="s">
        <v>32</v>
      </c>
      <c r="K208" s="3" t="s">
        <v>47</v>
      </c>
      <c r="L208" s="3" t="s">
        <v>190</v>
      </c>
      <c r="M208" s="3">
        <v>18</v>
      </c>
      <c r="N208" s="3">
        <v>700</v>
      </c>
      <c r="O208" s="3">
        <v>15</v>
      </c>
      <c r="P208" s="3">
        <v>10710</v>
      </c>
      <c r="Q208" s="3">
        <v>3</v>
      </c>
      <c r="R208" s="3" t="s">
        <v>80</v>
      </c>
      <c r="S208" s="3" t="s">
        <v>152</v>
      </c>
      <c r="T208" s="3" t="s">
        <v>229</v>
      </c>
      <c r="U208" s="5" t="s">
        <v>1038</v>
      </c>
      <c r="V208" s="3" t="s">
        <v>70</v>
      </c>
      <c r="W208" t="str">
        <f t="shared" si="3"/>
        <v>Blacklisted</v>
      </c>
    </row>
    <row r="209" spans="1:23" ht="14.25" customHeight="1">
      <c r="A209" s="6" t="s">
        <v>1039</v>
      </c>
      <c r="B209" s="6" t="s">
        <v>328</v>
      </c>
      <c r="C209" s="6" t="s">
        <v>55</v>
      </c>
      <c r="D209" s="6" t="s">
        <v>1040</v>
      </c>
      <c r="E209" s="6" t="s">
        <v>1041</v>
      </c>
      <c r="F209" s="6" t="s">
        <v>395</v>
      </c>
      <c r="G209" s="6" t="s">
        <v>77</v>
      </c>
      <c r="H209" s="6" t="s">
        <v>1042</v>
      </c>
      <c r="I209" s="6" t="s">
        <v>115</v>
      </c>
      <c r="J209" s="6" t="s">
        <v>107</v>
      </c>
      <c r="K209" s="6" t="s">
        <v>47</v>
      </c>
      <c r="L209" s="6" t="s">
        <v>61</v>
      </c>
      <c r="M209" s="6">
        <v>12</v>
      </c>
      <c r="N209" s="6">
        <v>55000</v>
      </c>
      <c r="O209" s="6">
        <v>0</v>
      </c>
      <c r="P209" s="6">
        <v>660000</v>
      </c>
      <c r="Q209" s="6">
        <v>2</v>
      </c>
      <c r="R209" s="6" t="s">
        <v>89</v>
      </c>
      <c r="S209" s="6" t="s">
        <v>50</v>
      </c>
      <c r="T209" s="6" t="s">
        <v>333</v>
      </c>
      <c r="U209" s="7" t="s">
        <v>1043</v>
      </c>
      <c r="V209" s="6" t="s">
        <v>70</v>
      </c>
      <c r="W209" t="str">
        <f t="shared" si="3"/>
        <v>Blacklisted</v>
      </c>
    </row>
    <row r="210" spans="1:23" ht="14.25" customHeight="1">
      <c r="A210" s="3" t="s">
        <v>1044</v>
      </c>
      <c r="B210" s="3" t="s">
        <v>24</v>
      </c>
      <c r="C210" s="3" t="s">
        <v>41</v>
      </c>
      <c r="D210" s="3" t="s">
        <v>503</v>
      </c>
      <c r="E210" s="3" t="s">
        <v>1045</v>
      </c>
      <c r="F210" s="3" t="s">
        <v>28</v>
      </c>
      <c r="G210" s="3" t="s">
        <v>29</v>
      </c>
      <c r="H210" s="3" t="s">
        <v>1046</v>
      </c>
      <c r="I210" s="3" t="s">
        <v>106</v>
      </c>
      <c r="J210" s="3" t="s">
        <v>107</v>
      </c>
      <c r="K210" s="3" t="s">
        <v>47</v>
      </c>
      <c r="L210" s="3" t="s">
        <v>48</v>
      </c>
      <c r="M210" s="3">
        <v>7</v>
      </c>
      <c r="N210" s="3">
        <v>12000</v>
      </c>
      <c r="O210" s="3">
        <v>5</v>
      </c>
      <c r="P210" s="3">
        <v>79800</v>
      </c>
      <c r="Q210" s="3">
        <v>3</v>
      </c>
      <c r="R210" s="3" t="s">
        <v>80</v>
      </c>
      <c r="S210" s="3" t="s">
        <v>152</v>
      </c>
      <c r="T210" s="3" t="s">
        <v>51</v>
      </c>
      <c r="U210" s="5" t="s">
        <v>1047</v>
      </c>
      <c r="V210" s="3" t="s">
        <v>65</v>
      </c>
      <c r="W210" t="str">
        <f t="shared" si="3"/>
        <v>Blacklisted</v>
      </c>
    </row>
    <row r="211" spans="1:23" ht="14.25" customHeight="1">
      <c r="A211" s="6" t="s">
        <v>1048</v>
      </c>
      <c r="B211" s="6" t="s">
        <v>252</v>
      </c>
      <c r="C211" s="6" t="s">
        <v>41</v>
      </c>
      <c r="D211" s="6" t="s">
        <v>1049</v>
      </c>
      <c r="E211" s="6" t="s">
        <v>130</v>
      </c>
      <c r="F211" s="6" t="s">
        <v>255</v>
      </c>
      <c r="G211" s="6" t="s">
        <v>29</v>
      </c>
      <c r="H211" s="6" t="s">
        <v>1050</v>
      </c>
      <c r="I211" s="6" t="s">
        <v>106</v>
      </c>
      <c r="J211" s="6" t="s">
        <v>107</v>
      </c>
      <c r="K211" s="6" t="s">
        <v>47</v>
      </c>
      <c r="L211" s="6" t="s">
        <v>48</v>
      </c>
      <c r="M211" s="6">
        <v>8</v>
      </c>
      <c r="N211" s="6">
        <v>12000</v>
      </c>
      <c r="O211" s="6">
        <v>15</v>
      </c>
      <c r="P211" s="6">
        <v>81600</v>
      </c>
      <c r="Q211" s="6">
        <v>4</v>
      </c>
      <c r="R211" s="6" t="s">
        <v>80</v>
      </c>
      <c r="S211" s="6" t="s">
        <v>50</v>
      </c>
      <c r="T211" s="6" t="s">
        <v>257</v>
      </c>
      <c r="U211" s="7" t="s">
        <v>1051</v>
      </c>
      <c r="V211" s="6" t="s">
        <v>39</v>
      </c>
      <c r="W211" t="str">
        <f t="shared" si="3"/>
        <v>Gold</v>
      </c>
    </row>
    <row r="212" spans="1:23" ht="14.25" customHeight="1">
      <c r="A212" s="3" t="s">
        <v>1052</v>
      </c>
      <c r="B212" s="3" t="s">
        <v>328</v>
      </c>
      <c r="C212" s="3" t="s">
        <v>93</v>
      </c>
      <c r="D212" s="3" t="s">
        <v>789</v>
      </c>
      <c r="E212" s="3" t="s">
        <v>1053</v>
      </c>
      <c r="F212" s="3" t="s">
        <v>395</v>
      </c>
      <c r="G212" s="3" t="s">
        <v>77</v>
      </c>
      <c r="H212" s="3" t="s">
        <v>1054</v>
      </c>
      <c r="I212" s="3" t="s">
        <v>106</v>
      </c>
      <c r="J212" s="3" t="s">
        <v>107</v>
      </c>
      <c r="K212" s="3" t="s">
        <v>33</v>
      </c>
      <c r="L212" s="3" t="s">
        <v>98</v>
      </c>
      <c r="M212" s="3">
        <v>19</v>
      </c>
      <c r="N212" s="3">
        <v>3500</v>
      </c>
      <c r="O212" s="3">
        <v>5</v>
      </c>
      <c r="P212" s="3">
        <v>63175</v>
      </c>
      <c r="Q212" s="3">
        <v>3</v>
      </c>
      <c r="R212" s="3" t="s">
        <v>80</v>
      </c>
      <c r="S212" s="3" t="s">
        <v>62</v>
      </c>
      <c r="T212" s="3" t="s">
        <v>333</v>
      </c>
      <c r="U212" s="5" t="s">
        <v>1055</v>
      </c>
      <c r="V212" s="3" t="s">
        <v>65</v>
      </c>
      <c r="W212" t="str">
        <f t="shared" si="3"/>
        <v>Blacklisted</v>
      </c>
    </row>
    <row r="213" spans="1:23" ht="14.25" customHeight="1">
      <c r="A213" s="6" t="s">
        <v>1056</v>
      </c>
      <c r="B213" s="6" t="s">
        <v>252</v>
      </c>
      <c r="C213" s="6" t="s">
        <v>260</v>
      </c>
      <c r="D213" s="6" t="s">
        <v>901</v>
      </c>
      <c r="E213" s="6" t="s">
        <v>988</v>
      </c>
      <c r="F213" s="6" t="s">
        <v>255</v>
      </c>
      <c r="G213" s="6" t="s">
        <v>29</v>
      </c>
      <c r="H213" s="6" t="s">
        <v>1057</v>
      </c>
      <c r="I213" s="6" t="s">
        <v>139</v>
      </c>
      <c r="J213" s="6" t="s">
        <v>107</v>
      </c>
      <c r="K213" s="6" t="s">
        <v>123</v>
      </c>
      <c r="L213" s="6" t="s">
        <v>264</v>
      </c>
      <c r="M213" s="6">
        <v>7</v>
      </c>
      <c r="N213" s="6">
        <v>45</v>
      </c>
      <c r="O213" s="6">
        <v>5</v>
      </c>
      <c r="P213" s="6">
        <v>299.25</v>
      </c>
      <c r="Q213" s="6">
        <v>3</v>
      </c>
      <c r="R213" s="6" t="s">
        <v>80</v>
      </c>
      <c r="S213" s="6" t="s">
        <v>36</v>
      </c>
      <c r="T213" s="6" t="s">
        <v>257</v>
      </c>
      <c r="U213" s="7" t="s">
        <v>1058</v>
      </c>
      <c r="V213" s="6" t="s">
        <v>70</v>
      </c>
      <c r="W213" t="str">
        <f t="shared" si="3"/>
        <v>Blacklisted</v>
      </c>
    </row>
    <row r="214" spans="1:23" ht="14.25" customHeight="1">
      <c r="A214" s="3" t="s">
        <v>1059</v>
      </c>
      <c r="B214" s="3" t="s">
        <v>24</v>
      </c>
      <c r="C214" s="3" t="s">
        <v>119</v>
      </c>
      <c r="D214" s="3" t="s">
        <v>685</v>
      </c>
      <c r="E214" s="3" t="s">
        <v>751</v>
      </c>
      <c r="F214" s="3" t="s">
        <v>28</v>
      </c>
      <c r="G214" s="3" t="s">
        <v>29</v>
      </c>
      <c r="H214" s="3" t="s">
        <v>332</v>
      </c>
      <c r="I214" s="3" t="s">
        <v>31</v>
      </c>
      <c r="J214" s="3" t="s">
        <v>32</v>
      </c>
      <c r="K214" s="3" t="s">
        <v>123</v>
      </c>
      <c r="L214" s="3" t="s">
        <v>124</v>
      </c>
      <c r="M214" s="3">
        <v>3</v>
      </c>
      <c r="N214" s="3">
        <v>60</v>
      </c>
      <c r="O214" s="3">
        <v>15</v>
      </c>
      <c r="P214" s="3">
        <v>153</v>
      </c>
      <c r="Q214" s="3">
        <v>3</v>
      </c>
      <c r="R214" s="3" t="s">
        <v>49</v>
      </c>
      <c r="S214" s="3" t="s">
        <v>50</v>
      </c>
      <c r="T214" s="3" t="s">
        <v>51</v>
      </c>
      <c r="U214" s="5" t="s">
        <v>1060</v>
      </c>
      <c r="V214" s="3" t="s">
        <v>70</v>
      </c>
      <c r="W214" t="str">
        <f t="shared" si="3"/>
        <v>Blacklisted</v>
      </c>
    </row>
    <row r="215" spans="1:23" ht="14.25" customHeight="1">
      <c r="A215" s="6" t="s">
        <v>1061</v>
      </c>
      <c r="B215" s="6" t="s">
        <v>54</v>
      </c>
      <c r="C215" s="6" t="s">
        <v>260</v>
      </c>
      <c r="D215" s="6" t="s">
        <v>1062</v>
      </c>
      <c r="E215" s="6" t="s">
        <v>583</v>
      </c>
      <c r="F215" s="6" t="s">
        <v>164</v>
      </c>
      <c r="G215" s="6" t="s">
        <v>29</v>
      </c>
      <c r="H215" s="6" t="s">
        <v>1063</v>
      </c>
      <c r="I215" s="6" t="s">
        <v>115</v>
      </c>
      <c r="J215" s="6" t="s">
        <v>107</v>
      </c>
      <c r="K215" s="6" t="s">
        <v>123</v>
      </c>
      <c r="L215" s="6" t="s">
        <v>264</v>
      </c>
      <c r="M215" s="6">
        <v>19</v>
      </c>
      <c r="N215" s="6">
        <v>45</v>
      </c>
      <c r="O215" s="6">
        <v>0</v>
      </c>
      <c r="P215" s="6">
        <v>855</v>
      </c>
      <c r="Q215" s="6">
        <v>2</v>
      </c>
      <c r="R215" s="6" t="s">
        <v>35</v>
      </c>
      <c r="S215" s="6" t="s">
        <v>62</v>
      </c>
      <c r="T215" s="6" t="s">
        <v>63</v>
      </c>
      <c r="U215" s="7" t="s">
        <v>1064</v>
      </c>
      <c r="V215" s="6" t="s">
        <v>39</v>
      </c>
      <c r="W215" t="str">
        <f t="shared" si="3"/>
        <v>Blacklisted</v>
      </c>
    </row>
    <row r="216" spans="1:23" ht="14.25" customHeight="1">
      <c r="A216" s="3" t="s">
        <v>1065</v>
      </c>
      <c r="B216" s="3" t="s">
        <v>101</v>
      </c>
      <c r="C216" s="3" t="s">
        <v>41</v>
      </c>
      <c r="D216" s="3" t="s">
        <v>1066</v>
      </c>
      <c r="E216" s="3" t="s">
        <v>544</v>
      </c>
      <c r="F216" s="3" t="s">
        <v>104</v>
      </c>
      <c r="G216" s="3" t="s">
        <v>29</v>
      </c>
      <c r="H216" s="3" t="s">
        <v>1067</v>
      </c>
      <c r="I216" s="3" t="s">
        <v>60</v>
      </c>
      <c r="J216" s="3" t="s">
        <v>32</v>
      </c>
      <c r="K216" s="3" t="s">
        <v>47</v>
      </c>
      <c r="L216" s="3" t="s">
        <v>48</v>
      </c>
      <c r="M216" s="3">
        <v>10</v>
      </c>
      <c r="N216" s="3">
        <v>12000</v>
      </c>
      <c r="O216" s="3">
        <v>5</v>
      </c>
      <c r="P216" s="3">
        <v>114000</v>
      </c>
      <c r="Q216" s="3">
        <v>1</v>
      </c>
      <c r="R216" s="3" t="s">
        <v>80</v>
      </c>
      <c r="S216" s="3" t="s">
        <v>116</v>
      </c>
      <c r="T216" s="3" t="s">
        <v>145</v>
      </c>
      <c r="U216" s="5" t="s">
        <v>1068</v>
      </c>
      <c r="V216" s="3" t="s">
        <v>70</v>
      </c>
      <c r="W216" t="str">
        <f t="shared" si="3"/>
        <v>Blacklisted</v>
      </c>
    </row>
    <row r="217" spans="1:23" ht="14.25" customHeight="1">
      <c r="A217" s="6" t="s">
        <v>1069</v>
      </c>
      <c r="B217" s="6" t="s">
        <v>24</v>
      </c>
      <c r="C217" s="6" t="s">
        <v>73</v>
      </c>
      <c r="D217" s="6" t="s">
        <v>1070</v>
      </c>
      <c r="E217" s="6" t="s">
        <v>1032</v>
      </c>
      <c r="F217" s="6" t="s">
        <v>28</v>
      </c>
      <c r="G217" s="6" t="s">
        <v>29</v>
      </c>
      <c r="H217" s="6" t="s">
        <v>1071</v>
      </c>
      <c r="I217" s="6" t="s">
        <v>295</v>
      </c>
      <c r="J217" s="6" t="s">
        <v>296</v>
      </c>
      <c r="K217" s="6" t="s">
        <v>47</v>
      </c>
      <c r="L217" s="6" t="s">
        <v>79</v>
      </c>
      <c r="M217" s="6">
        <v>4</v>
      </c>
      <c r="N217" s="6">
        <v>1200</v>
      </c>
      <c r="O217" s="6">
        <v>0</v>
      </c>
      <c r="P217" s="6">
        <v>4800</v>
      </c>
      <c r="Q217" s="6">
        <v>4</v>
      </c>
      <c r="R217" s="6" t="s">
        <v>35</v>
      </c>
      <c r="S217" s="6" t="s">
        <v>62</v>
      </c>
      <c r="T217" s="6" t="s">
        <v>51</v>
      </c>
      <c r="U217" s="7" t="s">
        <v>1072</v>
      </c>
      <c r="V217" s="6" t="s">
        <v>39</v>
      </c>
      <c r="W217" t="str">
        <f t="shared" si="3"/>
        <v>Silver</v>
      </c>
    </row>
    <row r="218" spans="1:23" ht="14.25" customHeight="1">
      <c r="A218" s="3" t="s">
        <v>1073</v>
      </c>
      <c r="B218" s="3" t="s">
        <v>222</v>
      </c>
      <c r="C218" s="3" t="s">
        <v>170</v>
      </c>
      <c r="D218" s="3" t="s">
        <v>532</v>
      </c>
      <c r="E218" s="3" t="s">
        <v>1074</v>
      </c>
      <c r="F218" s="3" t="s">
        <v>226</v>
      </c>
      <c r="G218" s="3" t="s">
        <v>77</v>
      </c>
      <c r="H218" s="3" t="s">
        <v>1075</v>
      </c>
      <c r="I218" s="3" t="s">
        <v>60</v>
      </c>
      <c r="J218" s="3" t="s">
        <v>32</v>
      </c>
      <c r="K218" s="3" t="s">
        <v>33</v>
      </c>
      <c r="L218" s="3" t="s">
        <v>175</v>
      </c>
      <c r="M218" s="3">
        <v>2</v>
      </c>
      <c r="N218" s="3">
        <v>8500</v>
      </c>
      <c r="O218" s="3">
        <v>20</v>
      </c>
      <c r="P218" s="3">
        <v>13600</v>
      </c>
      <c r="Q218" s="3">
        <v>3</v>
      </c>
      <c r="R218" s="3" t="s">
        <v>80</v>
      </c>
      <c r="S218" s="3" t="s">
        <v>152</v>
      </c>
      <c r="T218" s="3" t="s">
        <v>229</v>
      </c>
      <c r="U218" s="5" t="s">
        <v>1076</v>
      </c>
      <c r="V218" s="3" t="s">
        <v>39</v>
      </c>
      <c r="W218" t="str">
        <f t="shared" si="3"/>
        <v>Silver</v>
      </c>
    </row>
    <row r="219" spans="1:23" ht="14.25" customHeight="1">
      <c r="A219" s="6" t="s">
        <v>1077</v>
      </c>
      <c r="B219" s="6" t="s">
        <v>84</v>
      </c>
      <c r="C219" s="6" t="s">
        <v>185</v>
      </c>
      <c r="D219" s="6" t="s">
        <v>1078</v>
      </c>
      <c r="E219" s="6" t="s">
        <v>323</v>
      </c>
      <c r="F219" s="6" t="s">
        <v>181</v>
      </c>
      <c r="G219" s="6" t="s">
        <v>77</v>
      </c>
      <c r="H219" s="6" t="s">
        <v>1079</v>
      </c>
      <c r="I219" s="6" t="s">
        <v>295</v>
      </c>
      <c r="J219" s="6" t="s">
        <v>296</v>
      </c>
      <c r="K219" s="6" t="s">
        <v>47</v>
      </c>
      <c r="L219" s="6" t="s">
        <v>190</v>
      </c>
      <c r="M219" s="6">
        <v>7</v>
      </c>
      <c r="N219" s="6">
        <v>700</v>
      </c>
      <c r="O219" s="6">
        <v>20</v>
      </c>
      <c r="P219" s="6">
        <v>3920</v>
      </c>
      <c r="Q219" s="6">
        <v>2</v>
      </c>
      <c r="R219" s="6" t="s">
        <v>80</v>
      </c>
      <c r="S219" s="6" t="s">
        <v>152</v>
      </c>
      <c r="T219" s="6" t="s">
        <v>90</v>
      </c>
      <c r="U219" s="7" t="s">
        <v>1080</v>
      </c>
      <c r="V219" s="6" t="s">
        <v>65</v>
      </c>
      <c r="W219" t="str">
        <f t="shared" si="3"/>
        <v>Blacklisted</v>
      </c>
    </row>
    <row r="220" spans="1:23" ht="14.25" customHeight="1">
      <c r="A220" s="3" t="s">
        <v>1081</v>
      </c>
      <c r="B220" s="3" t="s">
        <v>54</v>
      </c>
      <c r="C220" s="3" t="s">
        <v>223</v>
      </c>
      <c r="D220" s="3" t="s">
        <v>1082</v>
      </c>
      <c r="E220" s="3" t="s">
        <v>519</v>
      </c>
      <c r="F220" s="3" t="s">
        <v>164</v>
      </c>
      <c r="G220" s="3" t="s">
        <v>29</v>
      </c>
      <c r="H220" s="3" t="s">
        <v>1083</v>
      </c>
      <c r="I220" s="3" t="s">
        <v>115</v>
      </c>
      <c r="J220" s="3" t="s">
        <v>107</v>
      </c>
      <c r="K220" s="3" t="s">
        <v>123</v>
      </c>
      <c r="L220" s="3" t="s">
        <v>228</v>
      </c>
      <c r="M220" s="3">
        <v>9</v>
      </c>
      <c r="N220" s="3">
        <v>20</v>
      </c>
      <c r="O220" s="3">
        <v>15</v>
      </c>
      <c r="P220" s="3">
        <v>153</v>
      </c>
      <c r="Q220" s="3">
        <v>3</v>
      </c>
      <c r="R220" s="3" t="s">
        <v>49</v>
      </c>
      <c r="S220" s="3" t="s">
        <v>116</v>
      </c>
      <c r="T220" s="3" t="s">
        <v>63</v>
      </c>
      <c r="U220" s="5" t="s">
        <v>1084</v>
      </c>
      <c r="V220" s="3" t="s">
        <v>39</v>
      </c>
      <c r="W220" t="str">
        <f t="shared" si="3"/>
        <v>Silver</v>
      </c>
    </row>
    <row r="221" spans="1:23" ht="14.25" customHeight="1">
      <c r="A221" s="6" t="s">
        <v>1085</v>
      </c>
      <c r="B221" s="6" t="s">
        <v>101</v>
      </c>
      <c r="C221" s="6" t="s">
        <v>170</v>
      </c>
      <c r="D221" s="6" t="s">
        <v>1086</v>
      </c>
      <c r="E221" s="6" t="s">
        <v>1087</v>
      </c>
      <c r="F221" s="6" t="s">
        <v>104</v>
      </c>
      <c r="G221" s="6" t="s">
        <v>29</v>
      </c>
      <c r="H221" s="6" t="s">
        <v>1088</v>
      </c>
      <c r="I221" s="6" t="s">
        <v>295</v>
      </c>
      <c r="J221" s="6" t="s">
        <v>296</v>
      </c>
      <c r="K221" s="6" t="s">
        <v>33</v>
      </c>
      <c r="L221" s="6" t="s">
        <v>175</v>
      </c>
      <c r="M221" s="6">
        <v>16</v>
      </c>
      <c r="N221" s="6">
        <v>8500</v>
      </c>
      <c r="O221" s="6">
        <v>0</v>
      </c>
      <c r="P221" s="6">
        <v>136000</v>
      </c>
      <c r="Q221" s="6">
        <v>4</v>
      </c>
      <c r="R221" s="6" t="s">
        <v>49</v>
      </c>
      <c r="S221" s="6" t="s">
        <v>36</v>
      </c>
      <c r="T221" s="6" t="s">
        <v>145</v>
      </c>
      <c r="U221" s="7" t="s">
        <v>1089</v>
      </c>
      <c r="V221" s="6" t="s">
        <v>39</v>
      </c>
      <c r="W221" t="str">
        <f t="shared" si="3"/>
        <v>Platinum</v>
      </c>
    </row>
    <row r="222" spans="1:23" ht="14.25" customHeight="1">
      <c r="A222" s="3" t="s">
        <v>1090</v>
      </c>
      <c r="B222" s="3" t="s">
        <v>252</v>
      </c>
      <c r="C222" s="3" t="s">
        <v>93</v>
      </c>
      <c r="D222" s="3" t="s">
        <v>545</v>
      </c>
      <c r="E222" s="3" t="s">
        <v>1091</v>
      </c>
      <c r="F222" s="3" t="s">
        <v>255</v>
      </c>
      <c r="G222" s="3" t="s">
        <v>29</v>
      </c>
      <c r="H222" s="3" t="s">
        <v>1092</v>
      </c>
      <c r="I222" s="3" t="s">
        <v>45</v>
      </c>
      <c r="J222" s="3" t="s">
        <v>46</v>
      </c>
      <c r="K222" s="3" t="s">
        <v>33</v>
      </c>
      <c r="L222" s="3" t="s">
        <v>98</v>
      </c>
      <c r="M222" s="3">
        <v>10</v>
      </c>
      <c r="N222" s="3">
        <v>3500</v>
      </c>
      <c r="O222" s="3">
        <v>5</v>
      </c>
      <c r="P222" s="3">
        <v>33250</v>
      </c>
      <c r="Q222" s="3">
        <v>3</v>
      </c>
      <c r="R222" s="3" t="s">
        <v>49</v>
      </c>
      <c r="S222" s="3" t="s">
        <v>116</v>
      </c>
      <c r="T222" s="3" t="s">
        <v>257</v>
      </c>
      <c r="U222" s="5" t="s">
        <v>1093</v>
      </c>
      <c r="V222" s="3" t="s">
        <v>39</v>
      </c>
      <c r="W222" t="str">
        <f t="shared" si="3"/>
        <v>Silver</v>
      </c>
    </row>
    <row r="223" spans="1:23" ht="14.25" customHeight="1">
      <c r="A223" s="6" t="s">
        <v>1094</v>
      </c>
      <c r="B223" s="6" t="s">
        <v>54</v>
      </c>
      <c r="C223" s="6" t="s">
        <v>41</v>
      </c>
      <c r="D223" s="6" t="s">
        <v>1095</v>
      </c>
      <c r="E223" s="6" t="s">
        <v>589</v>
      </c>
      <c r="F223" s="6" t="s">
        <v>164</v>
      </c>
      <c r="G223" s="6" t="s">
        <v>29</v>
      </c>
      <c r="H223" s="6" t="s">
        <v>1096</v>
      </c>
      <c r="I223" s="6" t="s">
        <v>295</v>
      </c>
      <c r="J223" s="6" t="s">
        <v>296</v>
      </c>
      <c r="K223" s="6" t="s">
        <v>47</v>
      </c>
      <c r="L223" s="6" t="s">
        <v>48</v>
      </c>
      <c r="M223" s="6">
        <v>1</v>
      </c>
      <c r="N223" s="6">
        <v>12000</v>
      </c>
      <c r="O223" s="6">
        <v>0</v>
      </c>
      <c r="P223" s="6">
        <v>12000</v>
      </c>
      <c r="Q223" s="6">
        <v>5</v>
      </c>
      <c r="R223" s="6" t="s">
        <v>89</v>
      </c>
      <c r="S223" s="6" t="s">
        <v>116</v>
      </c>
      <c r="T223" s="6" t="s">
        <v>63</v>
      </c>
      <c r="U223" s="7" t="s">
        <v>1097</v>
      </c>
      <c r="V223" s="6" t="s">
        <v>65</v>
      </c>
      <c r="W223" t="str">
        <f t="shared" si="3"/>
        <v>Blacklisted</v>
      </c>
    </row>
    <row r="224" spans="1:23" ht="14.25" customHeight="1">
      <c r="A224" s="3" t="s">
        <v>1098</v>
      </c>
      <c r="B224" s="3" t="s">
        <v>328</v>
      </c>
      <c r="C224" s="3" t="s">
        <v>260</v>
      </c>
      <c r="D224" s="3" t="s">
        <v>1099</v>
      </c>
      <c r="E224" s="3" t="s">
        <v>602</v>
      </c>
      <c r="F224" s="3" t="s">
        <v>395</v>
      </c>
      <c r="G224" s="3" t="s">
        <v>77</v>
      </c>
      <c r="H224" s="3" t="s">
        <v>1100</v>
      </c>
      <c r="I224" s="3" t="s">
        <v>295</v>
      </c>
      <c r="J224" s="3" t="s">
        <v>296</v>
      </c>
      <c r="K224" s="3" t="s">
        <v>123</v>
      </c>
      <c r="L224" s="3" t="s">
        <v>264</v>
      </c>
      <c r="M224" s="3">
        <v>19</v>
      </c>
      <c r="N224" s="3">
        <v>45</v>
      </c>
      <c r="O224" s="3">
        <v>15</v>
      </c>
      <c r="P224" s="3">
        <v>726.75</v>
      </c>
      <c r="Q224" s="3">
        <v>2</v>
      </c>
      <c r="R224" s="3" t="s">
        <v>89</v>
      </c>
      <c r="S224" s="3" t="s">
        <v>152</v>
      </c>
      <c r="T224" s="3" t="s">
        <v>333</v>
      </c>
      <c r="U224" s="5" t="s">
        <v>1101</v>
      </c>
      <c r="V224" s="3" t="s">
        <v>65</v>
      </c>
      <c r="W224" t="str">
        <f t="shared" si="3"/>
        <v>Blacklisted</v>
      </c>
    </row>
    <row r="225" spans="1:23" ht="14.25" customHeight="1">
      <c r="A225" s="6" t="s">
        <v>1102</v>
      </c>
      <c r="B225" s="6" t="s">
        <v>24</v>
      </c>
      <c r="C225" s="6" t="s">
        <v>55</v>
      </c>
      <c r="D225" s="6" t="s">
        <v>532</v>
      </c>
      <c r="E225" s="6" t="s">
        <v>1103</v>
      </c>
      <c r="F225" s="6" t="s">
        <v>28</v>
      </c>
      <c r="G225" s="6" t="s">
        <v>29</v>
      </c>
      <c r="H225" s="6" t="s">
        <v>1104</v>
      </c>
      <c r="I225" s="6" t="s">
        <v>45</v>
      </c>
      <c r="J225" s="6" t="s">
        <v>46</v>
      </c>
      <c r="K225" s="6" t="s">
        <v>47</v>
      </c>
      <c r="L225" s="6" t="s">
        <v>61</v>
      </c>
      <c r="M225" s="6">
        <v>13</v>
      </c>
      <c r="N225" s="6">
        <v>55000</v>
      </c>
      <c r="O225" s="6">
        <v>5</v>
      </c>
      <c r="P225" s="6">
        <v>679250</v>
      </c>
      <c r="Q225" s="6">
        <v>4</v>
      </c>
      <c r="R225" s="6" t="s">
        <v>80</v>
      </c>
      <c r="S225" s="6" t="s">
        <v>50</v>
      </c>
      <c r="T225" s="6" t="s">
        <v>51</v>
      </c>
      <c r="U225" s="7" t="s">
        <v>1105</v>
      </c>
      <c r="V225" s="6" t="s">
        <v>70</v>
      </c>
      <c r="W225" t="str">
        <f t="shared" si="3"/>
        <v>Blacklisted</v>
      </c>
    </row>
    <row r="226" spans="1:23" ht="14.25" customHeight="1">
      <c r="A226" s="3" t="s">
        <v>1106</v>
      </c>
      <c r="B226" s="3" t="s">
        <v>84</v>
      </c>
      <c r="C226" s="3" t="s">
        <v>260</v>
      </c>
      <c r="D226" s="3" t="s">
        <v>1107</v>
      </c>
      <c r="E226" s="3" t="s">
        <v>156</v>
      </c>
      <c r="F226" s="3" t="s">
        <v>181</v>
      </c>
      <c r="G226" s="3" t="s">
        <v>77</v>
      </c>
      <c r="H226" s="3" t="s">
        <v>1108</v>
      </c>
      <c r="I226" s="3" t="s">
        <v>106</v>
      </c>
      <c r="J226" s="3" t="s">
        <v>107</v>
      </c>
      <c r="K226" s="3" t="s">
        <v>123</v>
      </c>
      <c r="L226" s="3" t="s">
        <v>264</v>
      </c>
      <c r="M226" s="3">
        <v>2</v>
      </c>
      <c r="N226" s="3">
        <v>45</v>
      </c>
      <c r="O226" s="3">
        <v>15</v>
      </c>
      <c r="P226" s="3">
        <v>76.5</v>
      </c>
      <c r="Q226" s="3">
        <v>1</v>
      </c>
      <c r="R226" s="3" t="s">
        <v>49</v>
      </c>
      <c r="S226" s="3" t="s">
        <v>116</v>
      </c>
      <c r="T226" s="3" t="s">
        <v>90</v>
      </c>
      <c r="U226" s="5" t="s">
        <v>1109</v>
      </c>
      <c r="V226" s="3" t="s">
        <v>39</v>
      </c>
      <c r="W226" t="str">
        <f t="shared" si="3"/>
        <v>Blacklisted</v>
      </c>
    </row>
    <row r="227" spans="1:23" ht="14.25" customHeight="1">
      <c r="A227" s="6" t="s">
        <v>1110</v>
      </c>
      <c r="B227" s="6" t="s">
        <v>101</v>
      </c>
      <c r="C227" s="6" t="s">
        <v>223</v>
      </c>
      <c r="D227" s="6" t="s">
        <v>304</v>
      </c>
      <c r="E227" s="6" t="s">
        <v>1111</v>
      </c>
      <c r="F227" s="6" t="s">
        <v>104</v>
      </c>
      <c r="G227" s="6" t="s">
        <v>29</v>
      </c>
      <c r="H227" s="6" t="s">
        <v>1112</v>
      </c>
      <c r="I227" s="6" t="s">
        <v>31</v>
      </c>
      <c r="J227" s="6" t="s">
        <v>32</v>
      </c>
      <c r="K227" s="6" t="s">
        <v>123</v>
      </c>
      <c r="L227" s="6" t="s">
        <v>228</v>
      </c>
      <c r="M227" s="6">
        <v>8</v>
      </c>
      <c r="N227" s="6">
        <v>20</v>
      </c>
      <c r="O227" s="6">
        <v>15</v>
      </c>
      <c r="P227" s="6">
        <v>136</v>
      </c>
      <c r="Q227" s="6">
        <v>1</v>
      </c>
      <c r="R227" s="6" t="s">
        <v>80</v>
      </c>
      <c r="S227" s="6" t="s">
        <v>36</v>
      </c>
      <c r="T227" s="6" t="s">
        <v>145</v>
      </c>
      <c r="U227" s="7" t="s">
        <v>1113</v>
      </c>
      <c r="V227" s="6" t="s">
        <v>65</v>
      </c>
      <c r="W227" t="str">
        <f t="shared" si="3"/>
        <v>Blacklisted</v>
      </c>
    </row>
    <row r="228" spans="1:23" ht="14.25" customHeight="1">
      <c r="A228" s="3" t="s">
        <v>1114</v>
      </c>
      <c r="B228" s="3" t="s">
        <v>169</v>
      </c>
      <c r="C228" s="3" t="s">
        <v>41</v>
      </c>
      <c r="D228" s="3" t="s">
        <v>1115</v>
      </c>
      <c r="E228" s="3" t="s">
        <v>1116</v>
      </c>
      <c r="F228" s="3" t="s">
        <v>362</v>
      </c>
      <c r="G228" s="3" t="s">
        <v>29</v>
      </c>
      <c r="H228" s="3" t="s">
        <v>1117</v>
      </c>
      <c r="I228" s="3" t="s">
        <v>31</v>
      </c>
      <c r="J228" s="3" t="s">
        <v>32</v>
      </c>
      <c r="K228" s="3" t="s">
        <v>47</v>
      </c>
      <c r="L228" s="3" t="s">
        <v>48</v>
      </c>
      <c r="M228" s="3">
        <v>9</v>
      </c>
      <c r="N228" s="3">
        <v>12000</v>
      </c>
      <c r="O228" s="3">
        <v>5</v>
      </c>
      <c r="P228" s="3">
        <v>102600</v>
      </c>
      <c r="Q228" s="3">
        <v>2</v>
      </c>
      <c r="R228" s="3" t="s">
        <v>80</v>
      </c>
      <c r="S228" s="3" t="s">
        <v>36</v>
      </c>
      <c r="T228" s="3" t="s">
        <v>176</v>
      </c>
      <c r="U228" s="5" t="s">
        <v>1118</v>
      </c>
      <c r="V228" s="3" t="s">
        <v>70</v>
      </c>
      <c r="W228" t="str">
        <f t="shared" si="3"/>
        <v>Blacklisted</v>
      </c>
    </row>
    <row r="229" spans="1:23" ht="14.25" customHeight="1">
      <c r="A229" s="6" t="s">
        <v>1119</v>
      </c>
      <c r="B229" s="6" t="s">
        <v>72</v>
      </c>
      <c r="C229" s="6" t="s">
        <v>93</v>
      </c>
      <c r="D229" s="6" t="s">
        <v>1120</v>
      </c>
      <c r="E229" s="6" t="s">
        <v>1121</v>
      </c>
      <c r="F229" s="6" t="s">
        <v>218</v>
      </c>
      <c r="G229" s="6" t="s">
        <v>77</v>
      </c>
      <c r="H229" s="6" t="s">
        <v>1122</v>
      </c>
      <c r="I229" s="6" t="s">
        <v>295</v>
      </c>
      <c r="J229" s="6" t="s">
        <v>296</v>
      </c>
      <c r="K229" s="6" t="s">
        <v>33</v>
      </c>
      <c r="L229" s="6" t="s">
        <v>98</v>
      </c>
      <c r="M229" s="6">
        <v>3</v>
      </c>
      <c r="N229" s="6">
        <v>3500</v>
      </c>
      <c r="O229" s="6">
        <v>15</v>
      </c>
      <c r="P229" s="6">
        <v>8925</v>
      </c>
      <c r="Q229" s="6">
        <v>1</v>
      </c>
      <c r="R229" s="6" t="s">
        <v>35</v>
      </c>
      <c r="S229" s="6" t="s">
        <v>50</v>
      </c>
      <c r="T229" s="6" t="s">
        <v>81</v>
      </c>
      <c r="U229" s="7" t="s">
        <v>1123</v>
      </c>
      <c r="V229" s="6" t="s">
        <v>70</v>
      </c>
      <c r="W229" t="str">
        <f t="shared" si="3"/>
        <v>Blacklisted</v>
      </c>
    </row>
    <row r="230" spans="1:23" ht="14.25" customHeight="1">
      <c r="A230" s="3" t="s">
        <v>1124</v>
      </c>
      <c r="B230" s="3" t="s">
        <v>101</v>
      </c>
      <c r="C230" s="3" t="s">
        <v>185</v>
      </c>
      <c r="D230" s="3" t="s">
        <v>1087</v>
      </c>
      <c r="E230" s="3" t="s">
        <v>1125</v>
      </c>
      <c r="F230" s="3" t="s">
        <v>104</v>
      </c>
      <c r="G230" s="3" t="s">
        <v>29</v>
      </c>
      <c r="H230" s="3" t="s">
        <v>1126</v>
      </c>
      <c r="I230" s="3" t="s">
        <v>31</v>
      </c>
      <c r="J230" s="3" t="s">
        <v>32</v>
      </c>
      <c r="K230" s="3" t="s">
        <v>47</v>
      </c>
      <c r="L230" s="3" t="s">
        <v>190</v>
      </c>
      <c r="M230" s="3">
        <v>18</v>
      </c>
      <c r="N230" s="3">
        <v>700</v>
      </c>
      <c r="O230" s="3">
        <v>20</v>
      </c>
      <c r="P230" s="3">
        <v>10080</v>
      </c>
      <c r="Q230" s="3">
        <v>1</v>
      </c>
      <c r="R230" s="3" t="s">
        <v>80</v>
      </c>
      <c r="S230" s="3" t="s">
        <v>152</v>
      </c>
      <c r="T230" s="3" t="s">
        <v>145</v>
      </c>
      <c r="U230" s="5" t="s">
        <v>1127</v>
      </c>
      <c r="V230" s="3" t="s">
        <v>39</v>
      </c>
      <c r="W230" t="str">
        <f t="shared" si="3"/>
        <v>Blacklisted</v>
      </c>
    </row>
    <row r="231" spans="1:23" ht="14.25" customHeight="1">
      <c r="A231" s="6" t="s">
        <v>1128</v>
      </c>
      <c r="B231" s="6" t="s">
        <v>72</v>
      </c>
      <c r="C231" s="6" t="s">
        <v>93</v>
      </c>
      <c r="D231" s="6" t="s">
        <v>1129</v>
      </c>
      <c r="E231" s="6" t="s">
        <v>111</v>
      </c>
      <c r="F231" s="6" t="s">
        <v>218</v>
      </c>
      <c r="G231" s="6" t="s">
        <v>77</v>
      </c>
      <c r="H231" s="6" t="s">
        <v>1130</v>
      </c>
      <c r="I231" s="6" t="s">
        <v>115</v>
      </c>
      <c r="J231" s="6" t="s">
        <v>107</v>
      </c>
      <c r="K231" s="6" t="s">
        <v>33</v>
      </c>
      <c r="L231" s="6" t="s">
        <v>98</v>
      </c>
      <c r="M231" s="6">
        <v>14</v>
      </c>
      <c r="N231" s="6">
        <v>3500</v>
      </c>
      <c r="O231" s="6">
        <v>5</v>
      </c>
      <c r="P231" s="6">
        <v>46550</v>
      </c>
      <c r="Q231" s="6">
        <v>1</v>
      </c>
      <c r="R231" s="6" t="s">
        <v>35</v>
      </c>
      <c r="S231" s="6" t="s">
        <v>62</v>
      </c>
      <c r="T231" s="6" t="s">
        <v>81</v>
      </c>
      <c r="U231" s="7" t="s">
        <v>1131</v>
      </c>
      <c r="V231" s="6" t="s">
        <v>39</v>
      </c>
      <c r="W231" t="str">
        <f t="shared" si="3"/>
        <v>Blacklisted</v>
      </c>
    </row>
    <row r="232" spans="1:23" ht="14.25" customHeight="1">
      <c r="A232" s="3" t="s">
        <v>1132</v>
      </c>
      <c r="B232" s="3" t="s">
        <v>101</v>
      </c>
      <c r="C232" s="3" t="s">
        <v>185</v>
      </c>
      <c r="D232" s="3" t="s">
        <v>685</v>
      </c>
      <c r="E232" s="3" t="s">
        <v>319</v>
      </c>
      <c r="F232" s="3" t="s">
        <v>104</v>
      </c>
      <c r="G232" s="3" t="s">
        <v>29</v>
      </c>
      <c r="H232" s="3" t="s">
        <v>1133</v>
      </c>
      <c r="I232" s="3" t="s">
        <v>295</v>
      </c>
      <c r="J232" s="3" t="s">
        <v>296</v>
      </c>
      <c r="K232" s="3" t="s">
        <v>47</v>
      </c>
      <c r="L232" s="3" t="s">
        <v>190</v>
      </c>
      <c r="M232" s="3">
        <v>6</v>
      </c>
      <c r="N232" s="3">
        <v>700</v>
      </c>
      <c r="O232" s="3">
        <v>5</v>
      </c>
      <c r="P232" s="3">
        <v>3990</v>
      </c>
      <c r="Q232" s="3">
        <v>5</v>
      </c>
      <c r="R232" s="3" t="s">
        <v>35</v>
      </c>
      <c r="S232" s="3" t="s">
        <v>36</v>
      </c>
      <c r="T232" s="3" t="s">
        <v>145</v>
      </c>
      <c r="U232" s="5" t="s">
        <v>1134</v>
      </c>
      <c r="V232" s="3" t="s">
        <v>39</v>
      </c>
      <c r="W232" t="str">
        <f t="shared" si="3"/>
        <v>Silver</v>
      </c>
    </row>
    <row r="233" spans="1:23" ht="14.25" customHeight="1">
      <c r="A233" s="6" t="s">
        <v>1135</v>
      </c>
      <c r="B233" s="6" t="s">
        <v>101</v>
      </c>
      <c r="C233" s="6" t="s">
        <v>93</v>
      </c>
      <c r="D233" s="6" t="s">
        <v>680</v>
      </c>
      <c r="E233" s="6" t="s">
        <v>873</v>
      </c>
      <c r="F233" s="6" t="s">
        <v>104</v>
      </c>
      <c r="G233" s="6" t="s">
        <v>29</v>
      </c>
      <c r="H233" s="6" t="s">
        <v>1136</v>
      </c>
      <c r="I233" s="6" t="s">
        <v>106</v>
      </c>
      <c r="J233" s="6" t="s">
        <v>107</v>
      </c>
      <c r="K233" s="6" t="s">
        <v>33</v>
      </c>
      <c r="L233" s="6" t="s">
        <v>98</v>
      </c>
      <c r="M233" s="6">
        <v>17</v>
      </c>
      <c r="N233" s="6">
        <v>3500</v>
      </c>
      <c r="O233" s="6">
        <v>15</v>
      </c>
      <c r="P233" s="6">
        <v>50575</v>
      </c>
      <c r="Q233" s="6">
        <v>3</v>
      </c>
      <c r="R233" s="6" t="s">
        <v>49</v>
      </c>
      <c r="S233" s="6" t="s">
        <v>50</v>
      </c>
      <c r="T233" s="6" t="s">
        <v>145</v>
      </c>
      <c r="U233" s="7" t="s">
        <v>1137</v>
      </c>
      <c r="V233" s="6" t="s">
        <v>65</v>
      </c>
      <c r="W233" t="str">
        <f t="shared" si="3"/>
        <v>Blacklisted</v>
      </c>
    </row>
    <row r="234" spans="1:23" ht="14.25" customHeight="1">
      <c r="A234" s="3" t="s">
        <v>1138</v>
      </c>
      <c r="B234" s="3" t="s">
        <v>252</v>
      </c>
      <c r="C234" s="3" t="s">
        <v>223</v>
      </c>
      <c r="D234" s="3" t="s">
        <v>254</v>
      </c>
      <c r="E234" s="3" t="s">
        <v>1129</v>
      </c>
      <c r="F234" s="3" t="s">
        <v>255</v>
      </c>
      <c r="G234" s="3" t="s">
        <v>29</v>
      </c>
      <c r="H234" s="3" t="s">
        <v>1139</v>
      </c>
      <c r="I234" s="3" t="s">
        <v>295</v>
      </c>
      <c r="J234" s="3" t="s">
        <v>296</v>
      </c>
      <c r="K234" s="3" t="s">
        <v>123</v>
      </c>
      <c r="L234" s="3" t="s">
        <v>228</v>
      </c>
      <c r="M234" s="3">
        <v>7</v>
      </c>
      <c r="N234" s="3">
        <v>20</v>
      </c>
      <c r="O234" s="3">
        <v>5</v>
      </c>
      <c r="P234" s="3">
        <v>133</v>
      </c>
      <c r="Q234" s="3">
        <v>2</v>
      </c>
      <c r="R234" s="3" t="s">
        <v>89</v>
      </c>
      <c r="S234" s="3" t="s">
        <v>152</v>
      </c>
      <c r="T234" s="3" t="s">
        <v>257</v>
      </c>
      <c r="U234" s="5" t="s">
        <v>1140</v>
      </c>
      <c r="V234" s="3" t="s">
        <v>39</v>
      </c>
      <c r="W234" t="str">
        <f t="shared" si="3"/>
        <v>Blacklisted</v>
      </c>
    </row>
    <row r="235" spans="1:23" ht="14.25" customHeight="1">
      <c r="A235" s="6" t="s">
        <v>1141</v>
      </c>
      <c r="B235" s="6" t="s">
        <v>24</v>
      </c>
      <c r="C235" s="6" t="s">
        <v>25</v>
      </c>
      <c r="D235" s="6" t="s">
        <v>1142</v>
      </c>
      <c r="E235" s="6" t="s">
        <v>1143</v>
      </c>
      <c r="F235" s="6" t="s">
        <v>28</v>
      </c>
      <c r="G235" s="6" t="s">
        <v>29</v>
      </c>
      <c r="H235" s="6" t="s">
        <v>1144</v>
      </c>
      <c r="I235" s="6" t="s">
        <v>60</v>
      </c>
      <c r="J235" s="6" t="s">
        <v>32</v>
      </c>
      <c r="K235" s="6" t="s">
        <v>33</v>
      </c>
      <c r="L235" s="6" t="s">
        <v>34</v>
      </c>
      <c r="M235" s="6">
        <v>15</v>
      </c>
      <c r="N235" s="6">
        <v>2200</v>
      </c>
      <c r="O235" s="6">
        <v>20</v>
      </c>
      <c r="P235" s="6">
        <v>26400</v>
      </c>
      <c r="Q235" s="6">
        <v>2</v>
      </c>
      <c r="R235" s="6" t="s">
        <v>35</v>
      </c>
      <c r="S235" s="6" t="s">
        <v>62</v>
      </c>
      <c r="T235" s="6" t="s">
        <v>51</v>
      </c>
      <c r="U235" s="7" t="s">
        <v>1145</v>
      </c>
      <c r="V235" s="6" t="s">
        <v>39</v>
      </c>
      <c r="W235" t="str">
        <f t="shared" si="3"/>
        <v>Blacklisted</v>
      </c>
    </row>
    <row r="236" spans="1:23" ht="14.25" customHeight="1">
      <c r="A236" s="3" t="s">
        <v>1146</v>
      </c>
      <c r="B236" s="3" t="s">
        <v>72</v>
      </c>
      <c r="C236" s="3" t="s">
        <v>223</v>
      </c>
      <c r="D236" s="3" t="s">
        <v>737</v>
      </c>
      <c r="E236" s="3" t="s">
        <v>95</v>
      </c>
      <c r="F236" s="3" t="s">
        <v>218</v>
      </c>
      <c r="G236" s="3" t="s">
        <v>77</v>
      </c>
      <c r="H236" s="3" t="s">
        <v>1147</v>
      </c>
      <c r="I236" s="3" t="s">
        <v>106</v>
      </c>
      <c r="J236" s="3" t="s">
        <v>107</v>
      </c>
      <c r="K236" s="3" t="s">
        <v>123</v>
      </c>
      <c r="L236" s="3" t="s">
        <v>228</v>
      </c>
      <c r="M236" s="3">
        <v>5</v>
      </c>
      <c r="N236" s="3">
        <v>20</v>
      </c>
      <c r="O236" s="3">
        <v>0</v>
      </c>
      <c r="P236" s="3">
        <v>100</v>
      </c>
      <c r="Q236" s="3">
        <v>3</v>
      </c>
      <c r="R236" s="3" t="s">
        <v>35</v>
      </c>
      <c r="S236" s="3" t="s">
        <v>152</v>
      </c>
      <c r="T236" s="3" t="s">
        <v>81</v>
      </c>
      <c r="U236" s="5" t="s">
        <v>1148</v>
      </c>
      <c r="V236" s="3" t="s">
        <v>39</v>
      </c>
      <c r="W236" t="str">
        <f t="shared" si="3"/>
        <v>Silver</v>
      </c>
    </row>
    <row r="237" spans="1:23" ht="14.25" customHeight="1">
      <c r="A237" s="6" t="s">
        <v>1149</v>
      </c>
      <c r="B237" s="6" t="s">
        <v>128</v>
      </c>
      <c r="C237" s="6" t="s">
        <v>41</v>
      </c>
      <c r="D237" s="6" t="s">
        <v>1150</v>
      </c>
      <c r="E237" s="6" t="s">
        <v>780</v>
      </c>
      <c r="F237" s="6" t="s">
        <v>201</v>
      </c>
      <c r="G237" s="6" t="s">
        <v>77</v>
      </c>
      <c r="H237" s="6" t="s">
        <v>1151</v>
      </c>
      <c r="I237" s="6" t="s">
        <v>45</v>
      </c>
      <c r="J237" s="6" t="s">
        <v>46</v>
      </c>
      <c r="K237" s="6" t="s">
        <v>47</v>
      </c>
      <c r="L237" s="6" t="s">
        <v>48</v>
      </c>
      <c r="M237" s="6">
        <v>8</v>
      </c>
      <c r="N237" s="6">
        <v>12000</v>
      </c>
      <c r="O237" s="6">
        <v>20</v>
      </c>
      <c r="P237" s="6">
        <v>76800</v>
      </c>
      <c r="Q237" s="6">
        <v>3</v>
      </c>
      <c r="R237" s="6" t="s">
        <v>80</v>
      </c>
      <c r="S237" s="6" t="s">
        <v>62</v>
      </c>
      <c r="T237" s="6" t="s">
        <v>133</v>
      </c>
      <c r="U237" s="7" t="s">
        <v>1152</v>
      </c>
      <c r="V237" s="6" t="s">
        <v>65</v>
      </c>
      <c r="W237" t="str">
        <f t="shared" si="3"/>
        <v>Blacklisted</v>
      </c>
    </row>
    <row r="238" spans="1:23" ht="14.25" customHeight="1">
      <c r="A238" s="3" t="s">
        <v>1153</v>
      </c>
      <c r="B238" s="3" t="s">
        <v>128</v>
      </c>
      <c r="C238" s="3" t="s">
        <v>93</v>
      </c>
      <c r="D238" s="3" t="s">
        <v>1154</v>
      </c>
      <c r="E238" s="3" t="s">
        <v>988</v>
      </c>
      <c r="F238" s="3" t="s">
        <v>201</v>
      </c>
      <c r="G238" s="3" t="s">
        <v>77</v>
      </c>
      <c r="H238" s="3" t="s">
        <v>1155</v>
      </c>
      <c r="I238" s="3" t="s">
        <v>106</v>
      </c>
      <c r="J238" s="3" t="s">
        <v>107</v>
      </c>
      <c r="K238" s="3" t="s">
        <v>33</v>
      </c>
      <c r="L238" s="3" t="s">
        <v>98</v>
      </c>
      <c r="M238" s="3">
        <v>4</v>
      </c>
      <c r="N238" s="3">
        <v>3500</v>
      </c>
      <c r="O238" s="3">
        <v>20</v>
      </c>
      <c r="P238" s="3">
        <v>11200</v>
      </c>
      <c r="Q238" s="3">
        <v>1</v>
      </c>
      <c r="R238" s="3" t="s">
        <v>80</v>
      </c>
      <c r="S238" s="3" t="s">
        <v>116</v>
      </c>
      <c r="T238" s="3" t="s">
        <v>133</v>
      </c>
      <c r="U238" s="5" t="s">
        <v>1156</v>
      </c>
      <c r="V238" s="3" t="s">
        <v>39</v>
      </c>
      <c r="W238" t="str">
        <f t="shared" si="3"/>
        <v>Blacklisted</v>
      </c>
    </row>
    <row r="239" spans="1:23" ht="14.25" customHeight="1">
      <c r="A239" s="6" t="s">
        <v>1157</v>
      </c>
      <c r="B239" s="6" t="s">
        <v>222</v>
      </c>
      <c r="C239" s="6" t="s">
        <v>260</v>
      </c>
      <c r="D239" s="6" t="s">
        <v>629</v>
      </c>
      <c r="E239" s="6" t="s">
        <v>1158</v>
      </c>
      <c r="F239" s="6" t="s">
        <v>226</v>
      </c>
      <c r="G239" s="6" t="s">
        <v>77</v>
      </c>
      <c r="H239" s="6" t="s">
        <v>1159</v>
      </c>
      <c r="I239" s="6" t="s">
        <v>31</v>
      </c>
      <c r="J239" s="6" t="s">
        <v>32</v>
      </c>
      <c r="K239" s="6" t="s">
        <v>123</v>
      </c>
      <c r="L239" s="6" t="s">
        <v>264</v>
      </c>
      <c r="M239" s="6">
        <v>19</v>
      </c>
      <c r="N239" s="6">
        <v>45</v>
      </c>
      <c r="O239" s="6">
        <v>10</v>
      </c>
      <c r="P239" s="6">
        <v>769.5</v>
      </c>
      <c r="Q239" s="6">
        <v>1</v>
      </c>
      <c r="R239" s="6" t="s">
        <v>35</v>
      </c>
      <c r="S239" s="6" t="s">
        <v>116</v>
      </c>
      <c r="T239" s="6" t="s">
        <v>229</v>
      </c>
      <c r="U239" s="7" t="s">
        <v>1160</v>
      </c>
      <c r="V239" s="6" t="s">
        <v>39</v>
      </c>
      <c r="W239" t="str">
        <f t="shared" si="3"/>
        <v>Blacklisted</v>
      </c>
    </row>
    <row r="240" spans="1:23" ht="14.25" customHeight="1">
      <c r="A240" s="3" t="s">
        <v>1161</v>
      </c>
      <c r="B240" s="3" t="s">
        <v>54</v>
      </c>
      <c r="C240" s="3" t="s">
        <v>260</v>
      </c>
      <c r="D240" s="3" t="s">
        <v>589</v>
      </c>
      <c r="E240" s="3" t="s">
        <v>1162</v>
      </c>
      <c r="F240" s="3" t="s">
        <v>164</v>
      </c>
      <c r="G240" s="3" t="s">
        <v>29</v>
      </c>
      <c r="H240" s="3" t="s">
        <v>1163</v>
      </c>
      <c r="I240" s="3" t="s">
        <v>115</v>
      </c>
      <c r="J240" s="3" t="s">
        <v>107</v>
      </c>
      <c r="K240" s="3" t="s">
        <v>123</v>
      </c>
      <c r="L240" s="3" t="s">
        <v>264</v>
      </c>
      <c r="M240" s="3">
        <v>10</v>
      </c>
      <c r="N240" s="3">
        <v>45</v>
      </c>
      <c r="O240" s="3">
        <v>0</v>
      </c>
      <c r="P240" s="3">
        <v>450</v>
      </c>
      <c r="Q240" s="3">
        <v>4</v>
      </c>
      <c r="R240" s="3" t="s">
        <v>89</v>
      </c>
      <c r="S240" s="3" t="s">
        <v>62</v>
      </c>
      <c r="T240" s="3" t="s">
        <v>63</v>
      </c>
      <c r="U240" s="5" t="s">
        <v>1164</v>
      </c>
      <c r="V240" s="3" t="s">
        <v>39</v>
      </c>
      <c r="W240" t="str">
        <f t="shared" si="3"/>
        <v>Silver</v>
      </c>
    </row>
    <row r="241" spans="1:23" ht="14.25" customHeight="1">
      <c r="A241" s="6" t="s">
        <v>1165</v>
      </c>
      <c r="B241" s="6" t="s">
        <v>54</v>
      </c>
      <c r="C241" s="6" t="s">
        <v>260</v>
      </c>
      <c r="D241" s="6" t="s">
        <v>1166</v>
      </c>
      <c r="E241" s="6" t="s">
        <v>1040</v>
      </c>
      <c r="F241" s="6" t="s">
        <v>164</v>
      </c>
      <c r="G241" s="6" t="s">
        <v>29</v>
      </c>
      <c r="H241" s="6" t="s">
        <v>1167</v>
      </c>
      <c r="I241" s="6" t="s">
        <v>31</v>
      </c>
      <c r="J241" s="6" t="s">
        <v>32</v>
      </c>
      <c r="K241" s="6" t="s">
        <v>123</v>
      </c>
      <c r="L241" s="6" t="s">
        <v>264</v>
      </c>
      <c r="M241" s="6">
        <v>16</v>
      </c>
      <c r="N241" s="6">
        <v>45</v>
      </c>
      <c r="O241" s="6">
        <v>15</v>
      </c>
      <c r="P241" s="6">
        <v>612</v>
      </c>
      <c r="Q241" s="6">
        <v>3</v>
      </c>
      <c r="R241" s="6" t="s">
        <v>35</v>
      </c>
      <c r="S241" s="6" t="s">
        <v>116</v>
      </c>
      <c r="T241" s="6" t="s">
        <v>63</v>
      </c>
      <c r="U241" s="7" t="s">
        <v>1168</v>
      </c>
      <c r="V241" s="6" t="s">
        <v>70</v>
      </c>
      <c r="W241" t="str">
        <f t="shared" si="3"/>
        <v>Blacklisted</v>
      </c>
    </row>
    <row r="242" spans="1:23" ht="14.25" customHeight="1">
      <c r="A242" s="3" t="s">
        <v>1169</v>
      </c>
      <c r="B242" s="3" t="s">
        <v>169</v>
      </c>
      <c r="C242" s="3" t="s">
        <v>170</v>
      </c>
      <c r="D242" s="3" t="s">
        <v>120</v>
      </c>
      <c r="E242" s="3" t="s">
        <v>121</v>
      </c>
      <c r="F242" s="3" t="s">
        <v>362</v>
      </c>
      <c r="G242" s="3" t="s">
        <v>29</v>
      </c>
      <c r="H242" s="3" t="s">
        <v>1170</v>
      </c>
      <c r="I242" s="3" t="s">
        <v>115</v>
      </c>
      <c r="J242" s="3" t="s">
        <v>107</v>
      </c>
      <c r="K242" s="3" t="s">
        <v>33</v>
      </c>
      <c r="L242" s="3" t="s">
        <v>175</v>
      </c>
      <c r="M242" s="3">
        <v>16</v>
      </c>
      <c r="N242" s="3">
        <v>8500</v>
      </c>
      <c r="O242" s="3">
        <v>15</v>
      </c>
      <c r="P242" s="3">
        <v>115600</v>
      </c>
      <c r="Q242" s="3">
        <v>4</v>
      </c>
      <c r="R242" s="3" t="s">
        <v>49</v>
      </c>
      <c r="S242" s="3" t="s">
        <v>36</v>
      </c>
      <c r="T242" s="3" t="s">
        <v>176</v>
      </c>
      <c r="U242" s="5" t="s">
        <v>1171</v>
      </c>
      <c r="V242" s="3" t="s">
        <v>70</v>
      </c>
      <c r="W242" t="str">
        <f t="shared" si="3"/>
        <v>Blacklisted</v>
      </c>
    </row>
    <row r="243" spans="1:23" ht="14.25" customHeight="1">
      <c r="A243" s="6" t="s">
        <v>1172</v>
      </c>
      <c r="B243" s="6" t="s">
        <v>169</v>
      </c>
      <c r="C243" s="6" t="s">
        <v>223</v>
      </c>
      <c r="D243" s="6" t="s">
        <v>446</v>
      </c>
      <c r="E243" s="6" t="s">
        <v>1173</v>
      </c>
      <c r="F243" s="6" t="s">
        <v>362</v>
      </c>
      <c r="G243" s="6" t="s">
        <v>29</v>
      </c>
      <c r="H243" s="6" t="s">
        <v>1174</v>
      </c>
      <c r="I243" s="6" t="s">
        <v>295</v>
      </c>
      <c r="J243" s="6" t="s">
        <v>296</v>
      </c>
      <c r="K243" s="6" t="s">
        <v>123</v>
      </c>
      <c r="L243" s="6" t="s">
        <v>228</v>
      </c>
      <c r="M243" s="6">
        <v>15</v>
      </c>
      <c r="N243" s="6">
        <v>20</v>
      </c>
      <c r="O243" s="6">
        <v>20</v>
      </c>
      <c r="P243" s="6">
        <v>240</v>
      </c>
      <c r="Q243" s="6">
        <v>3</v>
      </c>
      <c r="R243" s="6" t="s">
        <v>49</v>
      </c>
      <c r="S243" s="6" t="s">
        <v>50</v>
      </c>
      <c r="T243" s="6" t="s">
        <v>176</v>
      </c>
      <c r="U243" s="7" t="s">
        <v>1175</v>
      </c>
      <c r="V243" s="6" t="s">
        <v>70</v>
      </c>
      <c r="W243" t="str">
        <f t="shared" si="3"/>
        <v>Blacklisted</v>
      </c>
    </row>
    <row r="244" spans="1:23" ht="14.25" customHeight="1">
      <c r="A244" s="3" t="s">
        <v>1176</v>
      </c>
      <c r="B244" s="3" t="s">
        <v>84</v>
      </c>
      <c r="C244" s="3" t="s">
        <v>119</v>
      </c>
      <c r="D244" s="3" t="s">
        <v>441</v>
      </c>
      <c r="E244" s="3" t="s">
        <v>1177</v>
      </c>
      <c r="F244" s="3" t="s">
        <v>181</v>
      </c>
      <c r="G244" s="3" t="s">
        <v>77</v>
      </c>
      <c r="H244" s="3" t="s">
        <v>1178</v>
      </c>
      <c r="I244" s="3" t="s">
        <v>60</v>
      </c>
      <c r="J244" s="3" t="s">
        <v>32</v>
      </c>
      <c r="K244" s="3" t="s">
        <v>123</v>
      </c>
      <c r="L244" s="3" t="s">
        <v>124</v>
      </c>
      <c r="M244" s="3">
        <v>14</v>
      </c>
      <c r="N244" s="3">
        <v>60</v>
      </c>
      <c r="O244" s="3">
        <v>5</v>
      </c>
      <c r="P244" s="3">
        <v>798</v>
      </c>
      <c r="Q244" s="3">
        <v>4</v>
      </c>
      <c r="R244" s="3" t="s">
        <v>35</v>
      </c>
      <c r="S244" s="3" t="s">
        <v>50</v>
      </c>
      <c r="T244" s="3" t="s">
        <v>90</v>
      </c>
      <c r="U244" s="5" t="s">
        <v>1179</v>
      </c>
      <c r="V244" s="3" t="s">
        <v>39</v>
      </c>
      <c r="W244" t="str">
        <f t="shared" si="3"/>
        <v>Silver</v>
      </c>
    </row>
    <row r="245" spans="1:23" ht="14.25" customHeight="1">
      <c r="A245" s="6" t="s">
        <v>1180</v>
      </c>
      <c r="B245" s="6" t="s">
        <v>54</v>
      </c>
      <c r="C245" s="6" t="s">
        <v>73</v>
      </c>
      <c r="D245" s="6" t="s">
        <v>1181</v>
      </c>
      <c r="E245" s="6" t="s">
        <v>1182</v>
      </c>
      <c r="F245" s="6" t="s">
        <v>164</v>
      </c>
      <c r="G245" s="6" t="s">
        <v>29</v>
      </c>
      <c r="H245" s="6" t="s">
        <v>1183</v>
      </c>
      <c r="I245" s="6" t="s">
        <v>106</v>
      </c>
      <c r="J245" s="6" t="s">
        <v>107</v>
      </c>
      <c r="K245" s="6" t="s">
        <v>47</v>
      </c>
      <c r="L245" s="6" t="s">
        <v>79</v>
      </c>
      <c r="M245" s="6">
        <v>19</v>
      </c>
      <c r="N245" s="6">
        <v>1200</v>
      </c>
      <c r="O245" s="6">
        <v>20</v>
      </c>
      <c r="P245" s="6">
        <v>18240</v>
      </c>
      <c r="Q245" s="6">
        <v>2</v>
      </c>
      <c r="R245" s="6" t="s">
        <v>35</v>
      </c>
      <c r="S245" s="6" t="s">
        <v>116</v>
      </c>
      <c r="T245" s="6" t="s">
        <v>63</v>
      </c>
      <c r="U245" s="7" t="s">
        <v>1184</v>
      </c>
      <c r="V245" s="6" t="s">
        <v>70</v>
      </c>
      <c r="W245" t="str">
        <f t="shared" si="3"/>
        <v>Blacklisted</v>
      </c>
    </row>
    <row r="246" spans="1:23" ht="14.25" customHeight="1">
      <c r="A246" s="3" t="s">
        <v>1185</v>
      </c>
      <c r="B246" s="3" t="s">
        <v>24</v>
      </c>
      <c r="C246" s="3" t="s">
        <v>260</v>
      </c>
      <c r="D246" s="3" t="s">
        <v>341</v>
      </c>
      <c r="E246" s="3" t="s">
        <v>347</v>
      </c>
      <c r="F246" s="3" t="s">
        <v>28</v>
      </c>
      <c r="G246" s="3" t="s">
        <v>29</v>
      </c>
      <c r="H246" s="3" t="s">
        <v>1186</v>
      </c>
      <c r="I246" s="3" t="s">
        <v>60</v>
      </c>
      <c r="J246" s="3" t="s">
        <v>32</v>
      </c>
      <c r="K246" s="3" t="s">
        <v>123</v>
      </c>
      <c r="L246" s="3" t="s">
        <v>264</v>
      </c>
      <c r="M246" s="3">
        <v>5</v>
      </c>
      <c r="N246" s="3">
        <v>45</v>
      </c>
      <c r="O246" s="3">
        <v>15</v>
      </c>
      <c r="P246" s="3">
        <v>191.25</v>
      </c>
      <c r="Q246" s="3">
        <v>2</v>
      </c>
      <c r="R246" s="3" t="s">
        <v>35</v>
      </c>
      <c r="S246" s="3" t="s">
        <v>62</v>
      </c>
      <c r="T246" s="3" t="s">
        <v>51</v>
      </c>
      <c r="U246" s="5" t="s">
        <v>1187</v>
      </c>
      <c r="V246" s="3" t="s">
        <v>70</v>
      </c>
      <c r="W246" t="str">
        <f t="shared" si="3"/>
        <v>Blacklisted</v>
      </c>
    </row>
    <row r="247" spans="1:23" ht="14.25" customHeight="1">
      <c r="A247" s="6" t="s">
        <v>1188</v>
      </c>
      <c r="B247" s="6" t="s">
        <v>328</v>
      </c>
      <c r="C247" s="6" t="s">
        <v>185</v>
      </c>
      <c r="D247" s="6" t="s">
        <v>238</v>
      </c>
      <c r="E247" s="6" t="s">
        <v>1189</v>
      </c>
      <c r="F247" s="6" t="s">
        <v>395</v>
      </c>
      <c r="G247" s="6" t="s">
        <v>77</v>
      </c>
      <c r="H247" s="6" t="s">
        <v>1190</v>
      </c>
      <c r="I247" s="6" t="s">
        <v>31</v>
      </c>
      <c r="J247" s="6" t="s">
        <v>32</v>
      </c>
      <c r="K247" s="6" t="s">
        <v>47</v>
      </c>
      <c r="L247" s="6" t="s">
        <v>190</v>
      </c>
      <c r="M247" s="6">
        <v>19</v>
      </c>
      <c r="N247" s="6">
        <v>700</v>
      </c>
      <c r="O247" s="6">
        <v>5</v>
      </c>
      <c r="P247" s="6">
        <v>12635</v>
      </c>
      <c r="Q247" s="6">
        <v>5</v>
      </c>
      <c r="R247" s="6" t="s">
        <v>89</v>
      </c>
      <c r="S247" s="6" t="s">
        <v>152</v>
      </c>
      <c r="T247" s="6" t="s">
        <v>333</v>
      </c>
      <c r="U247" s="7" t="s">
        <v>1191</v>
      </c>
      <c r="V247" s="6" t="s">
        <v>39</v>
      </c>
      <c r="W247" t="str">
        <f t="shared" si="3"/>
        <v>Silver</v>
      </c>
    </row>
    <row r="248" spans="1:23" ht="14.25" customHeight="1">
      <c r="A248" s="3" t="s">
        <v>1192</v>
      </c>
      <c r="B248" s="3" t="s">
        <v>128</v>
      </c>
      <c r="C248" s="3" t="s">
        <v>119</v>
      </c>
      <c r="D248" s="3" t="s">
        <v>465</v>
      </c>
      <c r="E248" s="3" t="s">
        <v>85</v>
      </c>
      <c r="F248" s="3" t="s">
        <v>201</v>
      </c>
      <c r="G248" s="3" t="s">
        <v>77</v>
      </c>
      <c r="H248" s="3" t="s">
        <v>1193</v>
      </c>
      <c r="I248" s="3" t="s">
        <v>295</v>
      </c>
      <c r="J248" s="3" t="s">
        <v>296</v>
      </c>
      <c r="K248" s="3" t="s">
        <v>123</v>
      </c>
      <c r="L248" s="3" t="s">
        <v>124</v>
      </c>
      <c r="M248" s="3">
        <v>7</v>
      </c>
      <c r="N248" s="3">
        <v>60</v>
      </c>
      <c r="O248" s="3">
        <v>0</v>
      </c>
      <c r="P248" s="3">
        <v>420</v>
      </c>
      <c r="Q248" s="3">
        <v>4</v>
      </c>
      <c r="R248" s="3" t="s">
        <v>35</v>
      </c>
      <c r="S248" s="3" t="s">
        <v>116</v>
      </c>
      <c r="T248" s="3" t="s">
        <v>133</v>
      </c>
      <c r="U248" s="5" t="s">
        <v>1194</v>
      </c>
      <c r="V248" s="3" t="s">
        <v>65</v>
      </c>
      <c r="W248" t="str">
        <f t="shared" si="3"/>
        <v>Blacklisted</v>
      </c>
    </row>
    <row r="249" spans="1:23" ht="14.25" customHeight="1">
      <c r="A249" s="6" t="s">
        <v>1195</v>
      </c>
      <c r="B249" s="6" t="s">
        <v>72</v>
      </c>
      <c r="C249" s="6" t="s">
        <v>25</v>
      </c>
      <c r="D249" s="6" t="s">
        <v>216</v>
      </c>
      <c r="E249" s="6" t="s">
        <v>712</v>
      </c>
      <c r="F249" s="6" t="s">
        <v>218</v>
      </c>
      <c r="G249" s="6" t="s">
        <v>77</v>
      </c>
      <c r="H249" s="6" t="s">
        <v>1196</v>
      </c>
      <c r="I249" s="6" t="s">
        <v>106</v>
      </c>
      <c r="J249" s="6" t="s">
        <v>107</v>
      </c>
      <c r="K249" s="6" t="s">
        <v>33</v>
      </c>
      <c r="L249" s="6" t="s">
        <v>34</v>
      </c>
      <c r="M249" s="6">
        <v>13</v>
      </c>
      <c r="N249" s="6">
        <v>2200</v>
      </c>
      <c r="O249" s="6">
        <v>10</v>
      </c>
      <c r="P249" s="6">
        <v>25740</v>
      </c>
      <c r="Q249" s="6">
        <v>1</v>
      </c>
      <c r="R249" s="6" t="s">
        <v>80</v>
      </c>
      <c r="S249" s="6" t="s">
        <v>152</v>
      </c>
      <c r="T249" s="6" t="s">
        <v>81</v>
      </c>
      <c r="U249" s="7" t="s">
        <v>1197</v>
      </c>
      <c r="V249" s="6" t="s">
        <v>39</v>
      </c>
      <c r="W249" t="str">
        <f t="shared" si="3"/>
        <v>Blacklisted</v>
      </c>
    </row>
    <row r="250" spans="1:23" ht="14.25" customHeight="1">
      <c r="A250" s="3" t="s">
        <v>1198</v>
      </c>
      <c r="B250" s="3" t="s">
        <v>72</v>
      </c>
      <c r="C250" s="3" t="s">
        <v>25</v>
      </c>
      <c r="D250" s="3" t="s">
        <v>1199</v>
      </c>
      <c r="E250" s="3" t="s">
        <v>1200</v>
      </c>
      <c r="F250" s="3" t="s">
        <v>218</v>
      </c>
      <c r="G250" s="3" t="s">
        <v>77</v>
      </c>
      <c r="H250" s="3" t="s">
        <v>1201</v>
      </c>
      <c r="I250" s="3" t="s">
        <v>60</v>
      </c>
      <c r="J250" s="3" t="s">
        <v>32</v>
      </c>
      <c r="K250" s="3" t="s">
        <v>33</v>
      </c>
      <c r="L250" s="3" t="s">
        <v>34</v>
      </c>
      <c r="M250" s="3">
        <v>9</v>
      </c>
      <c r="N250" s="3">
        <v>2200</v>
      </c>
      <c r="O250" s="3">
        <v>10</v>
      </c>
      <c r="P250" s="3">
        <v>17820</v>
      </c>
      <c r="Q250" s="3">
        <v>2</v>
      </c>
      <c r="R250" s="3" t="s">
        <v>1202</v>
      </c>
      <c r="S250" s="3" t="s">
        <v>62</v>
      </c>
      <c r="T250" s="3" t="s">
        <v>81</v>
      </c>
      <c r="U250" s="5" t="s">
        <v>1203</v>
      </c>
      <c r="V250" s="3" t="s">
        <v>70</v>
      </c>
      <c r="W250" t="str">
        <f t="shared" si="3"/>
        <v>Blacklisted</v>
      </c>
    </row>
    <row r="251" spans="1:23" ht="14.25" customHeight="1">
      <c r="A251" s="6" t="s">
        <v>1204</v>
      </c>
      <c r="B251" s="6" t="s">
        <v>328</v>
      </c>
      <c r="C251" s="6" t="s">
        <v>170</v>
      </c>
      <c r="D251" s="6" t="s">
        <v>945</v>
      </c>
      <c r="E251" s="6" t="s">
        <v>1205</v>
      </c>
      <c r="F251" s="6" t="s">
        <v>395</v>
      </c>
      <c r="G251" s="6" t="s">
        <v>77</v>
      </c>
      <c r="H251" s="6" t="s">
        <v>1206</v>
      </c>
      <c r="I251" s="6" t="s">
        <v>60</v>
      </c>
      <c r="J251" s="6" t="s">
        <v>32</v>
      </c>
      <c r="K251" s="6" t="s">
        <v>33</v>
      </c>
      <c r="L251" s="6" t="s">
        <v>175</v>
      </c>
      <c r="M251" s="6">
        <v>6</v>
      </c>
      <c r="N251" s="6">
        <v>8500</v>
      </c>
      <c r="O251" s="6">
        <v>15</v>
      </c>
      <c r="P251" s="6">
        <v>43350</v>
      </c>
      <c r="Q251" s="6">
        <v>2</v>
      </c>
      <c r="R251" s="6" t="s">
        <v>35</v>
      </c>
      <c r="S251" s="6" t="s">
        <v>152</v>
      </c>
      <c r="T251" s="6" t="s">
        <v>333</v>
      </c>
      <c r="U251" s="7" t="s">
        <v>1207</v>
      </c>
      <c r="V251" s="6" t="s">
        <v>70</v>
      </c>
      <c r="W251" t="str">
        <f t="shared" si="3"/>
        <v>Blacklisted</v>
      </c>
    </row>
    <row r="252" spans="1:23" ht="14.25" customHeight="1">
      <c r="A252" s="3" t="s">
        <v>1208</v>
      </c>
      <c r="B252" s="3" t="s">
        <v>222</v>
      </c>
      <c r="C252" s="3" t="s">
        <v>25</v>
      </c>
      <c r="D252" s="3" t="s">
        <v>737</v>
      </c>
      <c r="E252" s="3" t="s">
        <v>95</v>
      </c>
      <c r="F252" s="3" t="s">
        <v>226</v>
      </c>
      <c r="G252" s="3" t="s">
        <v>77</v>
      </c>
      <c r="H252" s="3" t="s">
        <v>1209</v>
      </c>
      <c r="I252" s="3" t="s">
        <v>45</v>
      </c>
      <c r="J252" s="3" t="s">
        <v>46</v>
      </c>
      <c r="K252" s="3" t="s">
        <v>33</v>
      </c>
      <c r="L252" s="3" t="s">
        <v>34</v>
      </c>
      <c r="M252" s="3">
        <v>9</v>
      </c>
      <c r="N252" s="3">
        <v>2200</v>
      </c>
      <c r="O252" s="3">
        <v>10</v>
      </c>
      <c r="P252" s="3">
        <v>17820</v>
      </c>
      <c r="Q252" s="3">
        <v>3</v>
      </c>
      <c r="R252" s="3" t="s">
        <v>80</v>
      </c>
      <c r="S252" s="3" t="s">
        <v>36</v>
      </c>
      <c r="T252" s="3" t="s">
        <v>229</v>
      </c>
      <c r="U252" s="5" t="s">
        <v>1210</v>
      </c>
      <c r="V252" s="3" t="s">
        <v>65</v>
      </c>
      <c r="W252" t="str">
        <f t="shared" si="3"/>
        <v>Blacklisted</v>
      </c>
    </row>
    <row r="253" spans="1:23" ht="14.25" customHeight="1">
      <c r="A253" s="6" t="s">
        <v>1211</v>
      </c>
      <c r="B253" s="6" t="s">
        <v>24</v>
      </c>
      <c r="C253" s="6" t="s">
        <v>170</v>
      </c>
      <c r="D253" s="6" t="s">
        <v>826</v>
      </c>
      <c r="E253" s="6" t="s">
        <v>877</v>
      </c>
      <c r="F253" s="6" t="s">
        <v>28</v>
      </c>
      <c r="G253" s="6" t="s">
        <v>29</v>
      </c>
      <c r="H253" s="6" t="s">
        <v>1212</v>
      </c>
      <c r="I253" s="6" t="s">
        <v>295</v>
      </c>
      <c r="J253" s="6" t="s">
        <v>296</v>
      </c>
      <c r="K253" s="6" t="s">
        <v>33</v>
      </c>
      <c r="L253" s="6" t="s">
        <v>175</v>
      </c>
      <c r="M253" s="6">
        <v>16</v>
      </c>
      <c r="N253" s="6">
        <v>8500</v>
      </c>
      <c r="O253" s="6">
        <v>0</v>
      </c>
      <c r="P253" s="6">
        <v>136000</v>
      </c>
      <c r="Q253" s="6">
        <v>5</v>
      </c>
      <c r="R253" s="6" t="s">
        <v>89</v>
      </c>
      <c r="S253" s="6" t="s">
        <v>116</v>
      </c>
      <c r="T253" s="6" t="s">
        <v>51</v>
      </c>
      <c r="U253" s="7" t="s">
        <v>1213</v>
      </c>
      <c r="V253" s="6" t="s">
        <v>70</v>
      </c>
      <c r="W253" t="str">
        <f t="shared" si="3"/>
        <v>Blacklisted</v>
      </c>
    </row>
    <row r="254" spans="1:23" ht="14.25" customHeight="1">
      <c r="A254" s="3" t="s">
        <v>1214</v>
      </c>
      <c r="B254" s="3" t="s">
        <v>328</v>
      </c>
      <c r="C254" s="3" t="s">
        <v>73</v>
      </c>
      <c r="D254" s="3" t="s">
        <v>1215</v>
      </c>
      <c r="E254" s="3" t="s">
        <v>693</v>
      </c>
      <c r="F254" s="3" t="s">
        <v>395</v>
      </c>
      <c r="G254" s="3" t="s">
        <v>77</v>
      </c>
      <c r="H254" s="3" t="s">
        <v>1216</v>
      </c>
      <c r="I254" s="3" t="s">
        <v>45</v>
      </c>
      <c r="J254" s="3" t="s">
        <v>46</v>
      </c>
      <c r="K254" s="3" t="s">
        <v>47</v>
      </c>
      <c r="L254" s="3" t="s">
        <v>79</v>
      </c>
      <c r="M254" s="3">
        <v>10</v>
      </c>
      <c r="N254" s="3">
        <v>1200</v>
      </c>
      <c r="O254" s="3">
        <v>15</v>
      </c>
      <c r="P254" s="3">
        <v>10200</v>
      </c>
      <c r="Q254" s="3">
        <v>5</v>
      </c>
      <c r="R254" s="3" t="s">
        <v>35</v>
      </c>
      <c r="S254" s="3" t="s">
        <v>50</v>
      </c>
      <c r="T254" s="3" t="s">
        <v>333</v>
      </c>
      <c r="U254" s="5" t="s">
        <v>1217</v>
      </c>
      <c r="V254" s="3" t="s">
        <v>39</v>
      </c>
      <c r="W254" t="str">
        <f t="shared" si="3"/>
        <v>Silver</v>
      </c>
    </row>
    <row r="255" spans="1:23" ht="14.25" customHeight="1">
      <c r="A255" s="6" t="s">
        <v>1218</v>
      </c>
      <c r="B255" s="6" t="s">
        <v>128</v>
      </c>
      <c r="C255" s="6" t="s">
        <v>41</v>
      </c>
      <c r="D255" s="6" t="s">
        <v>414</v>
      </c>
      <c r="E255" s="6" t="s">
        <v>137</v>
      </c>
      <c r="F255" s="6" t="s">
        <v>201</v>
      </c>
      <c r="G255" s="6" t="s">
        <v>77</v>
      </c>
      <c r="H255" s="6" t="s">
        <v>1219</v>
      </c>
      <c r="I255" s="6" t="s">
        <v>295</v>
      </c>
      <c r="J255" s="6" t="s">
        <v>296</v>
      </c>
      <c r="K255" s="6" t="s">
        <v>47</v>
      </c>
      <c r="L255" s="6" t="s">
        <v>48</v>
      </c>
      <c r="M255" s="6">
        <v>7</v>
      </c>
      <c r="N255" s="6">
        <v>12000</v>
      </c>
      <c r="O255" s="6">
        <v>0</v>
      </c>
      <c r="P255" s="6">
        <v>84000</v>
      </c>
      <c r="Q255" s="6">
        <v>1</v>
      </c>
      <c r="R255" s="6" t="s">
        <v>89</v>
      </c>
      <c r="S255" s="6" t="s">
        <v>152</v>
      </c>
      <c r="T255" s="6" t="s">
        <v>133</v>
      </c>
      <c r="U255" s="7" t="s">
        <v>1220</v>
      </c>
      <c r="V255" s="6" t="s">
        <v>65</v>
      </c>
      <c r="W255" t="str">
        <f t="shared" si="3"/>
        <v>Blacklisted</v>
      </c>
    </row>
    <row r="256" spans="1:23" ht="14.25" customHeight="1">
      <c r="A256" s="3" t="s">
        <v>1221</v>
      </c>
      <c r="B256" s="3" t="s">
        <v>222</v>
      </c>
      <c r="C256" s="3" t="s">
        <v>41</v>
      </c>
      <c r="D256" s="3" t="s">
        <v>129</v>
      </c>
      <c r="E256" s="3" t="s">
        <v>1222</v>
      </c>
      <c r="F256" s="3" t="s">
        <v>226</v>
      </c>
      <c r="G256" s="3" t="s">
        <v>77</v>
      </c>
      <c r="H256" s="3" t="s">
        <v>1223</v>
      </c>
      <c r="I256" s="3" t="s">
        <v>115</v>
      </c>
      <c r="J256" s="3" t="s">
        <v>107</v>
      </c>
      <c r="K256" s="3" t="s">
        <v>47</v>
      </c>
      <c r="L256" s="3" t="s">
        <v>48</v>
      </c>
      <c r="M256" s="3">
        <v>3</v>
      </c>
      <c r="N256" s="3">
        <v>12000</v>
      </c>
      <c r="O256" s="3">
        <v>10</v>
      </c>
      <c r="P256" s="3">
        <v>32400</v>
      </c>
      <c r="Q256" s="3">
        <v>4</v>
      </c>
      <c r="R256" s="3" t="s">
        <v>80</v>
      </c>
      <c r="S256" s="3" t="s">
        <v>152</v>
      </c>
      <c r="T256" s="3" t="s">
        <v>229</v>
      </c>
      <c r="U256" s="5" t="s">
        <v>1224</v>
      </c>
      <c r="V256" s="3" t="s">
        <v>39</v>
      </c>
      <c r="W256" t="str">
        <f t="shared" si="3"/>
        <v>Silver</v>
      </c>
    </row>
    <row r="257" spans="1:23" ht="14.25" customHeight="1">
      <c r="A257" s="6" t="s">
        <v>1225</v>
      </c>
      <c r="B257" s="6" t="s">
        <v>222</v>
      </c>
      <c r="C257" s="6" t="s">
        <v>41</v>
      </c>
      <c r="D257" s="6" t="s">
        <v>1226</v>
      </c>
      <c r="E257" s="6" t="s">
        <v>928</v>
      </c>
      <c r="F257" s="6" t="s">
        <v>226</v>
      </c>
      <c r="G257" s="6" t="s">
        <v>77</v>
      </c>
      <c r="H257" s="6" t="s">
        <v>1227</v>
      </c>
      <c r="I257" s="6" t="s">
        <v>31</v>
      </c>
      <c r="J257" s="6" t="s">
        <v>32</v>
      </c>
      <c r="K257" s="6" t="s">
        <v>47</v>
      </c>
      <c r="L257" s="6" t="s">
        <v>48</v>
      </c>
      <c r="M257" s="6">
        <v>4</v>
      </c>
      <c r="N257" s="6">
        <v>12000</v>
      </c>
      <c r="O257" s="6">
        <v>15</v>
      </c>
      <c r="P257" s="6">
        <v>40800</v>
      </c>
      <c r="Q257" s="6">
        <v>3</v>
      </c>
      <c r="R257" s="6" t="s">
        <v>80</v>
      </c>
      <c r="S257" s="6" t="s">
        <v>36</v>
      </c>
      <c r="T257" s="6" t="s">
        <v>229</v>
      </c>
      <c r="U257" s="7" t="s">
        <v>1228</v>
      </c>
      <c r="V257" s="6" t="s">
        <v>65</v>
      </c>
      <c r="W257" t="str">
        <f t="shared" si="3"/>
        <v>Blacklisted</v>
      </c>
    </row>
    <row r="258" spans="1:23" ht="14.25" customHeight="1">
      <c r="A258" s="3" t="s">
        <v>1229</v>
      </c>
      <c r="B258" s="3" t="s">
        <v>128</v>
      </c>
      <c r="C258" s="3" t="s">
        <v>41</v>
      </c>
      <c r="D258" s="3" t="s">
        <v>261</v>
      </c>
      <c r="E258" s="3" t="s">
        <v>499</v>
      </c>
      <c r="F258" s="3" t="s">
        <v>201</v>
      </c>
      <c r="G258" s="3" t="s">
        <v>77</v>
      </c>
      <c r="H258" s="3" t="s">
        <v>1230</v>
      </c>
      <c r="I258" s="3" t="s">
        <v>31</v>
      </c>
      <c r="J258" s="3" t="s">
        <v>32</v>
      </c>
      <c r="K258" s="3" t="s">
        <v>47</v>
      </c>
      <c r="L258" s="3" t="s">
        <v>48</v>
      </c>
      <c r="M258" s="3">
        <v>13</v>
      </c>
      <c r="N258" s="3">
        <v>12000</v>
      </c>
      <c r="O258" s="3">
        <v>10</v>
      </c>
      <c r="P258" s="3">
        <v>140400</v>
      </c>
      <c r="Q258" s="3">
        <v>2</v>
      </c>
      <c r="R258" s="3" t="s">
        <v>35</v>
      </c>
      <c r="S258" s="3" t="s">
        <v>152</v>
      </c>
      <c r="T258" s="3" t="s">
        <v>133</v>
      </c>
      <c r="U258" s="5" t="s">
        <v>1231</v>
      </c>
      <c r="V258" s="3" t="s">
        <v>70</v>
      </c>
      <c r="W258" t="str">
        <f t="shared" ref="W258:W321" si="4">IF(OR(Q258&lt;=2,V258="Cancelled"),"Blacklisted",IF(AND(P258&gt;=100000,Q258&gt;=4,O258&lt;=10%,V258="Completed"),"Platinum",IF(AND(P258&gt;=50000,P258&lt;100000,Q258&gt;=3,V258="Completed"),"Gold",IF(AND(P258&lt;50000,V258="Completed"),"Silver","Blacklisted"))))</f>
        <v>Blacklisted</v>
      </c>
    </row>
    <row r="259" spans="1:23" ht="14.25" customHeight="1">
      <c r="A259" s="6" t="s">
        <v>1232</v>
      </c>
      <c r="B259" s="6" t="s">
        <v>24</v>
      </c>
      <c r="C259" s="6" t="s">
        <v>93</v>
      </c>
      <c r="D259" s="6" t="s">
        <v>319</v>
      </c>
      <c r="E259" s="6" t="s">
        <v>680</v>
      </c>
      <c r="F259" s="6" t="s">
        <v>28</v>
      </c>
      <c r="G259" s="6" t="s">
        <v>29</v>
      </c>
      <c r="H259" s="6" t="s">
        <v>1233</v>
      </c>
      <c r="I259" s="6" t="s">
        <v>60</v>
      </c>
      <c r="J259" s="6" t="s">
        <v>32</v>
      </c>
      <c r="K259" s="6" t="s">
        <v>33</v>
      </c>
      <c r="L259" s="6" t="s">
        <v>98</v>
      </c>
      <c r="M259" s="6">
        <v>19</v>
      </c>
      <c r="N259" s="6">
        <v>3500</v>
      </c>
      <c r="O259" s="6">
        <v>20</v>
      </c>
      <c r="P259" s="6">
        <v>53200</v>
      </c>
      <c r="Q259" s="6">
        <v>1</v>
      </c>
      <c r="R259" s="6" t="s">
        <v>35</v>
      </c>
      <c r="S259" s="6" t="s">
        <v>62</v>
      </c>
      <c r="T259" s="6" t="s">
        <v>51</v>
      </c>
      <c r="U259" s="7" t="s">
        <v>1234</v>
      </c>
      <c r="V259" s="6" t="s">
        <v>70</v>
      </c>
      <c r="W259" t="str">
        <f t="shared" si="4"/>
        <v>Blacklisted</v>
      </c>
    </row>
    <row r="260" spans="1:23" ht="14.25" customHeight="1">
      <c r="A260" s="3" t="s">
        <v>1235</v>
      </c>
      <c r="B260" s="3" t="s">
        <v>24</v>
      </c>
      <c r="C260" s="3" t="s">
        <v>25</v>
      </c>
      <c r="D260" s="3" t="s">
        <v>933</v>
      </c>
      <c r="E260" s="3" t="s">
        <v>437</v>
      </c>
      <c r="F260" s="3" t="s">
        <v>28</v>
      </c>
      <c r="G260" s="3" t="s">
        <v>29</v>
      </c>
      <c r="H260" s="3" t="s">
        <v>1236</v>
      </c>
      <c r="I260" s="3" t="s">
        <v>106</v>
      </c>
      <c r="J260" s="3" t="s">
        <v>107</v>
      </c>
      <c r="K260" s="3" t="s">
        <v>33</v>
      </c>
      <c r="L260" s="3" t="s">
        <v>34</v>
      </c>
      <c r="M260" s="3">
        <v>7</v>
      </c>
      <c r="N260" s="3">
        <v>2200</v>
      </c>
      <c r="O260" s="3">
        <v>5</v>
      </c>
      <c r="P260" s="3">
        <v>14630</v>
      </c>
      <c r="Q260" s="3">
        <v>3</v>
      </c>
      <c r="R260" s="3" t="s">
        <v>89</v>
      </c>
      <c r="S260" s="3" t="s">
        <v>62</v>
      </c>
      <c r="T260" s="3" t="s">
        <v>51</v>
      </c>
      <c r="U260" s="5" t="s">
        <v>1237</v>
      </c>
      <c r="V260" s="3" t="s">
        <v>70</v>
      </c>
      <c r="W260" t="str">
        <f t="shared" si="4"/>
        <v>Blacklisted</v>
      </c>
    </row>
    <row r="261" spans="1:23" ht="14.25" customHeight="1">
      <c r="A261" s="6" t="s">
        <v>1238</v>
      </c>
      <c r="B261" s="6" t="s">
        <v>84</v>
      </c>
      <c r="C261" s="6" t="s">
        <v>185</v>
      </c>
      <c r="D261" s="6" t="s">
        <v>1239</v>
      </c>
      <c r="E261" s="6" t="s">
        <v>427</v>
      </c>
      <c r="F261" s="6" t="s">
        <v>181</v>
      </c>
      <c r="G261" s="6" t="s">
        <v>77</v>
      </c>
      <c r="H261" s="6" t="s">
        <v>1240</v>
      </c>
      <c r="I261" s="6" t="s">
        <v>213</v>
      </c>
      <c r="J261" s="6" t="s">
        <v>46</v>
      </c>
      <c r="K261" s="6" t="s">
        <v>47</v>
      </c>
      <c r="L261" s="6" t="s">
        <v>190</v>
      </c>
      <c r="M261" s="6">
        <v>18</v>
      </c>
      <c r="N261" s="6">
        <v>700</v>
      </c>
      <c r="O261" s="6">
        <v>5</v>
      </c>
      <c r="P261" s="6">
        <v>11970</v>
      </c>
      <c r="Q261" s="6">
        <v>2</v>
      </c>
      <c r="R261" s="6" t="s">
        <v>89</v>
      </c>
      <c r="S261" s="6" t="s">
        <v>62</v>
      </c>
      <c r="T261" s="6" t="s">
        <v>90</v>
      </c>
      <c r="U261" s="7" t="s">
        <v>1241</v>
      </c>
      <c r="V261" s="6" t="s">
        <v>70</v>
      </c>
      <c r="W261" t="str">
        <f t="shared" si="4"/>
        <v>Blacklisted</v>
      </c>
    </row>
    <row r="262" spans="1:23" ht="14.25" customHeight="1">
      <c r="A262" s="3" t="s">
        <v>1242</v>
      </c>
      <c r="B262" s="3" t="s">
        <v>24</v>
      </c>
      <c r="C262" s="3" t="s">
        <v>223</v>
      </c>
      <c r="D262" s="3" t="s">
        <v>1107</v>
      </c>
      <c r="E262" s="3" t="s">
        <v>1243</v>
      </c>
      <c r="F262" s="3" t="s">
        <v>28</v>
      </c>
      <c r="G262" s="3" t="s">
        <v>29</v>
      </c>
      <c r="H262" s="3" t="s">
        <v>1244</v>
      </c>
      <c r="I262" s="3" t="s">
        <v>295</v>
      </c>
      <c r="J262" s="3" t="s">
        <v>296</v>
      </c>
      <c r="K262" s="3" t="s">
        <v>123</v>
      </c>
      <c r="L262" s="3" t="s">
        <v>228</v>
      </c>
      <c r="M262" s="3">
        <v>11</v>
      </c>
      <c r="N262" s="3">
        <v>20</v>
      </c>
      <c r="O262" s="3">
        <v>0</v>
      </c>
      <c r="P262" s="3">
        <v>220</v>
      </c>
      <c r="Q262" s="3">
        <v>2</v>
      </c>
      <c r="R262" s="3" t="s">
        <v>49</v>
      </c>
      <c r="S262" s="3" t="s">
        <v>116</v>
      </c>
      <c r="T262" s="3" t="s">
        <v>51</v>
      </c>
      <c r="U262" s="5" t="s">
        <v>1245</v>
      </c>
      <c r="V262" s="3" t="s">
        <v>70</v>
      </c>
      <c r="W262" t="str">
        <f t="shared" si="4"/>
        <v>Blacklisted</v>
      </c>
    </row>
    <row r="263" spans="1:23" ht="14.25" customHeight="1">
      <c r="A263" s="6" t="s">
        <v>1246</v>
      </c>
      <c r="B263" s="6" t="s">
        <v>328</v>
      </c>
      <c r="C263" s="6" t="s">
        <v>41</v>
      </c>
      <c r="D263" s="6" t="s">
        <v>1070</v>
      </c>
      <c r="E263" s="6" t="s">
        <v>273</v>
      </c>
      <c r="F263" s="6" t="s">
        <v>395</v>
      </c>
      <c r="G263" s="6" t="s">
        <v>77</v>
      </c>
      <c r="H263" s="6" t="s">
        <v>1247</v>
      </c>
      <c r="I263" s="6" t="s">
        <v>115</v>
      </c>
      <c r="J263" s="6" t="s">
        <v>107</v>
      </c>
      <c r="K263" s="6" t="s">
        <v>47</v>
      </c>
      <c r="L263" s="6" t="s">
        <v>48</v>
      </c>
      <c r="M263" s="6">
        <v>17</v>
      </c>
      <c r="N263" s="6">
        <v>12000</v>
      </c>
      <c r="O263" s="6">
        <v>20</v>
      </c>
      <c r="P263" s="6">
        <v>163200</v>
      </c>
      <c r="Q263" s="6">
        <v>4</v>
      </c>
      <c r="R263" s="6" t="s">
        <v>89</v>
      </c>
      <c r="S263" s="6" t="s">
        <v>152</v>
      </c>
      <c r="T263" s="6" t="s">
        <v>333</v>
      </c>
      <c r="U263" s="7" t="s">
        <v>1248</v>
      </c>
      <c r="V263" s="6" t="s">
        <v>39</v>
      </c>
      <c r="W263" t="str">
        <f t="shared" si="4"/>
        <v>Blacklisted</v>
      </c>
    </row>
    <row r="264" spans="1:23" ht="14.25" customHeight="1">
      <c r="A264" s="3" t="s">
        <v>1249</v>
      </c>
      <c r="B264" s="3" t="s">
        <v>252</v>
      </c>
      <c r="C264" s="3" t="s">
        <v>25</v>
      </c>
      <c r="D264" s="3" t="s">
        <v>1250</v>
      </c>
      <c r="E264" s="3" t="s">
        <v>268</v>
      </c>
      <c r="F264" s="3" t="s">
        <v>255</v>
      </c>
      <c r="G264" s="3" t="s">
        <v>29</v>
      </c>
      <c r="H264" s="3" t="s">
        <v>1251</v>
      </c>
      <c r="I264" s="3" t="s">
        <v>295</v>
      </c>
      <c r="J264" s="3" t="s">
        <v>296</v>
      </c>
      <c r="K264" s="3" t="s">
        <v>33</v>
      </c>
      <c r="L264" s="3" t="s">
        <v>34</v>
      </c>
      <c r="M264" s="3">
        <v>4</v>
      </c>
      <c r="N264" s="3">
        <v>2200</v>
      </c>
      <c r="O264" s="3">
        <v>5</v>
      </c>
      <c r="P264" s="3">
        <v>8360</v>
      </c>
      <c r="Q264" s="3">
        <v>2</v>
      </c>
      <c r="R264" s="3" t="s">
        <v>35</v>
      </c>
      <c r="S264" s="3" t="s">
        <v>36</v>
      </c>
      <c r="T264" s="3" t="s">
        <v>257</v>
      </c>
      <c r="U264" s="5" t="s">
        <v>1252</v>
      </c>
      <c r="V264" s="3" t="s">
        <v>39</v>
      </c>
      <c r="W264" t="str">
        <f t="shared" si="4"/>
        <v>Blacklisted</v>
      </c>
    </row>
    <row r="265" spans="1:23" ht="14.25" customHeight="1">
      <c r="A265" s="6" t="s">
        <v>1253</v>
      </c>
      <c r="B265" s="6" t="s">
        <v>24</v>
      </c>
      <c r="C265" s="6" t="s">
        <v>55</v>
      </c>
      <c r="D265" s="6" t="s">
        <v>1254</v>
      </c>
      <c r="E265" s="6" t="s">
        <v>456</v>
      </c>
      <c r="F265" s="6" t="s">
        <v>28</v>
      </c>
      <c r="G265" s="6" t="s">
        <v>29</v>
      </c>
      <c r="H265" s="6" t="s">
        <v>1255</v>
      </c>
      <c r="I265" s="6" t="s">
        <v>139</v>
      </c>
      <c r="J265" s="6" t="s">
        <v>107</v>
      </c>
      <c r="K265" s="6" t="s">
        <v>47</v>
      </c>
      <c r="L265" s="6" t="s">
        <v>61</v>
      </c>
      <c r="M265" s="6">
        <v>6</v>
      </c>
      <c r="N265" s="6">
        <v>55000</v>
      </c>
      <c r="O265" s="6">
        <v>20</v>
      </c>
      <c r="P265" s="6">
        <v>264000</v>
      </c>
      <c r="Q265" s="6">
        <v>2</v>
      </c>
      <c r="R265" s="6" t="s">
        <v>89</v>
      </c>
      <c r="S265" s="6" t="s">
        <v>152</v>
      </c>
      <c r="T265" s="6" t="s">
        <v>51</v>
      </c>
      <c r="U265" s="7" t="s">
        <v>1256</v>
      </c>
      <c r="V265" s="6" t="s">
        <v>70</v>
      </c>
      <c r="W265" t="str">
        <f t="shared" si="4"/>
        <v>Blacklisted</v>
      </c>
    </row>
    <row r="266" spans="1:23" ht="14.25" customHeight="1">
      <c r="A266" s="3" t="s">
        <v>1257</v>
      </c>
      <c r="B266" s="3" t="s">
        <v>72</v>
      </c>
      <c r="C266" s="3" t="s">
        <v>170</v>
      </c>
      <c r="D266" s="3" t="s">
        <v>85</v>
      </c>
      <c r="E266" s="3" t="s">
        <v>999</v>
      </c>
      <c r="F266" s="3" t="s">
        <v>218</v>
      </c>
      <c r="G266" s="3" t="s">
        <v>77</v>
      </c>
      <c r="H266" s="3" t="s">
        <v>1258</v>
      </c>
      <c r="I266" s="3" t="s">
        <v>45</v>
      </c>
      <c r="J266" s="3" t="s">
        <v>46</v>
      </c>
      <c r="K266" s="3" t="s">
        <v>33</v>
      </c>
      <c r="L266" s="3" t="s">
        <v>175</v>
      </c>
      <c r="M266" s="3">
        <v>6</v>
      </c>
      <c r="N266" s="3">
        <v>8500</v>
      </c>
      <c r="O266" s="3">
        <v>10</v>
      </c>
      <c r="P266" s="3">
        <v>45900</v>
      </c>
      <c r="Q266" s="3">
        <v>5</v>
      </c>
      <c r="R266" s="3" t="s">
        <v>89</v>
      </c>
      <c r="S266" s="3" t="s">
        <v>62</v>
      </c>
      <c r="T266" s="3" t="s">
        <v>81</v>
      </c>
      <c r="U266" s="5" t="s">
        <v>1259</v>
      </c>
      <c r="V266" s="3" t="s">
        <v>39</v>
      </c>
      <c r="W266" t="str">
        <f t="shared" si="4"/>
        <v>Silver</v>
      </c>
    </row>
    <row r="267" spans="1:23" ht="14.25" customHeight="1">
      <c r="A267" s="6" t="s">
        <v>1260</v>
      </c>
      <c r="B267" s="6" t="s">
        <v>24</v>
      </c>
      <c r="C267" s="6" t="s">
        <v>223</v>
      </c>
      <c r="D267" s="6" t="s">
        <v>559</v>
      </c>
      <c r="E267" s="6" t="s">
        <v>372</v>
      </c>
      <c r="F267" s="6" t="s">
        <v>28</v>
      </c>
      <c r="G267" s="6" t="s">
        <v>29</v>
      </c>
      <c r="H267" s="6" t="s">
        <v>1261</v>
      </c>
      <c r="I267" s="6" t="s">
        <v>213</v>
      </c>
      <c r="J267" s="6" t="s">
        <v>46</v>
      </c>
      <c r="K267" s="6" t="s">
        <v>123</v>
      </c>
      <c r="L267" s="6" t="s">
        <v>228</v>
      </c>
      <c r="M267" s="6">
        <v>6</v>
      </c>
      <c r="N267" s="6">
        <v>20</v>
      </c>
      <c r="O267" s="6">
        <v>15</v>
      </c>
      <c r="P267" s="6">
        <v>102</v>
      </c>
      <c r="Q267" s="6">
        <v>2</v>
      </c>
      <c r="R267" s="6" t="s">
        <v>89</v>
      </c>
      <c r="S267" s="6" t="s">
        <v>50</v>
      </c>
      <c r="T267" s="6" t="s">
        <v>51</v>
      </c>
      <c r="U267" s="7" t="s">
        <v>1262</v>
      </c>
      <c r="V267" s="6" t="s">
        <v>70</v>
      </c>
      <c r="W267" t="str">
        <f t="shared" si="4"/>
        <v>Blacklisted</v>
      </c>
    </row>
    <row r="268" spans="1:23" ht="14.25" customHeight="1">
      <c r="A268" s="3" t="s">
        <v>1263</v>
      </c>
      <c r="B268" s="3" t="s">
        <v>54</v>
      </c>
      <c r="C268" s="3" t="s">
        <v>119</v>
      </c>
      <c r="D268" s="3" t="s">
        <v>1264</v>
      </c>
      <c r="E268" s="3" t="s">
        <v>598</v>
      </c>
      <c r="F268" s="3" t="s">
        <v>164</v>
      </c>
      <c r="G268" s="3" t="s">
        <v>29</v>
      </c>
      <c r="H268" s="3" t="s">
        <v>1265</v>
      </c>
      <c r="I268" s="3" t="s">
        <v>106</v>
      </c>
      <c r="J268" s="3" t="s">
        <v>107</v>
      </c>
      <c r="K268" s="3" t="s">
        <v>123</v>
      </c>
      <c r="L268" s="3" t="s">
        <v>124</v>
      </c>
      <c r="M268" s="3">
        <v>6</v>
      </c>
      <c r="N268" s="3">
        <v>60</v>
      </c>
      <c r="O268" s="3">
        <v>5</v>
      </c>
      <c r="P268" s="3">
        <v>342</v>
      </c>
      <c r="Q268" s="3">
        <v>1</v>
      </c>
      <c r="R268" s="3" t="s">
        <v>49</v>
      </c>
      <c r="S268" s="3" t="s">
        <v>62</v>
      </c>
      <c r="T268" s="3" t="s">
        <v>63</v>
      </c>
      <c r="U268" s="5" t="s">
        <v>1266</v>
      </c>
      <c r="V268" s="3" t="s">
        <v>39</v>
      </c>
      <c r="W268" t="str">
        <f t="shared" si="4"/>
        <v>Blacklisted</v>
      </c>
    </row>
    <row r="269" spans="1:23" ht="14.25" customHeight="1">
      <c r="A269" s="6" t="s">
        <v>1267</v>
      </c>
      <c r="B269" s="6" t="s">
        <v>128</v>
      </c>
      <c r="C269" s="6" t="s">
        <v>170</v>
      </c>
      <c r="D269" s="6" t="s">
        <v>1268</v>
      </c>
      <c r="E269" s="6" t="s">
        <v>1269</v>
      </c>
      <c r="F269" s="6" t="s">
        <v>201</v>
      </c>
      <c r="G269" s="6" t="s">
        <v>77</v>
      </c>
      <c r="H269" s="6" t="s">
        <v>1270</v>
      </c>
      <c r="I269" s="6" t="s">
        <v>31</v>
      </c>
      <c r="J269" s="6" t="s">
        <v>32</v>
      </c>
      <c r="K269" s="6" t="s">
        <v>33</v>
      </c>
      <c r="L269" s="6" t="s">
        <v>175</v>
      </c>
      <c r="M269" s="6">
        <v>19</v>
      </c>
      <c r="N269" s="6">
        <v>8500</v>
      </c>
      <c r="O269" s="6">
        <v>0</v>
      </c>
      <c r="P269" s="6">
        <v>161500</v>
      </c>
      <c r="Q269" s="6">
        <v>5</v>
      </c>
      <c r="R269" s="6" t="s">
        <v>89</v>
      </c>
      <c r="S269" s="6" t="s">
        <v>152</v>
      </c>
      <c r="T269" s="6" t="s">
        <v>133</v>
      </c>
      <c r="U269" s="7" t="s">
        <v>1271</v>
      </c>
      <c r="V269" s="6" t="s">
        <v>39</v>
      </c>
      <c r="W269" t="str">
        <f t="shared" si="4"/>
        <v>Platinum</v>
      </c>
    </row>
    <row r="270" spans="1:23" ht="14.25" customHeight="1">
      <c r="A270" s="3" t="s">
        <v>1272</v>
      </c>
      <c r="B270" s="3" t="s">
        <v>252</v>
      </c>
      <c r="C270" s="3" t="s">
        <v>55</v>
      </c>
      <c r="D270" s="3" t="s">
        <v>446</v>
      </c>
      <c r="E270" s="3" t="s">
        <v>574</v>
      </c>
      <c r="F270" s="3" t="s">
        <v>255</v>
      </c>
      <c r="G270" s="3" t="s">
        <v>29</v>
      </c>
      <c r="H270" s="3" t="s">
        <v>1273</v>
      </c>
      <c r="I270" s="3" t="s">
        <v>213</v>
      </c>
      <c r="J270" s="3" t="s">
        <v>46</v>
      </c>
      <c r="K270" s="3" t="s">
        <v>47</v>
      </c>
      <c r="L270" s="3" t="s">
        <v>61</v>
      </c>
      <c r="M270" s="3">
        <v>8</v>
      </c>
      <c r="N270" s="3">
        <v>55000</v>
      </c>
      <c r="O270" s="3">
        <v>0</v>
      </c>
      <c r="P270" s="3">
        <v>440000</v>
      </c>
      <c r="Q270" s="3">
        <v>3</v>
      </c>
      <c r="R270" s="3" t="s">
        <v>80</v>
      </c>
      <c r="S270" s="3" t="s">
        <v>116</v>
      </c>
      <c r="T270" s="3" t="s">
        <v>257</v>
      </c>
      <c r="U270" s="5" t="s">
        <v>1274</v>
      </c>
      <c r="V270" s="3" t="s">
        <v>65</v>
      </c>
      <c r="W270" t="str">
        <f t="shared" si="4"/>
        <v>Blacklisted</v>
      </c>
    </row>
    <row r="271" spans="1:23" ht="14.25" customHeight="1">
      <c r="A271" s="6" t="s">
        <v>1275</v>
      </c>
      <c r="B271" s="6" t="s">
        <v>72</v>
      </c>
      <c r="C271" s="6" t="s">
        <v>41</v>
      </c>
      <c r="D271" s="6" t="s">
        <v>1099</v>
      </c>
      <c r="E271" s="6" t="s">
        <v>584</v>
      </c>
      <c r="F271" s="6" t="s">
        <v>218</v>
      </c>
      <c r="G271" s="6" t="s">
        <v>77</v>
      </c>
      <c r="H271" s="6" t="s">
        <v>1276</v>
      </c>
      <c r="I271" s="6" t="s">
        <v>295</v>
      </c>
      <c r="J271" s="6" t="s">
        <v>296</v>
      </c>
      <c r="K271" s="6" t="s">
        <v>47</v>
      </c>
      <c r="L271" s="6" t="s">
        <v>48</v>
      </c>
      <c r="M271" s="6">
        <v>18</v>
      </c>
      <c r="N271" s="6">
        <v>12000</v>
      </c>
      <c r="O271" s="6">
        <v>20</v>
      </c>
      <c r="P271" s="6">
        <v>172800</v>
      </c>
      <c r="Q271" s="6">
        <v>5</v>
      </c>
      <c r="R271" s="6" t="s">
        <v>89</v>
      </c>
      <c r="S271" s="6" t="s">
        <v>62</v>
      </c>
      <c r="T271" s="6" t="s">
        <v>81</v>
      </c>
      <c r="U271" s="7" t="s">
        <v>1277</v>
      </c>
      <c r="V271" s="6" t="s">
        <v>70</v>
      </c>
      <c r="W271" t="str">
        <f t="shared" si="4"/>
        <v>Blacklisted</v>
      </c>
    </row>
    <row r="272" spans="1:23" ht="14.25" customHeight="1">
      <c r="A272" s="3" t="s">
        <v>1278</v>
      </c>
      <c r="B272" s="3" t="s">
        <v>128</v>
      </c>
      <c r="C272" s="3" t="s">
        <v>170</v>
      </c>
      <c r="D272" s="3" t="s">
        <v>1279</v>
      </c>
      <c r="E272" s="3" t="s">
        <v>199</v>
      </c>
      <c r="F272" s="3" t="s">
        <v>201</v>
      </c>
      <c r="G272" s="3" t="s">
        <v>77</v>
      </c>
      <c r="H272" s="3" t="s">
        <v>1280</v>
      </c>
      <c r="I272" s="3" t="s">
        <v>139</v>
      </c>
      <c r="J272" s="3" t="s">
        <v>107</v>
      </c>
      <c r="K272" s="3" t="s">
        <v>33</v>
      </c>
      <c r="L272" s="3" t="s">
        <v>175</v>
      </c>
      <c r="M272" s="3">
        <v>8</v>
      </c>
      <c r="N272" s="3">
        <v>8500</v>
      </c>
      <c r="O272" s="3">
        <v>5</v>
      </c>
      <c r="P272" s="3">
        <v>64600</v>
      </c>
      <c r="Q272" s="3">
        <v>2</v>
      </c>
      <c r="R272" s="3" t="s">
        <v>80</v>
      </c>
      <c r="S272" s="3" t="s">
        <v>62</v>
      </c>
      <c r="T272" s="3" t="s">
        <v>133</v>
      </c>
      <c r="U272" s="5" t="s">
        <v>1281</v>
      </c>
      <c r="V272" s="3" t="s">
        <v>70</v>
      </c>
      <c r="W272" t="str">
        <f t="shared" si="4"/>
        <v>Blacklisted</v>
      </c>
    </row>
    <row r="273" spans="1:23" ht="14.25" customHeight="1">
      <c r="A273" s="6" t="s">
        <v>1282</v>
      </c>
      <c r="B273" s="6" t="s">
        <v>24</v>
      </c>
      <c r="C273" s="6" t="s">
        <v>223</v>
      </c>
      <c r="D273" s="6" t="s">
        <v>1283</v>
      </c>
      <c r="E273" s="6" t="s">
        <v>725</v>
      </c>
      <c r="F273" s="6" t="s">
        <v>28</v>
      </c>
      <c r="G273" s="6" t="s">
        <v>29</v>
      </c>
      <c r="H273" s="6" t="s">
        <v>1284</v>
      </c>
      <c r="I273" s="6" t="s">
        <v>106</v>
      </c>
      <c r="J273" s="6" t="s">
        <v>107</v>
      </c>
      <c r="K273" s="6" t="s">
        <v>123</v>
      </c>
      <c r="L273" s="6" t="s">
        <v>228</v>
      </c>
      <c r="M273" s="6">
        <v>13</v>
      </c>
      <c r="N273" s="6">
        <v>20</v>
      </c>
      <c r="O273" s="6">
        <v>5</v>
      </c>
      <c r="P273" s="6">
        <v>247</v>
      </c>
      <c r="Q273" s="6">
        <v>3</v>
      </c>
      <c r="R273" s="6" t="s">
        <v>49</v>
      </c>
      <c r="S273" s="6" t="s">
        <v>116</v>
      </c>
      <c r="T273" s="6" t="s">
        <v>51</v>
      </c>
      <c r="U273" s="7" t="s">
        <v>1285</v>
      </c>
      <c r="V273" s="6" t="s">
        <v>65</v>
      </c>
      <c r="W273" t="str">
        <f t="shared" si="4"/>
        <v>Blacklisted</v>
      </c>
    </row>
    <row r="274" spans="1:23" ht="14.25" customHeight="1">
      <c r="A274" s="3" t="s">
        <v>1286</v>
      </c>
      <c r="B274" s="3" t="s">
        <v>84</v>
      </c>
      <c r="C274" s="3" t="s">
        <v>119</v>
      </c>
      <c r="D274" s="3" t="s">
        <v>741</v>
      </c>
      <c r="E274" s="3" t="s">
        <v>1287</v>
      </c>
      <c r="F274" s="3" t="s">
        <v>181</v>
      </c>
      <c r="G274" s="3" t="s">
        <v>77</v>
      </c>
      <c r="H274" s="3" t="s">
        <v>1288</v>
      </c>
      <c r="I274" s="3" t="s">
        <v>213</v>
      </c>
      <c r="J274" s="3" t="s">
        <v>46</v>
      </c>
      <c r="K274" s="3" t="s">
        <v>123</v>
      </c>
      <c r="L274" s="3" t="s">
        <v>124</v>
      </c>
      <c r="M274" s="3">
        <v>1</v>
      </c>
      <c r="N274" s="3">
        <v>60</v>
      </c>
      <c r="O274" s="3">
        <v>15</v>
      </c>
      <c r="P274" s="3">
        <v>51</v>
      </c>
      <c r="Q274" s="3">
        <v>2</v>
      </c>
      <c r="R274" s="3" t="s">
        <v>80</v>
      </c>
      <c r="S274" s="3" t="s">
        <v>62</v>
      </c>
      <c r="T274" s="3" t="s">
        <v>90</v>
      </c>
      <c r="U274" s="5" t="s">
        <v>1289</v>
      </c>
      <c r="V274" s="3" t="s">
        <v>70</v>
      </c>
      <c r="W274" t="str">
        <f t="shared" si="4"/>
        <v>Blacklisted</v>
      </c>
    </row>
    <row r="275" spans="1:23" ht="14.25" customHeight="1">
      <c r="A275" s="6" t="s">
        <v>1290</v>
      </c>
      <c r="B275" s="6" t="s">
        <v>54</v>
      </c>
      <c r="C275" s="6" t="s">
        <v>223</v>
      </c>
      <c r="D275" s="6" t="s">
        <v>1291</v>
      </c>
      <c r="E275" s="6" t="s">
        <v>966</v>
      </c>
      <c r="F275" s="6" t="s">
        <v>164</v>
      </c>
      <c r="G275" s="6" t="s">
        <v>29</v>
      </c>
      <c r="H275" s="6" t="s">
        <v>1292</v>
      </c>
      <c r="I275" s="6" t="s">
        <v>115</v>
      </c>
      <c r="J275" s="6" t="s">
        <v>107</v>
      </c>
      <c r="K275" s="6" t="s">
        <v>123</v>
      </c>
      <c r="L275" s="6" t="s">
        <v>228</v>
      </c>
      <c r="M275" s="6">
        <v>5</v>
      </c>
      <c r="N275" s="6">
        <v>20</v>
      </c>
      <c r="O275" s="6">
        <v>5</v>
      </c>
      <c r="P275" s="6">
        <v>95</v>
      </c>
      <c r="Q275" s="6">
        <v>2</v>
      </c>
      <c r="R275" s="6" t="s">
        <v>49</v>
      </c>
      <c r="S275" s="6" t="s">
        <v>50</v>
      </c>
      <c r="T275" s="6" t="s">
        <v>63</v>
      </c>
      <c r="U275" s="7" t="s">
        <v>1293</v>
      </c>
      <c r="V275" s="6" t="s">
        <v>65</v>
      </c>
      <c r="W275" t="str">
        <f t="shared" si="4"/>
        <v>Blacklisted</v>
      </c>
    </row>
    <row r="276" spans="1:23" ht="14.25" customHeight="1">
      <c r="A276" s="3" t="s">
        <v>1294</v>
      </c>
      <c r="B276" s="3" t="s">
        <v>222</v>
      </c>
      <c r="C276" s="3" t="s">
        <v>223</v>
      </c>
      <c r="D276" s="3" t="s">
        <v>1295</v>
      </c>
      <c r="E276" s="3" t="s">
        <v>1018</v>
      </c>
      <c r="F276" s="3" t="s">
        <v>226</v>
      </c>
      <c r="G276" s="3" t="s">
        <v>77</v>
      </c>
      <c r="H276" s="3" t="s">
        <v>1296</v>
      </c>
      <c r="I276" s="3" t="s">
        <v>295</v>
      </c>
      <c r="J276" s="3" t="s">
        <v>296</v>
      </c>
      <c r="K276" s="3" t="s">
        <v>123</v>
      </c>
      <c r="L276" s="3" t="s">
        <v>228</v>
      </c>
      <c r="M276" s="3">
        <v>19</v>
      </c>
      <c r="N276" s="3">
        <v>20</v>
      </c>
      <c r="O276" s="3">
        <v>20</v>
      </c>
      <c r="P276" s="3">
        <v>304</v>
      </c>
      <c r="Q276" s="3">
        <v>3</v>
      </c>
      <c r="R276" s="3" t="s">
        <v>35</v>
      </c>
      <c r="S276" s="3" t="s">
        <v>36</v>
      </c>
      <c r="T276" s="3" t="s">
        <v>229</v>
      </c>
      <c r="U276" s="5" t="s">
        <v>1297</v>
      </c>
      <c r="V276" s="3" t="s">
        <v>70</v>
      </c>
      <c r="W276" t="str">
        <f t="shared" si="4"/>
        <v>Blacklisted</v>
      </c>
    </row>
    <row r="277" spans="1:23" ht="14.25" customHeight="1">
      <c r="A277" s="6" t="s">
        <v>1298</v>
      </c>
      <c r="B277" s="6" t="s">
        <v>101</v>
      </c>
      <c r="C277" s="6" t="s">
        <v>260</v>
      </c>
      <c r="D277" s="6" t="s">
        <v>1299</v>
      </c>
      <c r="E277" s="6" t="s">
        <v>367</v>
      </c>
      <c r="F277" s="6" t="s">
        <v>104</v>
      </c>
      <c r="G277" s="6" t="s">
        <v>29</v>
      </c>
      <c r="H277" s="6" t="s">
        <v>1300</v>
      </c>
      <c r="I277" s="6" t="s">
        <v>139</v>
      </c>
      <c r="J277" s="6" t="s">
        <v>107</v>
      </c>
      <c r="K277" s="6" t="s">
        <v>123</v>
      </c>
      <c r="L277" s="6" t="s">
        <v>264</v>
      </c>
      <c r="M277" s="6">
        <v>17</v>
      </c>
      <c r="N277" s="6">
        <v>45</v>
      </c>
      <c r="O277" s="6">
        <v>5</v>
      </c>
      <c r="P277" s="6">
        <v>726.75</v>
      </c>
      <c r="Q277" s="6">
        <v>4</v>
      </c>
      <c r="R277" s="6" t="s">
        <v>35</v>
      </c>
      <c r="S277" s="6" t="s">
        <v>116</v>
      </c>
      <c r="T277" s="6" t="s">
        <v>145</v>
      </c>
      <c r="U277" s="7" t="s">
        <v>1301</v>
      </c>
      <c r="V277" s="6" t="s">
        <v>65</v>
      </c>
      <c r="W277" t="str">
        <f t="shared" si="4"/>
        <v>Blacklisted</v>
      </c>
    </row>
    <row r="278" spans="1:23" ht="14.25" customHeight="1">
      <c r="A278" s="3" t="s">
        <v>1302</v>
      </c>
      <c r="B278" s="3" t="s">
        <v>84</v>
      </c>
      <c r="C278" s="3" t="s">
        <v>185</v>
      </c>
      <c r="D278" s="3" t="s">
        <v>1303</v>
      </c>
      <c r="E278" s="3" t="s">
        <v>171</v>
      </c>
      <c r="F278" s="3" t="s">
        <v>181</v>
      </c>
      <c r="G278" s="3" t="s">
        <v>77</v>
      </c>
      <c r="H278" s="3" t="s">
        <v>1304</v>
      </c>
      <c r="I278" s="3" t="s">
        <v>60</v>
      </c>
      <c r="J278" s="3" t="s">
        <v>32</v>
      </c>
      <c r="K278" s="3" t="s">
        <v>47</v>
      </c>
      <c r="L278" s="3" t="s">
        <v>190</v>
      </c>
      <c r="M278" s="3">
        <v>8</v>
      </c>
      <c r="N278" s="3">
        <v>700</v>
      </c>
      <c r="O278" s="3">
        <v>15</v>
      </c>
      <c r="P278" s="3">
        <v>4760</v>
      </c>
      <c r="Q278" s="3">
        <v>4</v>
      </c>
      <c r="R278" s="3" t="s">
        <v>49</v>
      </c>
      <c r="S278" s="3" t="s">
        <v>36</v>
      </c>
      <c r="T278" s="3" t="s">
        <v>90</v>
      </c>
      <c r="U278" s="5" t="s">
        <v>1305</v>
      </c>
      <c r="V278" s="3" t="s">
        <v>65</v>
      </c>
      <c r="W278" t="str">
        <f t="shared" si="4"/>
        <v>Blacklisted</v>
      </c>
    </row>
    <row r="279" spans="1:23" ht="14.25" customHeight="1">
      <c r="A279" s="6" t="s">
        <v>1306</v>
      </c>
      <c r="B279" s="6" t="s">
        <v>169</v>
      </c>
      <c r="C279" s="6" t="s">
        <v>25</v>
      </c>
      <c r="D279" s="6" t="s">
        <v>1307</v>
      </c>
      <c r="E279" s="6" t="s">
        <v>1308</v>
      </c>
      <c r="F279" s="6" t="s">
        <v>362</v>
      </c>
      <c r="G279" s="6" t="s">
        <v>29</v>
      </c>
      <c r="H279" s="6" t="s">
        <v>1309</v>
      </c>
      <c r="I279" s="6" t="s">
        <v>106</v>
      </c>
      <c r="J279" s="6" t="s">
        <v>107</v>
      </c>
      <c r="K279" s="6" t="s">
        <v>33</v>
      </c>
      <c r="L279" s="6" t="s">
        <v>34</v>
      </c>
      <c r="M279" s="6">
        <v>15</v>
      </c>
      <c r="N279" s="6">
        <v>2200</v>
      </c>
      <c r="O279" s="6">
        <v>10</v>
      </c>
      <c r="P279" s="6">
        <v>29700</v>
      </c>
      <c r="Q279" s="6">
        <v>5</v>
      </c>
      <c r="R279" s="6" t="s">
        <v>89</v>
      </c>
      <c r="S279" s="6" t="s">
        <v>152</v>
      </c>
      <c r="T279" s="6" t="s">
        <v>176</v>
      </c>
      <c r="U279" s="7" t="s">
        <v>1310</v>
      </c>
      <c r="V279" s="6" t="s">
        <v>39</v>
      </c>
      <c r="W279" t="str">
        <f t="shared" si="4"/>
        <v>Silver</v>
      </c>
    </row>
    <row r="280" spans="1:23" ht="14.25" customHeight="1">
      <c r="A280" s="3" t="s">
        <v>1311</v>
      </c>
      <c r="B280" s="3" t="s">
        <v>101</v>
      </c>
      <c r="C280" s="3" t="s">
        <v>25</v>
      </c>
      <c r="D280" s="3" t="s">
        <v>861</v>
      </c>
      <c r="E280" s="3" t="s">
        <v>1312</v>
      </c>
      <c r="F280" s="3" t="s">
        <v>104</v>
      </c>
      <c r="G280" s="3" t="s">
        <v>29</v>
      </c>
      <c r="H280" s="3" t="s">
        <v>1313</v>
      </c>
      <c r="I280" s="3" t="s">
        <v>106</v>
      </c>
      <c r="J280" s="3" t="s">
        <v>107</v>
      </c>
      <c r="K280" s="3" t="s">
        <v>33</v>
      </c>
      <c r="L280" s="3" t="s">
        <v>34</v>
      </c>
      <c r="M280" s="3">
        <v>1</v>
      </c>
      <c r="N280" s="3">
        <v>2200</v>
      </c>
      <c r="O280" s="3">
        <v>0</v>
      </c>
      <c r="P280" s="3">
        <v>2200</v>
      </c>
      <c r="Q280" s="3">
        <v>4</v>
      </c>
      <c r="R280" s="3" t="s">
        <v>35</v>
      </c>
      <c r="S280" s="3" t="s">
        <v>50</v>
      </c>
      <c r="T280" s="3" t="s">
        <v>145</v>
      </c>
      <c r="U280" s="5" t="s">
        <v>1314</v>
      </c>
      <c r="V280" s="3" t="s">
        <v>70</v>
      </c>
      <c r="W280" t="str">
        <f t="shared" si="4"/>
        <v>Blacklisted</v>
      </c>
    </row>
    <row r="281" spans="1:23" ht="14.25" customHeight="1">
      <c r="A281" s="6" t="s">
        <v>1315</v>
      </c>
      <c r="B281" s="6" t="s">
        <v>252</v>
      </c>
      <c r="C281" s="6" t="s">
        <v>93</v>
      </c>
      <c r="D281" s="6" t="s">
        <v>873</v>
      </c>
      <c r="E281" s="6" t="s">
        <v>1316</v>
      </c>
      <c r="F281" s="6" t="s">
        <v>255</v>
      </c>
      <c r="G281" s="6" t="s">
        <v>29</v>
      </c>
      <c r="H281" s="6" t="s">
        <v>1317</v>
      </c>
      <c r="I281" s="6" t="s">
        <v>139</v>
      </c>
      <c r="J281" s="6" t="s">
        <v>107</v>
      </c>
      <c r="K281" s="6" t="s">
        <v>33</v>
      </c>
      <c r="L281" s="6" t="s">
        <v>98</v>
      </c>
      <c r="M281" s="6">
        <v>10</v>
      </c>
      <c r="N281" s="6">
        <v>3500</v>
      </c>
      <c r="O281" s="6">
        <v>10</v>
      </c>
      <c r="P281" s="6">
        <v>31500</v>
      </c>
      <c r="Q281" s="6">
        <v>4</v>
      </c>
      <c r="R281" s="6" t="s">
        <v>49</v>
      </c>
      <c r="S281" s="6" t="s">
        <v>36</v>
      </c>
      <c r="T281" s="6" t="s">
        <v>257</v>
      </c>
      <c r="U281" s="7" t="s">
        <v>1318</v>
      </c>
      <c r="V281" s="6" t="s">
        <v>70</v>
      </c>
      <c r="W281" t="str">
        <f t="shared" si="4"/>
        <v>Blacklisted</v>
      </c>
    </row>
    <row r="282" spans="1:23" ht="14.25" customHeight="1">
      <c r="A282" s="3" t="s">
        <v>1319</v>
      </c>
      <c r="B282" s="3" t="s">
        <v>72</v>
      </c>
      <c r="C282" s="3" t="s">
        <v>93</v>
      </c>
      <c r="D282" s="3" t="s">
        <v>1320</v>
      </c>
      <c r="E282" s="3" t="s">
        <v>1321</v>
      </c>
      <c r="F282" s="3" t="s">
        <v>218</v>
      </c>
      <c r="G282" s="3" t="s">
        <v>77</v>
      </c>
      <c r="H282" s="3" t="s">
        <v>1322</v>
      </c>
      <c r="I282" s="3" t="s">
        <v>213</v>
      </c>
      <c r="J282" s="3" t="s">
        <v>46</v>
      </c>
      <c r="K282" s="3" t="s">
        <v>33</v>
      </c>
      <c r="L282" s="3" t="s">
        <v>98</v>
      </c>
      <c r="M282" s="3">
        <v>16</v>
      </c>
      <c r="N282" s="3">
        <v>3500</v>
      </c>
      <c r="O282" s="3">
        <v>15</v>
      </c>
      <c r="P282" s="3">
        <v>47600</v>
      </c>
      <c r="Q282" s="3">
        <v>1</v>
      </c>
      <c r="R282" s="3" t="s">
        <v>80</v>
      </c>
      <c r="S282" s="3" t="s">
        <v>116</v>
      </c>
      <c r="T282" s="3" t="s">
        <v>81</v>
      </c>
      <c r="U282" s="5" t="s">
        <v>1323</v>
      </c>
      <c r="V282" s="3" t="s">
        <v>65</v>
      </c>
      <c r="W282" t="str">
        <f t="shared" si="4"/>
        <v>Blacklisted</v>
      </c>
    </row>
    <row r="283" spans="1:23" ht="14.25" customHeight="1">
      <c r="A283" s="6" t="s">
        <v>1324</v>
      </c>
      <c r="B283" s="6" t="s">
        <v>252</v>
      </c>
      <c r="C283" s="6" t="s">
        <v>41</v>
      </c>
      <c r="D283" s="6" t="s">
        <v>1325</v>
      </c>
      <c r="E283" s="6" t="s">
        <v>26</v>
      </c>
      <c r="F283" s="6" t="s">
        <v>255</v>
      </c>
      <c r="G283" s="6" t="s">
        <v>29</v>
      </c>
      <c r="H283" s="6" t="s">
        <v>1326</v>
      </c>
      <c r="I283" s="6" t="s">
        <v>213</v>
      </c>
      <c r="J283" s="6" t="s">
        <v>46</v>
      </c>
      <c r="K283" s="6" t="s">
        <v>47</v>
      </c>
      <c r="L283" s="6" t="s">
        <v>48</v>
      </c>
      <c r="M283" s="6">
        <v>1</v>
      </c>
      <c r="N283" s="6">
        <v>12000</v>
      </c>
      <c r="O283" s="6">
        <v>0</v>
      </c>
      <c r="P283" s="6">
        <v>12000</v>
      </c>
      <c r="Q283" s="6">
        <v>4</v>
      </c>
      <c r="R283" s="6" t="s">
        <v>49</v>
      </c>
      <c r="S283" s="6" t="s">
        <v>116</v>
      </c>
      <c r="T283" s="6" t="s">
        <v>257</v>
      </c>
      <c r="U283" s="7" t="s">
        <v>1327</v>
      </c>
      <c r="V283" s="6" t="s">
        <v>70</v>
      </c>
      <c r="W283" t="str">
        <f t="shared" si="4"/>
        <v>Blacklisted</v>
      </c>
    </row>
    <row r="284" spans="1:23" ht="14.25" customHeight="1">
      <c r="A284" s="3" t="s">
        <v>1328</v>
      </c>
      <c r="B284" s="3" t="s">
        <v>84</v>
      </c>
      <c r="C284" s="3" t="s">
        <v>185</v>
      </c>
      <c r="D284" s="3" t="s">
        <v>1329</v>
      </c>
      <c r="E284" s="3" t="s">
        <v>607</v>
      </c>
      <c r="F284" s="3" t="s">
        <v>181</v>
      </c>
      <c r="G284" s="3" t="s">
        <v>77</v>
      </c>
      <c r="H284" s="3" t="s">
        <v>1330</v>
      </c>
      <c r="I284" s="3" t="s">
        <v>106</v>
      </c>
      <c r="J284" s="3" t="s">
        <v>107</v>
      </c>
      <c r="K284" s="3" t="s">
        <v>47</v>
      </c>
      <c r="L284" s="3" t="s">
        <v>190</v>
      </c>
      <c r="M284" s="3">
        <v>6</v>
      </c>
      <c r="N284" s="3">
        <v>700</v>
      </c>
      <c r="O284" s="3">
        <v>20</v>
      </c>
      <c r="P284" s="3">
        <v>3360</v>
      </c>
      <c r="Q284" s="3">
        <v>2</v>
      </c>
      <c r="R284" s="3" t="s">
        <v>49</v>
      </c>
      <c r="S284" s="3" t="s">
        <v>116</v>
      </c>
      <c r="T284" s="3" t="s">
        <v>90</v>
      </c>
      <c r="U284" s="5" t="s">
        <v>1331</v>
      </c>
      <c r="V284" s="3" t="s">
        <v>65</v>
      </c>
      <c r="W284" t="str">
        <f t="shared" si="4"/>
        <v>Blacklisted</v>
      </c>
    </row>
    <row r="285" spans="1:23" ht="14.25" customHeight="1">
      <c r="A285" s="6" t="s">
        <v>1332</v>
      </c>
      <c r="B285" s="6" t="s">
        <v>72</v>
      </c>
      <c r="C285" s="6" t="s">
        <v>25</v>
      </c>
      <c r="D285" s="6" t="s">
        <v>924</v>
      </c>
      <c r="E285" s="6" t="s">
        <v>1333</v>
      </c>
      <c r="F285" s="6" t="s">
        <v>218</v>
      </c>
      <c r="G285" s="6" t="s">
        <v>77</v>
      </c>
      <c r="H285" s="6" t="s">
        <v>1334</v>
      </c>
      <c r="I285" s="6" t="s">
        <v>139</v>
      </c>
      <c r="J285" s="6" t="s">
        <v>107</v>
      </c>
      <c r="K285" s="6" t="s">
        <v>33</v>
      </c>
      <c r="L285" s="6" t="s">
        <v>34</v>
      </c>
      <c r="M285" s="6">
        <v>3</v>
      </c>
      <c r="N285" s="6">
        <v>2200</v>
      </c>
      <c r="O285" s="6">
        <v>0</v>
      </c>
      <c r="P285" s="6">
        <v>6600</v>
      </c>
      <c r="Q285" s="6">
        <v>4</v>
      </c>
      <c r="R285" s="6" t="s">
        <v>80</v>
      </c>
      <c r="S285" s="6" t="s">
        <v>36</v>
      </c>
      <c r="T285" s="6" t="s">
        <v>81</v>
      </c>
      <c r="U285" s="7" t="s">
        <v>1335</v>
      </c>
      <c r="V285" s="6" t="s">
        <v>39</v>
      </c>
      <c r="W285" t="str">
        <f t="shared" si="4"/>
        <v>Silver</v>
      </c>
    </row>
    <row r="286" spans="1:23" ht="14.25" customHeight="1">
      <c r="A286" s="3" t="s">
        <v>1336</v>
      </c>
      <c r="B286" s="3" t="s">
        <v>252</v>
      </c>
      <c r="C286" s="3" t="s">
        <v>260</v>
      </c>
      <c r="D286" s="3" t="s">
        <v>1199</v>
      </c>
      <c r="E286" s="3" t="s">
        <v>217</v>
      </c>
      <c r="F286" s="3" t="s">
        <v>255</v>
      </c>
      <c r="G286" s="3" t="s">
        <v>29</v>
      </c>
      <c r="H286" s="3" t="s">
        <v>1337</v>
      </c>
      <c r="I286" s="3" t="s">
        <v>31</v>
      </c>
      <c r="J286" s="3" t="s">
        <v>32</v>
      </c>
      <c r="K286" s="3" t="s">
        <v>123</v>
      </c>
      <c r="L286" s="3" t="s">
        <v>264</v>
      </c>
      <c r="M286" s="3">
        <v>6</v>
      </c>
      <c r="N286" s="3">
        <v>45</v>
      </c>
      <c r="O286" s="3">
        <v>15</v>
      </c>
      <c r="P286" s="3">
        <v>229.5</v>
      </c>
      <c r="Q286" s="3">
        <v>1</v>
      </c>
      <c r="R286" s="3" t="s">
        <v>89</v>
      </c>
      <c r="S286" s="3" t="s">
        <v>50</v>
      </c>
      <c r="T286" s="3" t="s">
        <v>257</v>
      </c>
      <c r="U286" s="5" t="s">
        <v>1338</v>
      </c>
      <c r="V286" s="3" t="s">
        <v>39</v>
      </c>
      <c r="W286" t="str">
        <f t="shared" si="4"/>
        <v>Blacklisted</v>
      </c>
    </row>
    <row r="287" spans="1:23" ht="14.25" customHeight="1">
      <c r="A287" s="6" t="s">
        <v>1339</v>
      </c>
      <c r="B287" s="6" t="s">
        <v>252</v>
      </c>
      <c r="C287" s="6" t="s">
        <v>73</v>
      </c>
      <c r="D287" s="6" t="s">
        <v>27</v>
      </c>
      <c r="E287" s="6" t="s">
        <v>1340</v>
      </c>
      <c r="F287" s="6" t="s">
        <v>255</v>
      </c>
      <c r="G287" s="6" t="s">
        <v>29</v>
      </c>
      <c r="H287" s="6" t="s">
        <v>1341</v>
      </c>
      <c r="I287" s="6" t="s">
        <v>60</v>
      </c>
      <c r="J287" s="6" t="s">
        <v>32</v>
      </c>
      <c r="K287" s="6" t="s">
        <v>47</v>
      </c>
      <c r="L287" s="6" t="s">
        <v>79</v>
      </c>
      <c r="M287" s="6">
        <v>2</v>
      </c>
      <c r="N287" s="6">
        <v>1200</v>
      </c>
      <c r="O287" s="6">
        <v>0</v>
      </c>
      <c r="P287" s="6">
        <v>2400</v>
      </c>
      <c r="Q287" s="6">
        <v>1</v>
      </c>
      <c r="R287" s="6" t="s">
        <v>35</v>
      </c>
      <c r="S287" s="6" t="s">
        <v>152</v>
      </c>
      <c r="T287" s="6" t="s">
        <v>257</v>
      </c>
      <c r="U287" s="7" t="s">
        <v>1342</v>
      </c>
      <c r="V287" s="6" t="s">
        <v>70</v>
      </c>
      <c r="W287" t="str">
        <f t="shared" si="4"/>
        <v>Blacklisted</v>
      </c>
    </row>
    <row r="288" spans="1:23" ht="14.25" customHeight="1">
      <c r="A288" s="3" t="s">
        <v>1343</v>
      </c>
      <c r="B288" s="3" t="s">
        <v>169</v>
      </c>
      <c r="C288" s="3" t="s">
        <v>185</v>
      </c>
      <c r="D288" s="3" t="s">
        <v>1344</v>
      </c>
      <c r="E288" s="3" t="s">
        <v>1345</v>
      </c>
      <c r="F288" s="3" t="s">
        <v>362</v>
      </c>
      <c r="G288" s="3" t="s">
        <v>29</v>
      </c>
      <c r="H288" s="3" t="s">
        <v>1346</v>
      </c>
      <c r="I288" s="3" t="s">
        <v>31</v>
      </c>
      <c r="J288" s="3" t="s">
        <v>32</v>
      </c>
      <c r="K288" s="3" t="s">
        <v>47</v>
      </c>
      <c r="L288" s="3" t="s">
        <v>190</v>
      </c>
      <c r="M288" s="3">
        <v>14</v>
      </c>
      <c r="N288" s="3">
        <v>700</v>
      </c>
      <c r="O288" s="3">
        <v>15</v>
      </c>
      <c r="P288" s="3">
        <v>8330</v>
      </c>
      <c r="Q288" s="3">
        <v>5</v>
      </c>
      <c r="R288" s="3" t="s">
        <v>35</v>
      </c>
      <c r="S288" s="3" t="s">
        <v>116</v>
      </c>
      <c r="T288" s="3" t="s">
        <v>176</v>
      </c>
      <c r="U288" s="5" t="s">
        <v>1347</v>
      </c>
      <c r="V288" s="3" t="s">
        <v>65</v>
      </c>
      <c r="W288" t="str">
        <f t="shared" si="4"/>
        <v>Blacklisted</v>
      </c>
    </row>
    <row r="289" spans="1:23" ht="14.25" customHeight="1">
      <c r="A289" s="6" t="s">
        <v>1348</v>
      </c>
      <c r="B289" s="6" t="s">
        <v>101</v>
      </c>
      <c r="C289" s="6" t="s">
        <v>223</v>
      </c>
      <c r="D289" s="6" t="s">
        <v>292</v>
      </c>
      <c r="E289" s="6" t="s">
        <v>508</v>
      </c>
      <c r="F289" s="6" t="s">
        <v>104</v>
      </c>
      <c r="G289" s="6" t="s">
        <v>29</v>
      </c>
      <c r="H289" s="6" t="s">
        <v>1349</v>
      </c>
      <c r="I289" s="6" t="s">
        <v>106</v>
      </c>
      <c r="J289" s="6" t="s">
        <v>107</v>
      </c>
      <c r="K289" s="6" t="s">
        <v>123</v>
      </c>
      <c r="L289" s="6" t="s">
        <v>228</v>
      </c>
      <c r="M289" s="6">
        <v>13</v>
      </c>
      <c r="N289" s="6">
        <v>20</v>
      </c>
      <c r="O289" s="6">
        <v>5</v>
      </c>
      <c r="P289" s="6">
        <v>247</v>
      </c>
      <c r="Q289" s="6">
        <v>1</v>
      </c>
      <c r="R289" s="6" t="s">
        <v>80</v>
      </c>
      <c r="S289" s="6" t="s">
        <v>36</v>
      </c>
      <c r="T289" s="6" t="s">
        <v>1350</v>
      </c>
      <c r="U289" s="7" t="s">
        <v>1351</v>
      </c>
      <c r="V289" s="6" t="s">
        <v>65</v>
      </c>
      <c r="W289" t="str">
        <f t="shared" si="4"/>
        <v>Blacklisted</v>
      </c>
    </row>
    <row r="290" spans="1:23" ht="14.25" customHeight="1">
      <c r="A290" s="3" t="s">
        <v>1352</v>
      </c>
      <c r="B290" s="3" t="s">
        <v>72</v>
      </c>
      <c r="C290" s="3" t="s">
        <v>25</v>
      </c>
      <c r="D290" s="3" t="s">
        <v>136</v>
      </c>
      <c r="E290" s="3" t="s">
        <v>137</v>
      </c>
      <c r="F290" s="3" t="s">
        <v>218</v>
      </c>
      <c r="G290" s="3" t="s">
        <v>77</v>
      </c>
      <c r="H290" s="3" t="s">
        <v>1353</v>
      </c>
      <c r="I290" s="3" t="s">
        <v>115</v>
      </c>
      <c r="J290" s="3" t="s">
        <v>107</v>
      </c>
      <c r="K290" s="3" t="s">
        <v>33</v>
      </c>
      <c r="L290" s="3" t="s">
        <v>34</v>
      </c>
      <c r="M290" s="3">
        <v>3</v>
      </c>
      <c r="N290" s="3">
        <v>2200</v>
      </c>
      <c r="O290" s="3">
        <v>0</v>
      </c>
      <c r="P290" s="3">
        <v>6600</v>
      </c>
      <c r="Q290" s="3">
        <v>4</v>
      </c>
      <c r="R290" s="3" t="s">
        <v>49</v>
      </c>
      <c r="S290" s="3" t="s">
        <v>62</v>
      </c>
      <c r="T290" s="3" t="s">
        <v>81</v>
      </c>
      <c r="U290" s="5" t="s">
        <v>1354</v>
      </c>
      <c r="V290" s="3" t="s">
        <v>70</v>
      </c>
      <c r="W290" t="str">
        <f t="shared" si="4"/>
        <v>Blacklisted</v>
      </c>
    </row>
    <row r="291" spans="1:23" ht="14.25" customHeight="1">
      <c r="A291" s="6" t="s">
        <v>1355</v>
      </c>
      <c r="B291" s="6" t="s">
        <v>72</v>
      </c>
      <c r="C291" s="6" t="s">
        <v>119</v>
      </c>
      <c r="D291" s="6" t="s">
        <v>451</v>
      </c>
      <c r="E291" s="6" t="s">
        <v>924</v>
      </c>
      <c r="F291" s="6" t="s">
        <v>218</v>
      </c>
      <c r="G291" s="6" t="s">
        <v>77</v>
      </c>
      <c r="H291" s="6" t="s">
        <v>1356</v>
      </c>
      <c r="I291" s="6" t="s">
        <v>115</v>
      </c>
      <c r="J291" s="6" t="s">
        <v>107</v>
      </c>
      <c r="K291" s="6" t="s">
        <v>123</v>
      </c>
      <c r="L291" s="6" t="s">
        <v>124</v>
      </c>
      <c r="M291" s="6">
        <v>3</v>
      </c>
      <c r="N291" s="6">
        <v>60</v>
      </c>
      <c r="O291" s="6">
        <v>15</v>
      </c>
      <c r="P291" s="6">
        <v>153</v>
      </c>
      <c r="Q291" s="6">
        <v>4</v>
      </c>
      <c r="R291" s="6" t="s">
        <v>89</v>
      </c>
      <c r="S291" s="6" t="s">
        <v>116</v>
      </c>
      <c r="T291" s="6" t="s">
        <v>81</v>
      </c>
      <c r="U291" s="7" t="s">
        <v>1357</v>
      </c>
      <c r="V291" s="6" t="s">
        <v>39</v>
      </c>
      <c r="W291" t="str">
        <f t="shared" si="4"/>
        <v>Silver</v>
      </c>
    </row>
    <row r="292" spans="1:23" ht="14.25" customHeight="1">
      <c r="A292" s="3" t="s">
        <v>1358</v>
      </c>
      <c r="B292" s="3" t="s">
        <v>128</v>
      </c>
      <c r="C292" s="3" t="s">
        <v>93</v>
      </c>
      <c r="D292" s="3" t="s">
        <v>625</v>
      </c>
      <c r="E292" s="3" t="s">
        <v>826</v>
      </c>
      <c r="F292" s="3" t="s">
        <v>201</v>
      </c>
      <c r="G292" s="3" t="s">
        <v>77</v>
      </c>
      <c r="H292" s="3" t="s">
        <v>585</v>
      </c>
      <c r="I292" s="3" t="s">
        <v>106</v>
      </c>
      <c r="J292" s="3" t="s">
        <v>107</v>
      </c>
      <c r="K292" s="3" t="s">
        <v>33</v>
      </c>
      <c r="L292" s="3" t="s">
        <v>98</v>
      </c>
      <c r="M292" s="3">
        <v>9</v>
      </c>
      <c r="N292" s="3">
        <v>3500</v>
      </c>
      <c r="O292" s="3">
        <v>5</v>
      </c>
      <c r="P292" s="3">
        <v>29925</v>
      </c>
      <c r="Q292" s="3">
        <v>1</v>
      </c>
      <c r="R292" s="3" t="s">
        <v>35</v>
      </c>
      <c r="S292" s="3" t="s">
        <v>62</v>
      </c>
      <c r="T292" s="3" t="s">
        <v>133</v>
      </c>
      <c r="U292" s="5" t="s">
        <v>1359</v>
      </c>
      <c r="V292" s="3" t="s">
        <v>65</v>
      </c>
      <c r="W292" t="str">
        <f t="shared" si="4"/>
        <v>Blacklisted</v>
      </c>
    </row>
    <row r="293" spans="1:23" ht="14.25" customHeight="1">
      <c r="A293" s="6" t="s">
        <v>1360</v>
      </c>
      <c r="B293" s="6" t="s">
        <v>328</v>
      </c>
      <c r="C293" s="6" t="s">
        <v>73</v>
      </c>
      <c r="D293" s="6" t="s">
        <v>121</v>
      </c>
      <c r="E293" s="6" t="s">
        <v>1361</v>
      </c>
      <c r="F293" s="6" t="s">
        <v>395</v>
      </c>
      <c r="G293" s="6" t="s">
        <v>77</v>
      </c>
      <c r="H293" s="6" t="s">
        <v>1362</v>
      </c>
      <c r="I293" s="6" t="s">
        <v>213</v>
      </c>
      <c r="J293" s="6" t="s">
        <v>46</v>
      </c>
      <c r="K293" s="6" t="s">
        <v>47</v>
      </c>
      <c r="L293" s="6" t="s">
        <v>79</v>
      </c>
      <c r="M293" s="6">
        <v>5</v>
      </c>
      <c r="N293" s="6">
        <v>1200</v>
      </c>
      <c r="O293" s="6">
        <v>20</v>
      </c>
      <c r="P293" s="6">
        <v>4800</v>
      </c>
      <c r="Q293" s="6">
        <v>2</v>
      </c>
      <c r="R293" s="6" t="s">
        <v>89</v>
      </c>
      <c r="S293" s="6" t="s">
        <v>116</v>
      </c>
      <c r="T293" s="6" t="s">
        <v>333</v>
      </c>
      <c r="U293" s="7" t="s">
        <v>1363</v>
      </c>
      <c r="V293" s="6" t="s">
        <v>65</v>
      </c>
      <c r="W293" t="str">
        <f t="shared" si="4"/>
        <v>Blacklisted</v>
      </c>
    </row>
    <row r="294" spans="1:23" ht="15.75" customHeight="1">
      <c r="A294" s="3" t="s">
        <v>1364</v>
      </c>
      <c r="B294" s="3" t="s">
        <v>54</v>
      </c>
      <c r="C294" s="3" t="s">
        <v>73</v>
      </c>
      <c r="D294" s="3" t="s">
        <v>1032</v>
      </c>
      <c r="E294" s="3" t="s">
        <v>911</v>
      </c>
      <c r="F294" s="3" t="s">
        <v>164</v>
      </c>
      <c r="G294" s="3" t="s">
        <v>29</v>
      </c>
      <c r="H294" s="3" t="s">
        <v>1365</v>
      </c>
      <c r="I294" s="3" t="s">
        <v>213</v>
      </c>
      <c r="J294" s="3" t="s">
        <v>46</v>
      </c>
      <c r="K294" s="3" t="s">
        <v>47</v>
      </c>
      <c r="L294" s="3" t="s">
        <v>79</v>
      </c>
      <c r="M294" s="3">
        <v>10</v>
      </c>
      <c r="N294" s="3">
        <v>1200</v>
      </c>
      <c r="O294" s="3">
        <v>20</v>
      </c>
      <c r="P294" s="3">
        <v>9600</v>
      </c>
      <c r="Q294" s="3">
        <v>4</v>
      </c>
      <c r="R294" s="3" t="s">
        <v>35</v>
      </c>
      <c r="S294" s="3" t="s">
        <v>50</v>
      </c>
      <c r="T294" s="4" t="s">
        <v>1366</v>
      </c>
      <c r="U294" s="5" t="s">
        <v>1367</v>
      </c>
      <c r="V294" s="3" t="s">
        <v>39</v>
      </c>
      <c r="W294" t="str">
        <f t="shared" si="4"/>
        <v>Silver</v>
      </c>
    </row>
    <row r="295" spans="1:23" ht="14.25" customHeight="1">
      <c r="A295" s="6" t="s">
        <v>1368</v>
      </c>
      <c r="B295" s="6" t="s">
        <v>24</v>
      </c>
      <c r="C295" s="6" t="s">
        <v>73</v>
      </c>
      <c r="D295" s="6" t="s">
        <v>1369</v>
      </c>
      <c r="E295" s="6" t="s">
        <v>1370</v>
      </c>
      <c r="F295" s="6" t="s">
        <v>28</v>
      </c>
      <c r="G295" s="6" t="s">
        <v>29</v>
      </c>
      <c r="H295" s="6" t="s">
        <v>1371</v>
      </c>
      <c r="I295" s="6" t="s">
        <v>139</v>
      </c>
      <c r="J295" s="6" t="s">
        <v>107</v>
      </c>
      <c r="K295" s="6" t="s">
        <v>47</v>
      </c>
      <c r="L295" s="6" t="s">
        <v>79</v>
      </c>
      <c r="M295" s="6">
        <v>5</v>
      </c>
      <c r="N295" s="6">
        <v>1200</v>
      </c>
      <c r="O295" s="6">
        <v>20</v>
      </c>
      <c r="P295" s="6">
        <v>4800</v>
      </c>
      <c r="Q295" s="6">
        <v>3</v>
      </c>
      <c r="R295" s="6" t="s">
        <v>49</v>
      </c>
      <c r="S295" s="6" t="s">
        <v>152</v>
      </c>
      <c r="T295" s="6" t="s">
        <v>51</v>
      </c>
      <c r="U295" s="7" t="s">
        <v>1372</v>
      </c>
      <c r="V295" s="6" t="s">
        <v>39</v>
      </c>
      <c r="W295" t="str">
        <f t="shared" si="4"/>
        <v>Silver</v>
      </c>
    </row>
    <row r="296" spans="1:23" ht="14.25" customHeight="1">
      <c r="A296" s="3" t="s">
        <v>1373</v>
      </c>
      <c r="B296" s="3" t="s">
        <v>169</v>
      </c>
      <c r="C296" s="3" t="s">
        <v>223</v>
      </c>
      <c r="D296" s="3" t="s">
        <v>1374</v>
      </c>
      <c r="E296" s="3" t="s">
        <v>1375</v>
      </c>
      <c r="F296" s="3" t="s">
        <v>362</v>
      </c>
      <c r="G296" s="3" t="s">
        <v>29</v>
      </c>
      <c r="H296" s="3" t="s">
        <v>1376</v>
      </c>
      <c r="I296" s="3" t="s">
        <v>106</v>
      </c>
      <c r="J296" s="3" t="s">
        <v>107</v>
      </c>
      <c r="K296" s="3" t="s">
        <v>123</v>
      </c>
      <c r="L296" s="3" t="s">
        <v>228</v>
      </c>
      <c r="M296" s="3">
        <v>10</v>
      </c>
      <c r="N296" s="3">
        <v>20</v>
      </c>
      <c r="O296" s="3">
        <v>5</v>
      </c>
      <c r="P296" s="3">
        <v>190</v>
      </c>
      <c r="Q296" s="3">
        <v>4</v>
      </c>
      <c r="R296" s="3" t="s">
        <v>35</v>
      </c>
      <c r="S296" s="3" t="s">
        <v>152</v>
      </c>
      <c r="T296" s="3" t="s">
        <v>176</v>
      </c>
      <c r="U296" s="5" t="s">
        <v>1377</v>
      </c>
      <c r="V296" s="3" t="s">
        <v>65</v>
      </c>
      <c r="W296" t="str">
        <f t="shared" si="4"/>
        <v>Blacklisted</v>
      </c>
    </row>
    <row r="297" spans="1:23" ht="14.25" customHeight="1">
      <c r="A297" s="6" t="s">
        <v>1378</v>
      </c>
      <c r="B297" s="6" t="s">
        <v>101</v>
      </c>
      <c r="C297" s="6" t="s">
        <v>119</v>
      </c>
      <c r="D297" s="6" t="s">
        <v>1379</v>
      </c>
      <c r="E297" s="6" t="s">
        <v>1380</v>
      </c>
      <c r="F297" s="6" t="s">
        <v>104</v>
      </c>
      <c r="G297" s="6" t="s">
        <v>29</v>
      </c>
      <c r="H297" s="6" t="s">
        <v>1381</v>
      </c>
      <c r="I297" s="6" t="s">
        <v>45</v>
      </c>
      <c r="J297" s="6" t="s">
        <v>46</v>
      </c>
      <c r="K297" s="6" t="s">
        <v>123</v>
      </c>
      <c r="L297" s="6" t="s">
        <v>124</v>
      </c>
      <c r="M297" s="6">
        <v>20</v>
      </c>
      <c r="N297" s="6">
        <v>60</v>
      </c>
      <c r="O297" s="6">
        <v>15</v>
      </c>
      <c r="P297" s="6">
        <v>1020</v>
      </c>
      <c r="Q297" s="6">
        <v>5</v>
      </c>
      <c r="R297" s="6" t="s">
        <v>80</v>
      </c>
      <c r="S297" s="6" t="s">
        <v>36</v>
      </c>
      <c r="T297" s="6" t="s">
        <v>145</v>
      </c>
      <c r="U297" s="7" t="s">
        <v>1382</v>
      </c>
      <c r="V297" s="6" t="s">
        <v>65</v>
      </c>
      <c r="W297" t="str">
        <f t="shared" si="4"/>
        <v>Blacklisted</v>
      </c>
    </row>
    <row r="298" spans="1:23" ht="14.25" customHeight="1">
      <c r="A298" s="3" t="s">
        <v>1383</v>
      </c>
      <c r="B298" s="3" t="s">
        <v>328</v>
      </c>
      <c r="C298" s="3" t="s">
        <v>25</v>
      </c>
      <c r="D298" s="3" t="s">
        <v>1361</v>
      </c>
      <c r="E298" s="3" t="s">
        <v>578</v>
      </c>
      <c r="F298" s="3" t="s">
        <v>395</v>
      </c>
      <c r="G298" s="3" t="s">
        <v>77</v>
      </c>
      <c r="H298" s="3" t="s">
        <v>1384</v>
      </c>
      <c r="I298" s="3" t="s">
        <v>139</v>
      </c>
      <c r="J298" s="3" t="s">
        <v>107</v>
      </c>
      <c r="K298" s="3" t="s">
        <v>33</v>
      </c>
      <c r="L298" s="3" t="s">
        <v>34</v>
      </c>
      <c r="M298" s="3">
        <v>7</v>
      </c>
      <c r="N298" s="3">
        <v>2200</v>
      </c>
      <c r="O298" s="3">
        <v>15</v>
      </c>
      <c r="P298" s="3">
        <v>13090</v>
      </c>
      <c r="Q298" s="3">
        <v>4</v>
      </c>
      <c r="R298" s="3" t="s">
        <v>35</v>
      </c>
      <c r="S298" s="3" t="s">
        <v>62</v>
      </c>
      <c r="T298" s="3" t="s">
        <v>333</v>
      </c>
      <c r="U298" s="5" t="s">
        <v>1385</v>
      </c>
      <c r="V298" s="3" t="s">
        <v>70</v>
      </c>
      <c r="W298" t="str">
        <f t="shared" si="4"/>
        <v>Blacklisted</v>
      </c>
    </row>
    <row r="299" spans="1:23" ht="14.25" customHeight="1">
      <c r="A299" s="6" t="s">
        <v>1386</v>
      </c>
      <c r="B299" s="6" t="s">
        <v>128</v>
      </c>
      <c r="C299" s="6" t="s">
        <v>55</v>
      </c>
      <c r="D299" s="6" t="s">
        <v>620</v>
      </c>
      <c r="E299" s="6" t="s">
        <v>761</v>
      </c>
      <c r="F299" s="6" t="s">
        <v>201</v>
      </c>
      <c r="G299" s="6" t="s">
        <v>77</v>
      </c>
      <c r="H299" s="6" t="s">
        <v>1387</v>
      </c>
      <c r="I299" s="6" t="s">
        <v>31</v>
      </c>
      <c r="J299" s="6" t="s">
        <v>32</v>
      </c>
      <c r="K299" s="6" t="s">
        <v>47</v>
      </c>
      <c r="L299" s="6" t="s">
        <v>61</v>
      </c>
      <c r="M299" s="6">
        <v>11</v>
      </c>
      <c r="N299" s="6">
        <v>55000</v>
      </c>
      <c r="O299" s="6">
        <v>5</v>
      </c>
      <c r="P299" s="6">
        <v>574750</v>
      </c>
      <c r="Q299" s="6">
        <v>1</v>
      </c>
      <c r="R299" s="6" t="s">
        <v>89</v>
      </c>
      <c r="S299" s="6" t="s">
        <v>36</v>
      </c>
      <c r="T299" s="6" t="s">
        <v>133</v>
      </c>
      <c r="U299" s="7" t="s">
        <v>1388</v>
      </c>
      <c r="V299" s="6" t="s">
        <v>70</v>
      </c>
      <c r="W299" t="str">
        <f t="shared" si="4"/>
        <v>Blacklisted</v>
      </c>
    </row>
    <row r="300" spans="1:23" ht="14.25" customHeight="1">
      <c r="A300" s="3" t="s">
        <v>1389</v>
      </c>
      <c r="B300" s="3" t="s">
        <v>84</v>
      </c>
      <c r="C300" s="3" t="s">
        <v>93</v>
      </c>
      <c r="D300" s="3" t="s">
        <v>309</v>
      </c>
      <c r="E300" s="3" t="s">
        <v>1390</v>
      </c>
      <c r="F300" s="3" t="s">
        <v>181</v>
      </c>
      <c r="G300" s="3" t="s">
        <v>77</v>
      </c>
      <c r="H300" s="3" t="s">
        <v>1391</v>
      </c>
      <c r="I300" s="3" t="s">
        <v>213</v>
      </c>
      <c r="J300" s="3" t="s">
        <v>46</v>
      </c>
      <c r="K300" s="3" t="s">
        <v>33</v>
      </c>
      <c r="L300" s="3" t="s">
        <v>98</v>
      </c>
      <c r="M300" s="3">
        <v>12</v>
      </c>
      <c r="N300" s="3">
        <v>3500</v>
      </c>
      <c r="O300" s="3">
        <v>0</v>
      </c>
      <c r="P300" s="3">
        <v>42000</v>
      </c>
      <c r="Q300" s="3">
        <v>2</v>
      </c>
      <c r="R300" s="3" t="s">
        <v>49</v>
      </c>
      <c r="S300" s="3"/>
      <c r="T300" s="3" t="s">
        <v>90</v>
      </c>
      <c r="U300" s="5" t="s">
        <v>1392</v>
      </c>
      <c r="V300" s="3" t="s">
        <v>65</v>
      </c>
      <c r="W300" t="str">
        <f t="shared" si="4"/>
        <v>Blacklisted</v>
      </c>
    </row>
    <row r="301" spans="1:23" ht="14.25" customHeight="1">
      <c r="A301" s="6" t="s">
        <v>1393</v>
      </c>
      <c r="B301" s="6" t="s">
        <v>72</v>
      </c>
      <c r="C301" s="6" t="s">
        <v>260</v>
      </c>
      <c r="D301" s="6" t="s">
        <v>95</v>
      </c>
      <c r="E301" s="6" t="s">
        <v>299</v>
      </c>
      <c r="F301" s="6" t="s">
        <v>218</v>
      </c>
      <c r="G301" s="6" t="s">
        <v>77</v>
      </c>
      <c r="H301" s="6" t="s">
        <v>1394</v>
      </c>
      <c r="I301" s="6" t="s">
        <v>31</v>
      </c>
      <c r="J301" s="6" t="s">
        <v>32</v>
      </c>
      <c r="K301" s="6" t="s">
        <v>123</v>
      </c>
      <c r="L301" s="6" t="s">
        <v>264</v>
      </c>
      <c r="M301" s="6">
        <v>15</v>
      </c>
      <c r="N301" s="6">
        <v>45</v>
      </c>
      <c r="O301" s="6">
        <v>10</v>
      </c>
      <c r="P301" s="6">
        <v>607.5</v>
      </c>
      <c r="Q301" s="6">
        <v>2</v>
      </c>
      <c r="R301" s="6" t="s">
        <v>35</v>
      </c>
      <c r="S301" s="6" t="s">
        <v>152</v>
      </c>
      <c r="T301" s="6" t="s">
        <v>81</v>
      </c>
      <c r="U301" s="7" t="s">
        <v>1395</v>
      </c>
      <c r="V301" s="6" t="s">
        <v>65</v>
      </c>
      <c r="W301" t="str">
        <f t="shared" si="4"/>
        <v>Blacklisted</v>
      </c>
    </row>
    <row r="302" spans="1:23" ht="14.25" customHeight="1">
      <c r="A302" s="3" t="s">
        <v>1396</v>
      </c>
      <c r="B302" s="3" t="s">
        <v>328</v>
      </c>
      <c r="C302" s="3" t="s">
        <v>260</v>
      </c>
      <c r="D302" s="3" t="s">
        <v>1321</v>
      </c>
      <c r="E302" s="3" t="s">
        <v>937</v>
      </c>
      <c r="F302" s="3" t="s">
        <v>395</v>
      </c>
      <c r="G302" s="3" t="s">
        <v>77</v>
      </c>
      <c r="H302" s="3" t="s">
        <v>1397</v>
      </c>
      <c r="I302" s="3" t="s">
        <v>60</v>
      </c>
      <c r="J302" s="3" t="s">
        <v>32</v>
      </c>
      <c r="K302" s="3" t="s">
        <v>123</v>
      </c>
      <c r="L302" s="3" t="s">
        <v>264</v>
      </c>
      <c r="M302" s="3">
        <v>13</v>
      </c>
      <c r="N302" s="3">
        <v>45</v>
      </c>
      <c r="O302" s="3">
        <v>0</v>
      </c>
      <c r="P302" s="3">
        <v>585</v>
      </c>
      <c r="Q302" s="3">
        <v>5</v>
      </c>
      <c r="R302" s="3" t="s">
        <v>49</v>
      </c>
      <c r="S302" s="3" t="s">
        <v>50</v>
      </c>
      <c r="T302" s="3" t="s">
        <v>333</v>
      </c>
      <c r="U302" s="5" t="s">
        <v>1398</v>
      </c>
      <c r="V302" s="3" t="s">
        <v>65</v>
      </c>
      <c r="W302" t="str">
        <f t="shared" si="4"/>
        <v>Blacklisted</v>
      </c>
    </row>
    <row r="303" spans="1:23" ht="14.25" customHeight="1">
      <c r="A303" s="6" t="s">
        <v>1399</v>
      </c>
      <c r="B303" s="6" t="s">
        <v>128</v>
      </c>
      <c r="C303" s="6" t="s">
        <v>55</v>
      </c>
      <c r="D303" s="6" t="s">
        <v>712</v>
      </c>
      <c r="E303" s="6" t="s">
        <v>1200</v>
      </c>
      <c r="F303" s="6" t="s">
        <v>201</v>
      </c>
      <c r="G303" s="6" t="s">
        <v>77</v>
      </c>
      <c r="H303" s="6" t="s">
        <v>1400</v>
      </c>
      <c r="I303" s="6" t="s">
        <v>60</v>
      </c>
      <c r="J303" s="6" t="s">
        <v>32</v>
      </c>
      <c r="K303" s="6" t="s">
        <v>47</v>
      </c>
      <c r="L303" s="6" t="s">
        <v>61</v>
      </c>
      <c r="M303" s="6">
        <v>8</v>
      </c>
      <c r="N303" s="6">
        <v>55000</v>
      </c>
      <c r="O303" s="6">
        <v>0</v>
      </c>
      <c r="P303" s="6">
        <v>440000</v>
      </c>
      <c r="Q303" s="6">
        <v>2</v>
      </c>
      <c r="R303" s="6" t="s">
        <v>89</v>
      </c>
      <c r="S303" s="6" t="s">
        <v>152</v>
      </c>
      <c r="T303" s="6" t="s">
        <v>133</v>
      </c>
      <c r="U303" s="7" t="s">
        <v>1401</v>
      </c>
      <c r="V303" s="6" t="s">
        <v>70</v>
      </c>
      <c r="W303" t="str">
        <f t="shared" si="4"/>
        <v>Blacklisted</v>
      </c>
    </row>
    <row r="304" spans="1:23" ht="14.25" customHeight="1">
      <c r="A304" s="3" t="s">
        <v>1402</v>
      </c>
      <c r="B304" s="3" t="s">
        <v>252</v>
      </c>
      <c r="C304" s="3" t="s">
        <v>55</v>
      </c>
      <c r="D304" s="3" t="s">
        <v>831</v>
      </c>
      <c r="E304" s="3" t="s">
        <v>382</v>
      </c>
      <c r="F304" s="3" t="s">
        <v>255</v>
      </c>
      <c r="G304" s="3" t="s">
        <v>29</v>
      </c>
      <c r="H304" s="3" t="s">
        <v>1403</v>
      </c>
      <c r="I304" s="3" t="s">
        <v>45</v>
      </c>
      <c r="J304" s="3" t="s">
        <v>46</v>
      </c>
      <c r="K304" s="3" t="s">
        <v>47</v>
      </c>
      <c r="L304" s="3" t="s">
        <v>61</v>
      </c>
      <c r="M304" s="3">
        <v>4</v>
      </c>
      <c r="N304" s="3">
        <v>55000</v>
      </c>
      <c r="O304" s="3">
        <v>20</v>
      </c>
      <c r="P304" s="3">
        <v>176000</v>
      </c>
      <c r="Q304" s="3">
        <v>5</v>
      </c>
      <c r="R304" s="3" t="s">
        <v>35</v>
      </c>
      <c r="S304" s="3" t="s">
        <v>50</v>
      </c>
      <c r="T304" s="3" t="s">
        <v>257</v>
      </c>
      <c r="U304" s="5" t="s">
        <v>1404</v>
      </c>
      <c r="V304" s="3" t="s">
        <v>65</v>
      </c>
      <c r="W304" t="str">
        <f t="shared" si="4"/>
        <v>Blacklisted</v>
      </c>
    </row>
    <row r="305" spans="1:23" ht="14.25" customHeight="1">
      <c r="A305" s="6" t="s">
        <v>1405</v>
      </c>
      <c r="B305" s="6" t="s">
        <v>24</v>
      </c>
      <c r="C305" s="6" t="s">
        <v>93</v>
      </c>
      <c r="D305" s="6" t="s">
        <v>1406</v>
      </c>
      <c r="E305" s="6" t="s">
        <v>717</v>
      </c>
      <c r="F305" s="6" t="s">
        <v>28</v>
      </c>
      <c r="G305" s="6" t="s">
        <v>29</v>
      </c>
      <c r="H305" s="6" t="s">
        <v>1407</v>
      </c>
      <c r="I305" s="6" t="s">
        <v>139</v>
      </c>
      <c r="J305" s="6" t="s">
        <v>107</v>
      </c>
      <c r="K305" s="6" t="s">
        <v>33</v>
      </c>
      <c r="L305" s="6" t="s">
        <v>98</v>
      </c>
      <c r="M305" s="6">
        <v>19</v>
      </c>
      <c r="N305" s="6">
        <v>3500</v>
      </c>
      <c r="O305" s="6">
        <v>5</v>
      </c>
      <c r="P305" s="6">
        <v>63175</v>
      </c>
      <c r="Q305" s="6">
        <v>1</v>
      </c>
      <c r="R305" s="6" t="s">
        <v>80</v>
      </c>
      <c r="S305" s="6" t="s">
        <v>116</v>
      </c>
      <c r="T305" s="6" t="s">
        <v>51</v>
      </c>
      <c r="U305" s="7" t="s">
        <v>1408</v>
      </c>
      <c r="V305" s="6" t="s">
        <v>39</v>
      </c>
      <c r="W305" t="str">
        <f t="shared" si="4"/>
        <v>Blacklisted</v>
      </c>
    </row>
    <row r="306" spans="1:23" ht="14.25" customHeight="1">
      <c r="A306" s="3" t="s">
        <v>1409</v>
      </c>
      <c r="B306" s="3" t="s">
        <v>222</v>
      </c>
      <c r="C306" s="3" t="s">
        <v>73</v>
      </c>
      <c r="D306" s="3" t="s">
        <v>1410</v>
      </c>
      <c r="E306" s="3" t="s">
        <v>415</v>
      </c>
      <c r="F306" s="3" t="s">
        <v>226</v>
      </c>
      <c r="G306" s="3" t="s">
        <v>77</v>
      </c>
      <c r="H306" s="3" t="s">
        <v>1411</v>
      </c>
      <c r="I306" s="3" t="s">
        <v>213</v>
      </c>
      <c r="J306" s="3" t="s">
        <v>46</v>
      </c>
      <c r="K306" s="3" t="s">
        <v>47</v>
      </c>
      <c r="L306" s="3" t="s">
        <v>79</v>
      </c>
      <c r="M306" s="3">
        <v>17</v>
      </c>
      <c r="N306" s="3">
        <v>1200</v>
      </c>
      <c r="O306" s="3">
        <v>15</v>
      </c>
      <c r="P306" s="3">
        <v>17340</v>
      </c>
      <c r="Q306" s="3">
        <v>2</v>
      </c>
      <c r="R306" s="3" t="s">
        <v>49</v>
      </c>
      <c r="S306" s="3" t="s">
        <v>50</v>
      </c>
      <c r="T306" s="3" t="s">
        <v>229</v>
      </c>
      <c r="U306" s="5" t="s">
        <v>1412</v>
      </c>
      <c r="V306" s="3" t="s">
        <v>39</v>
      </c>
      <c r="W306" t="str">
        <f t="shared" si="4"/>
        <v>Blacklisted</v>
      </c>
    </row>
    <row r="307" spans="1:23" ht="14.25" customHeight="1">
      <c r="A307" s="6" t="s">
        <v>1413</v>
      </c>
      <c r="B307" s="6" t="s">
        <v>24</v>
      </c>
      <c r="C307" s="6" t="s">
        <v>25</v>
      </c>
      <c r="D307" s="6" t="s">
        <v>451</v>
      </c>
      <c r="E307" s="6" t="s">
        <v>737</v>
      </c>
      <c r="F307" s="6" t="s">
        <v>28</v>
      </c>
      <c r="G307" s="6" t="s">
        <v>29</v>
      </c>
      <c r="H307" s="6" t="s">
        <v>1414</v>
      </c>
      <c r="I307" s="6" t="s">
        <v>31</v>
      </c>
      <c r="J307" s="6" t="s">
        <v>32</v>
      </c>
      <c r="K307" s="6" t="s">
        <v>33</v>
      </c>
      <c r="L307" s="6" t="s">
        <v>34</v>
      </c>
      <c r="M307" s="6">
        <v>8</v>
      </c>
      <c r="N307" s="6">
        <v>2200</v>
      </c>
      <c r="O307" s="6">
        <v>5</v>
      </c>
      <c r="P307" s="6">
        <v>16720</v>
      </c>
      <c r="Q307" s="6">
        <v>3</v>
      </c>
      <c r="R307" s="6" t="s">
        <v>80</v>
      </c>
      <c r="S307" s="6" t="s">
        <v>116</v>
      </c>
      <c r="T307" s="6" t="s">
        <v>51</v>
      </c>
      <c r="U307" s="7" t="s">
        <v>1415</v>
      </c>
      <c r="V307" s="6" t="s">
        <v>65</v>
      </c>
      <c r="W307" t="str">
        <f t="shared" si="4"/>
        <v>Blacklisted</v>
      </c>
    </row>
    <row r="308" spans="1:23" ht="14.25" customHeight="1">
      <c r="A308" s="3" t="s">
        <v>1416</v>
      </c>
      <c r="B308" s="3" t="s">
        <v>252</v>
      </c>
      <c r="C308" s="3" t="s">
        <v>185</v>
      </c>
      <c r="D308" s="3" t="s">
        <v>988</v>
      </c>
      <c r="E308" s="3" t="s">
        <v>388</v>
      </c>
      <c r="F308" s="3" t="s">
        <v>255</v>
      </c>
      <c r="G308" s="3" t="s">
        <v>29</v>
      </c>
      <c r="H308" s="3" t="s">
        <v>814</v>
      </c>
      <c r="I308" s="3" t="s">
        <v>106</v>
      </c>
      <c r="J308" s="3" t="s">
        <v>107</v>
      </c>
      <c r="K308" s="3" t="s">
        <v>47</v>
      </c>
      <c r="L308" s="3" t="s">
        <v>190</v>
      </c>
      <c r="M308" s="3">
        <v>17</v>
      </c>
      <c r="N308" s="3">
        <v>700</v>
      </c>
      <c r="O308" s="3">
        <v>20</v>
      </c>
      <c r="P308" s="3">
        <v>9520</v>
      </c>
      <c r="Q308" s="3">
        <v>4</v>
      </c>
      <c r="R308" s="3" t="s">
        <v>49</v>
      </c>
      <c r="S308" s="3" t="s">
        <v>116</v>
      </c>
      <c r="T308" s="3" t="s">
        <v>257</v>
      </c>
      <c r="U308" s="5" t="s">
        <v>1417</v>
      </c>
      <c r="V308" s="3" t="s">
        <v>39</v>
      </c>
      <c r="W308" t="str">
        <f t="shared" si="4"/>
        <v>Silver</v>
      </c>
    </row>
    <row r="309" spans="1:23" ht="14.25" customHeight="1">
      <c r="A309" s="6" t="s">
        <v>1418</v>
      </c>
      <c r="B309" s="6" t="s">
        <v>252</v>
      </c>
      <c r="C309" s="6" t="s">
        <v>170</v>
      </c>
      <c r="D309" s="6" t="s">
        <v>373</v>
      </c>
      <c r="E309" s="6" t="s">
        <v>247</v>
      </c>
      <c r="F309" s="6" t="s">
        <v>255</v>
      </c>
      <c r="G309" s="6" t="s">
        <v>29</v>
      </c>
      <c r="H309" s="6" t="s">
        <v>1216</v>
      </c>
      <c r="I309" s="6" t="s">
        <v>115</v>
      </c>
      <c r="J309" s="6" t="s">
        <v>107</v>
      </c>
      <c r="K309" s="6" t="s">
        <v>33</v>
      </c>
      <c r="L309" s="6" t="s">
        <v>175</v>
      </c>
      <c r="M309" s="6">
        <v>6</v>
      </c>
      <c r="N309" s="6">
        <v>8500</v>
      </c>
      <c r="O309" s="6">
        <v>15</v>
      </c>
      <c r="P309" s="6">
        <v>43350</v>
      </c>
      <c r="Q309" s="6">
        <v>1</v>
      </c>
      <c r="R309" s="6" t="s">
        <v>35</v>
      </c>
      <c r="S309" s="6" t="s">
        <v>62</v>
      </c>
      <c r="T309" s="6" t="s">
        <v>257</v>
      </c>
      <c r="U309" s="7" t="s">
        <v>1419</v>
      </c>
      <c r="V309" s="6" t="s">
        <v>39</v>
      </c>
      <c r="W309" t="str">
        <f t="shared" si="4"/>
        <v>Blacklisted</v>
      </c>
    </row>
    <row r="310" spans="1:23" ht="14.25" customHeight="1">
      <c r="A310" s="3" t="s">
        <v>1420</v>
      </c>
      <c r="B310" s="3" t="s">
        <v>54</v>
      </c>
      <c r="C310" s="3" t="s">
        <v>93</v>
      </c>
      <c r="D310" s="3" t="s">
        <v>942</v>
      </c>
      <c r="E310" s="3" t="s">
        <v>346</v>
      </c>
      <c r="F310" s="3" t="s">
        <v>164</v>
      </c>
      <c r="G310" s="3" t="s">
        <v>29</v>
      </c>
      <c r="H310" s="3" t="s">
        <v>1421</v>
      </c>
      <c r="I310" s="3" t="s">
        <v>31</v>
      </c>
      <c r="J310" s="3" t="s">
        <v>32</v>
      </c>
      <c r="K310" s="3" t="s">
        <v>33</v>
      </c>
      <c r="L310" s="3" t="s">
        <v>98</v>
      </c>
      <c r="M310" s="3">
        <v>3</v>
      </c>
      <c r="N310" s="3">
        <v>3500</v>
      </c>
      <c r="O310" s="3">
        <v>10</v>
      </c>
      <c r="P310" s="3">
        <v>9450</v>
      </c>
      <c r="Q310" s="3">
        <v>1</v>
      </c>
      <c r="R310" s="3" t="s">
        <v>49</v>
      </c>
      <c r="S310" s="3" t="s">
        <v>50</v>
      </c>
      <c r="T310" s="3" t="s">
        <v>63</v>
      </c>
      <c r="U310" s="5" t="s">
        <v>1422</v>
      </c>
      <c r="V310" s="3" t="s">
        <v>39</v>
      </c>
      <c r="W310" t="str">
        <f t="shared" si="4"/>
        <v>Blacklisted</v>
      </c>
    </row>
    <row r="311" spans="1:23" ht="14.25" customHeight="1">
      <c r="A311" s="6" t="s">
        <v>1423</v>
      </c>
      <c r="B311" s="6" t="s">
        <v>72</v>
      </c>
      <c r="C311" s="6" t="s">
        <v>41</v>
      </c>
      <c r="D311" s="6" t="s">
        <v>1379</v>
      </c>
      <c r="E311" s="6" t="s">
        <v>784</v>
      </c>
      <c r="F311" s="6" t="s">
        <v>218</v>
      </c>
      <c r="G311" s="6" t="s">
        <v>77</v>
      </c>
      <c r="H311" s="6" t="s">
        <v>1424</v>
      </c>
      <c r="I311" s="6" t="s">
        <v>139</v>
      </c>
      <c r="J311" s="6" t="s">
        <v>107</v>
      </c>
      <c r="K311" s="6" t="s">
        <v>47</v>
      </c>
      <c r="L311" s="6" t="s">
        <v>48</v>
      </c>
      <c r="M311" s="6">
        <v>2</v>
      </c>
      <c r="N311" s="6">
        <v>12000</v>
      </c>
      <c r="O311" s="6">
        <v>20</v>
      </c>
      <c r="P311" s="6">
        <v>19200</v>
      </c>
      <c r="Q311" s="6">
        <v>1</v>
      </c>
      <c r="R311" s="6" t="s">
        <v>80</v>
      </c>
      <c r="S311" s="6" t="s">
        <v>62</v>
      </c>
      <c r="T311" s="6" t="s">
        <v>81</v>
      </c>
      <c r="U311" s="7" t="s">
        <v>1425</v>
      </c>
      <c r="V311" s="6" t="s">
        <v>39</v>
      </c>
      <c r="W311" t="str">
        <f t="shared" si="4"/>
        <v>Blacklisted</v>
      </c>
    </row>
    <row r="312" spans="1:23" ht="14.25" customHeight="1">
      <c r="A312" s="3" t="s">
        <v>1426</v>
      </c>
      <c r="B312" s="3" t="s">
        <v>222</v>
      </c>
      <c r="C312" s="3" t="s">
        <v>223</v>
      </c>
      <c r="D312" s="3" t="s">
        <v>341</v>
      </c>
      <c r="E312" s="3" t="s">
        <v>1427</v>
      </c>
      <c r="F312" s="3" t="s">
        <v>226</v>
      </c>
      <c r="G312" s="3" t="s">
        <v>77</v>
      </c>
      <c r="H312" s="3" t="s">
        <v>1428</v>
      </c>
      <c r="I312" s="3" t="s">
        <v>45</v>
      </c>
      <c r="J312" s="3" t="s">
        <v>46</v>
      </c>
      <c r="K312" s="3" t="s">
        <v>123</v>
      </c>
      <c r="L312" s="3" t="s">
        <v>228</v>
      </c>
      <c r="M312" s="3">
        <v>12</v>
      </c>
      <c r="N312" s="3">
        <v>20</v>
      </c>
      <c r="O312" s="3">
        <v>20</v>
      </c>
      <c r="P312" s="3">
        <v>192</v>
      </c>
      <c r="Q312" s="3">
        <v>2</v>
      </c>
      <c r="R312" s="3" t="s">
        <v>80</v>
      </c>
      <c r="S312" s="3" t="s">
        <v>50</v>
      </c>
      <c r="T312" s="3" t="s">
        <v>229</v>
      </c>
      <c r="U312" s="5" t="s">
        <v>1429</v>
      </c>
      <c r="V312" s="3" t="s">
        <v>39</v>
      </c>
      <c r="W312" t="str">
        <f t="shared" si="4"/>
        <v>Blacklisted</v>
      </c>
    </row>
    <row r="313" spans="1:23" ht="14.25" customHeight="1">
      <c r="A313" s="6" t="s">
        <v>1430</v>
      </c>
      <c r="B313" s="6" t="s">
        <v>101</v>
      </c>
      <c r="C313" s="6" t="s">
        <v>41</v>
      </c>
      <c r="D313" s="6" t="s">
        <v>717</v>
      </c>
      <c r="E313" s="6" t="s">
        <v>1431</v>
      </c>
      <c r="F313" s="6" t="s">
        <v>104</v>
      </c>
      <c r="G313" s="6" t="s">
        <v>29</v>
      </c>
      <c r="H313" s="6" t="s">
        <v>1432</v>
      </c>
      <c r="I313" s="6" t="s">
        <v>295</v>
      </c>
      <c r="J313" s="6" t="s">
        <v>296</v>
      </c>
      <c r="K313" s="6" t="s">
        <v>47</v>
      </c>
      <c r="L313" s="6" t="s">
        <v>48</v>
      </c>
      <c r="M313" s="6">
        <v>20</v>
      </c>
      <c r="N313" s="6">
        <v>12000</v>
      </c>
      <c r="O313" s="6">
        <v>15</v>
      </c>
      <c r="P313" s="6">
        <v>204000</v>
      </c>
      <c r="Q313" s="6">
        <v>3</v>
      </c>
      <c r="R313" s="6" t="s">
        <v>35</v>
      </c>
      <c r="S313" s="6" t="s">
        <v>36</v>
      </c>
      <c r="T313" s="6" t="s">
        <v>145</v>
      </c>
      <c r="U313" s="7" t="s">
        <v>1433</v>
      </c>
      <c r="V313" s="6" t="s">
        <v>65</v>
      </c>
      <c r="W313" t="str">
        <f t="shared" si="4"/>
        <v>Blacklisted</v>
      </c>
    </row>
    <row r="314" spans="1:23" ht="14.25" customHeight="1">
      <c r="A314" s="3" t="s">
        <v>1434</v>
      </c>
      <c r="B314" s="3" t="s">
        <v>54</v>
      </c>
      <c r="C314" s="3" t="s">
        <v>119</v>
      </c>
      <c r="D314" s="3" t="s">
        <v>399</v>
      </c>
      <c r="E314" s="3" t="s">
        <v>741</v>
      </c>
      <c r="F314" s="3" t="s">
        <v>164</v>
      </c>
      <c r="G314" s="3" t="s">
        <v>29</v>
      </c>
      <c r="H314" s="3" t="s">
        <v>1435</v>
      </c>
      <c r="I314" s="3" t="s">
        <v>213</v>
      </c>
      <c r="J314" s="3" t="s">
        <v>46</v>
      </c>
      <c r="K314" s="3" t="s">
        <v>123</v>
      </c>
      <c r="L314" s="3" t="s">
        <v>124</v>
      </c>
      <c r="M314" s="3">
        <v>13</v>
      </c>
      <c r="N314" s="3">
        <v>60</v>
      </c>
      <c r="O314" s="3">
        <v>10</v>
      </c>
      <c r="P314" s="3">
        <v>702</v>
      </c>
      <c r="Q314" s="3">
        <v>5</v>
      </c>
      <c r="R314" s="3" t="s">
        <v>35</v>
      </c>
      <c r="S314" s="3" t="s">
        <v>36</v>
      </c>
      <c r="T314" s="3" t="s">
        <v>63</v>
      </c>
      <c r="U314" s="5" t="s">
        <v>1436</v>
      </c>
      <c r="V314" s="3" t="s">
        <v>65</v>
      </c>
      <c r="W314" t="str">
        <f t="shared" si="4"/>
        <v>Blacklisted</v>
      </c>
    </row>
    <row r="315" spans="1:23" ht="14.25" customHeight="1">
      <c r="A315" s="6" t="s">
        <v>1437</v>
      </c>
      <c r="B315" s="6" t="s">
        <v>72</v>
      </c>
      <c r="C315" s="6" t="s">
        <v>55</v>
      </c>
      <c r="D315" s="6" t="s">
        <v>1438</v>
      </c>
      <c r="E315" s="6" t="s">
        <v>1295</v>
      </c>
      <c r="F315" s="6" t="s">
        <v>218</v>
      </c>
      <c r="G315" s="6" t="s">
        <v>77</v>
      </c>
      <c r="H315" s="6" t="s">
        <v>1439</v>
      </c>
      <c r="I315" s="6" t="s">
        <v>115</v>
      </c>
      <c r="J315" s="6" t="s">
        <v>107</v>
      </c>
      <c r="K315" s="6" t="s">
        <v>47</v>
      </c>
      <c r="L315" s="6" t="s">
        <v>61</v>
      </c>
      <c r="M315" s="6">
        <v>13</v>
      </c>
      <c r="N315" s="6">
        <v>55000</v>
      </c>
      <c r="O315" s="6">
        <v>5</v>
      </c>
      <c r="P315" s="6">
        <v>679250</v>
      </c>
      <c r="Q315" s="6">
        <v>1</v>
      </c>
      <c r="R315" s="6" t="s">
        <v>89</v>
      </c>
      <c r="S315" s="6" t="s">
        <v>152</v>
      </c>
      <c r="T315" s="6" t="s">
        <v>81</v>
      </c>
      <c r="U315" s="7" t="s">
        <v>1440</v>
      </c>
      <c r="V315" s="6" t="s">
        <v>65</v>
      </c>
      <c r="W315" t="str">
        <f t="shared" si="4"/>
        <v>Blacklisted</v>
      </c>
    </row>
    <row r="316" spans="1:23" ht="14.25" customHeight="1">
      <c r="A316" s="3" t="s">
        <v>1441</v>
      </c>
      <c r="B316" s="3" t="s">
        <v>101</v>
      </c>
      <c r="C316" s="3" t="s">
        <v>73</v>
      </c>
      <c r="D316" s="3" t="s">
        <v>798</v>
      </c>
      <c r="E316" s="3" t="s">
        <v>799</v>
      </c>
      <c r="F316" s="3" t="s">
        <v>104</v>
      </c>
      <c r="G316" s="3" t="s">
        <v>29</v>
      </c>
      <c r="H316" s="3" t="s">
        <v>1442</v>
      </c>
      <c r="I316" s="3" t="s">
        <v>60</v>
      </c>
      <c r="J316" s="3" t="s">
        <v>32</v>
      </c>
      <c r="K316" s="3" t="s">
        <v>47</v>
      </c>
      <c r="L316" s="3" t="s">
        <v>79</v>
      </c>
      <c r="M316" s="3">
        <v>7</v>
      </c>
      <c r="N316" s="3">
        <v>1200</v>
      </c>
      <c r="O316" s="3">
        <v>15</v>
      </c>
      <c r="P316" s="3">
        <v>7140</v>
      </c>
      <c r="Q316" s="3">
        <v>5</v>
      </c>
      <c r="R316" s="3" t="s">
        <v>89</v>
      </c>
      <c r="S316" s="3" t="s">
        <v>50</v>
      </c>
      <c r="T316" s="3" t="s">
        <v>145</v>
      </c>
      <c r="U316" s="5" t="s">
        <v>1443</v>
      </c>
      <c r="V316" s="3" t="s">
        <v>65</v>
      </c>
      <c r="W316" t="str">
        <f t="shared" si="4"/>
        <v>Blacklisted</v>
      </c>
    </row>
    <row r="317" spans="1:23" ht="14.25" customHeight="1">
      <c r="A317" s="6" t="s">
        <v>1444</v>
      </c>
      <c r="B317" s="6" t="s">
        <v>84</v>
      </c>
      <c r="C317" s="6" t="s">
        <v>41</v>
      </c>
      <c r="D317" s="6" t="s">
        <v>962</v>
      </c>
      <c r="E317" s="6" t="s">
        <v>1445</v>
      </c>
      <c r="F317" s="6" t="s">
        <v>181</v>
      </c>
      <c r="G317" s="6" t="s">
        <v>77</v>
      </c>
      <c r="H317" s="6" t="s">
        <v>1446</v>
      </c>
      <c r="I317" s="6" t="s">
        <v>213</v>
      </c>
      <c r="J317" s="6" t="s">
        <v>46</v>
      </c>
      <c r="K317" s="6" t="s">
        <v>47</v>
      </c>
      <c r="L317" s="6" t="s">
        <v>48</v>
      </c>
      <c r="M317" s="6">
        <v>17</v>
      </c>
      <c r="N317" s="6">
        <v>12000</v>
      </c>
      <c r="O317" s="6">
        <v>5</v>
      </c>
      <c r="P317" s="6">
        <v>193800</v>
      </c>
      <c r="Q317" s="6">
        <v>1</v>
      </c>
      <c r="R317" s="6" t="s">
        <v>35</v>
      </c>
      <c r="S317" s="6" t="s">
        <v>62</v>
      </c>
      <c r="T317" s="6" t="s">
        <v>90</v>
      </c>
      <c r="U317" s="7" t="s">
        <v>1447</v>
      </c>
      <c r="V317" s="6" t="s">
        <v>70</v>
      </c>
      <c r="W317" t="str">
        <f t="shared" si="4"/>
        <v>Blacklisted</v>
      </c>
    </row>
    <row r="318" spans="1:23" ht="14.25" customHeight="1">
      <c r="A318" s="3" t="s">
        <v>1448</v>
      </c>
      <c r="B318" s="3" t="s">
        <v>84</v>
      </c>
      <c r="C318" s="3" t="s">
        <v>223</v>
      </c>
      <c r="D318" s="3" t="s">
        <v>357</v>
      </c>
      <c r="E318" s="3" t="s">
        <v>518</v>
      </c>
      <c r="F318" s="3" t="s">
        <v>181</v>
      </c>
      <c r="G318" s="3" t="s">
        <v>77</v>
      </c>
      <c r="H318" s="3" t="s">
        <v>1449</v>
      </c>
      <c r="I318" s="3" t="s">
        <v>60</v>
      </c>
      <c r="J318" s="3" t="s">
        <v>32</v>
      </c>
      <c r="K318" s="3" t="s">
        <v>123</v>
      </c>
      <c r="L318" s="3" t="s">
        <v>228</v>
      </c>
      <c r="M318" s="3">
        <v>10</v>
      </c>
      <c r="N318" s="3">
        <v>20</v>
      </c>
      <c r="O318" s="3">
        <v>5</v>
      </c>
      <c r="P318" s="3">
        <v>190</v>
      </c>
      <c r="Q318" s="3">
        <v>2</v>
      </c>
      <c r="R318" s="3" t="s">
        <v>35</v>
      </c>
      <c r="S318" s="3" t="s">
        <v>62</v>
      </c>
      <c r="T318" s="3" t="s">
        <v>90</v>
      </c>
      <c r="U318" s="5" t="s">
        <v>1450</v>
      </c>
      <c r="V318" s="3" t="s">
        <v>70</v>
      </c>
      <c r="W318" t="str">
        <f t="shared" si="4"/>
        <v>Blacklisted</v>
      </c>
    </row>
    <row r="319" spans="1:23" ht="14.25" customHeight="1">
      <c r="A319" s="6" t="s">
        <v>1451</v>
      </c>
      <c r="B319" s="6" t="s">
        <v>169</v>
      </c>
      <c r="C319" s="6" t="s">
        <v>25</v>
      </c>
      <c r="D319" s="6" t="s">
        <v>292</v>
      </c>
      <c r="E319" s="6" t="s">
        <v>1452</v>
      </c>
      <c r="F319" s="6" t="s">
        <v>362</v>
      </c>
      <c r="G319" s="6" t="s">
        <v>29</v>
      </c>
      <c r="H319" s="6" t="s">
        <v>1453</v>
      </c>
      <c r="I319" s="6" t="s">
        <v>45</v>
      </c>
      <c r="J319" s="6" t="s">
        <v>46</v>
      </c>
      <c r="K319" s="6" t="s">
        <v>33</v>
      </c>
      <c r="L319" s="6" t="s">
        <v>34</v>
      </c>
      <c r="M319" s="6">
        <v>11</v>
      </c>
      <c r="N319" s="6">
        <v>2200</v>
      </c>
      <c r="O319" s="6">
        <v>5</v>
      </c>
      <c r="P319" s="6">
        <v>22990</v>
      </c>
      <c r="Q319" s="6">
        <v>5</v>
      </c>
      <c r="R319" s="6" t="s">
        <v>80</v>
      </c>
      <c r="S319" s="6" t="s">
        <v>50</v>
      </c>
      <c r="T319" s="6" t="s">
        <v>176</v>
      </c>
      <c r="U319" s="7" t="s">
        <v>1454</v>
      </c>
      <c r="V319" s="6" t="s">
        <v>65</v>
      </c>
      <c r="W319" t="str">
        <f t="shared" si="4"/>
        <v>Blacklisted</v>
      </c>
    </row>
    <row r="320" spans="1:23" ht="14.25" customHeight="1">
      <c r="A320" s="3" t="s">
        <v>1455</v>
      </c>
      <c r="B320" s="3" t="s">
        <v>101</v>
      </c>
      <c r="C320" s="3" t="s">
        <v>119</v>
      </c>
      <c r="D320" s="3" t="s">
        <v>1370</v>
      </c>
      <c r="E320" s="3" t="s">
        <v>179</v>
      </c>
      <c r="F320" s="3" t="s">
        <v>104</v>
      </c>
      <c r="G320" s="3" t="s">
        <v>29</v>
      </c>
      <c r="H320" s="3" t="s">
        <v>1456</v>
      </c>
      <c r="I320" s="3" t="s">
        <v>213</v>
      </c>
      <c r="J320" s="3" t="s">
        <v>46</v>
      </c>
      <c r="K320" s="3" t="s">
        <v>123</v>
      </c>
      <c r="L320" s="3" t="s">
        <v>124</v>
      </c>
      <c r="M320" s="3">
        <v>8</v>
      </c>
      <c r="N320" s="3">
        <v>60</v>
      </c>
      <c r="O320" s="3">
        <v>15</v>
      </c>
      <c r="P320" s="3">
        <v>408</v>
      </c>
      <c r="Q320" s="3">
        <v>4</v>
      </c>
      <c r="R320" s="3" t="s">
        <v>35</v>
      </c>
      <c r="S320" s="3" t="s">
        <v>50</v>
      </c>
      <c r="T320" s="3" t="s">
        <v>145</v>
      </c>
      <c r="U320" s="5" t="s">
        <v>1457</v>
      </c>
      <c r="V320" s="3" t="s">
        <v>65</v>
      </c>
      <c r="W320" t="str">
        <f t="shared" si="4"/>
        <v>Blacklisted</v>
      </c>
    </row>
    <row r="321" spans="1:23" ht="14.25" customHeight="1">
      <c r="A321" s="6" t="s">
        <v>1458</v>
      </c>
      <c r="B321" s="6" t="s">
        <v>222</v>
      </c>
      <c r="C321" s="6" t="s">
        <v>260</v>
      </c>
      <c r="D321" s="6" t="s">
        <v>826</v>
      </c>
      <c r="E321" s="6" t="s">
        <v>120</v>
      </c>
      <c r="F321" s="6" t="s">
        <v>226</v>
      </c>
      <c r="G321" s="6" t="s">
        <v>77</v>
      </c>
      <c r="H321" s="6" t="s">
        <v>1459</v>
      </c>
      <c r="I321" s="6" t="s">
        <v>45</v>
      </c>
      <c r="J321" s="6" t="s">
        <v>46</v>
      </c>
      <c r="K321" s="6" t="s">
        <v>123</v>
      </c>
      <c r="L321" s="6" t="s">
        <v>264</v>
      </c>
      <c r="M321" s="6">
        <v>17</v>
      </c>
      <c r="N321" s="6">
        <v>45</v>
      </c>
      <c r="O321" s="6">
        <v>15</v>
      </c>
      <c r="P321" s="6">
        <v>650.25</v>
      </c>
      <c r="Q321" s="6">
        <v>2</v>
      </c>
      <c r="R321" s="6" t="s">
        <v>89</v>
      </c>
      <c r="S321" s="6" t="s">
        <v>152</v>
      </c>
      <c r="T321" s="6" t="s">
        <v>229</v>
      </c>
      <c r="U321" s="7" t="s">
        <v>1460</v>
      </c>
      <c r="V321" s="6" t="s">
        <v>39</v>
      </c>
      <c r="W321" t="str">
        <f t="shared" si="4"/>
        <v>Blacklisted</v>
      </c>
    </row>
    <row r="322" spans="1:23" ht="14.25" customHeight="1">
      <c r="A322" s="3" t="s">
        <v>1461</v>
      </c>
      <c r="B322" s="3" t="s">
        <v>328</v>
      </c>
      <c r="C322" s="3" t="s">
        <v>185</v>
      </c>
      <c r="D322" s="3" t="s">
        <v>633</v>
      </c>
      <c r="E322" s="3" t="s">
        <v>1462</v>
      </c>
      <c r="F322" s="3" t="s">
        <v>395</v>
      </c>
      <c r="G322" s="3" t="s">
        <v>77</v>
      </c>
      <c r="H322" s="3" t="s">
        <v>1463</v>
      </c>
      <c r="I322" s="3" t="s">
        <v>213</v>
      </c>
      <c r="J322" s="3" t="s">
        <v>46</v>
      </c>
      <c r="K322" s="3" t="s">
        <v>47</v>
      </c>
      <c r="L322" s="3" t="s">
        <v>190</v>
      </c>
      <c r="M322" s="3">
        <v>14</v>
      </c>
      <c r="N322" s="3">
        <v>700</v>
      </c>
      <c r="O322" s="3">
        <v>15</v>
      </c>
      <c r="P322" s="3">
        <v>8330</v>
      </c>
      <c r="Q322" s="3">
        <v>1</v>
      </c>
      <c r="R322" s="3" t="s">
        <v>80</v>
      </c>
      <c r="S322" s="3" t="s">
        <v>116</v>
      </c>
      <c r="T322" s="3" t="s">
        <v>333</v>
      </c>
      <c r="U322" s="5" t="s">
        <v>1464</v>
      </c>
      <c r="V322" s="3" t="s">
        <v>39</v>
      </c>
      <c r="W322" t="str">
        <f t="shared" ref="W322:W385" si="5">IF(OR(Q322&lt;=2,V322="Cancelled"),"Blacklisted",IF(AND(P322&gt;=100000,Q322&gt;=4,O322&lt;=10%,V322="Completed"),"Platinum",IF(AND(P322&gt;=50000,P322&lt;100000,Q322&gt;=3,V322="Completed"),"Gold",IF(AND(P322&lt;50000,V322="Completed"),"Silver","Blacklisted"))))</f>
        <v>Blacklisted</v>
      </c>
    </row>
    <row r="323" spans="1:23" ht="14.25" customHeight="1">
      <c r="A323" s="6" t="s">
        <v>1465</v>
      </c>
      <c r="B323" s="6" t="s">
        <v>84</v>
      </c>
      <c r="C323" s="6" t="s">
        <v>73</v>
      </c>
      <c r="D323" s="6" t="s">
        <v>1466</v>
      </c>
      <c r="E323" s="6" t="s">
        <v>949</v>
      </c>
      <c r="F323" s="6" t="s">
        <v>181</v>
      </c>
      <c r="G323" s="6" t="s">
        <v>77</v>
      </c>
      <c r="H323" s="6" t="s">
        <v>1467</v>
      </c>
      <c r="I323" s="6" t="s">
        <v>115</v>
      </c>
      <c r="J323" s="6" t="s">
        <v>107</v>
      </c>
      <c r="K323" s="6" t="s">
        <v>47</v>
      </c>
      <c r="L323" s="6" t="s">
        <v>79</v>
      </c>
      <c r="M323" s="6">
        <v>3</v>
      </c>
      <c r="N323" s="6">
        <v>1200</v>
      </c>
      <c r="O323" s="6">
        <v>5</v>
      </c>
      <c r="P323" s="6">
        <v>3420</v>
      </c>
      <c r="Q323" s="6">
        <v>3</v>
      </c>
      <c r="R323" s="6" t="s">
        <v>49</v>
      </c>
      <c r="S323" s="6" t="s">
        <v>152</v>
      </c>
      <c r="T323" s="6" t="s">
        <v>90</v>
      </c>
      <c r="U323" s="7" t="s">
        <v>1468</v>
      </c>
      <c r="V323" s="6" t="s">
        <v>39</v>
      </c>
      <c r="W323" t="str">
        <f t="shared" si="5"/>
        <v>Silver</v>
      </c>
    </row>
    <row r="324" spans="1:23" ht="14.25" customHeight="1">
      <c r="A324" s="3" t="s">
        <v>1469</v>
      </c>
      <c r="B324" s="3" t="s">
        <v>24</v>
      </c>
      <c r="C324" s="3" t="s">
        <v>73</v>
      </c>
      <c r="D324" s="3" t="s">
        <v>490</v>
      </c>
      <c r="E324" s="3" t="s">
        <v>915</v>
      </c>
      <c r="F324" s="3" t="s">
        <v>28</v>
      </c>
      <c r="G324" s="3" t="s">
        <v>29</v>
      </c>
      <c r="H324" s="3" t="s">
        <v>1470</v>
      </c>
      <c r="I324" s="3" t="s">
        <v>139</v>
      </c>
      <c r="J324" s="3" t="s">
        <v>107</v>
      </c>
      <c r="K324" s="3" t="s">
        <v>47</v>
      </c>
      <c r="L324" s="3" t="s">
        <v>79</v>
      </c>
      <c r="M324" s="3">
        <v>9</v>
      </c>
      <c r="N324" s="3">
        <v>1200</v>
      </c>
      <c r="O324" s="3">
        <v>15</v>
      </c>
      <c r="P324" s="3">
        <v>9180</v>
      </c>
      <c r="Q324" s="3">
        <v>3</v>
      </c>
      <c r="R324" s="3" t="s">
        <v>35</v>
      </c>
      <c r="S324" s="3" t="s">
        <v>50</v>
      </c>
      <c r="T324" s="3" t="s">
        <v>51</v>
      </c>
      <c r="U324" s="5" t="s">
        <v>1471</v>
      </c>
      <c r="V324" s="3" t="s">
        <v>39</v>
      </c>
      <c r="W324" t="str">
        <f t="shared" si="5"/>
        <v>Silver</v>
      </c>
    </row>
    <row r="325" spans="1:23" ht="14.25" customHeight="1">
      <c r="A325" s="6" t="s">
        <v>1472</v>
      </c>
      <c r="B325" s="6" t="s">
        <v>252</v>
      </c>
      <c r="C325" s="6" t="s">
        <v>223</v>
      </c>
      <c r="D325" s="6" t="s">
        <v>225</v>
      </c>
      <c r="E325" s="6" t="s">
        <v>361</v>
      </c>
      <c r="F325" s="6" t="s">
        <v>255</v>
      </c>
      <c r="G325" s="6" t="s">
        <v>29</v>
      </c>
      <c r="H325" s="6" t="s">
        <v>1473</v>
      </c>
      <c r="I325" s="6" t="s">
        <v>106</v>
      </c>
      <c r="J325" s="6" t="s">
        <v>107</v>
      </c>
      <c r="K325" s="6" t="s">
        <v>123</v>
      </c>
      <c r="L325" s="6" t="s">
        <v>228</v>
      </c>
      <c r="M325" s="6">
        <v>5</v>
      </c>
      <c r="N325" s="6">
        <v>20</v>
      </c>
      <c r="O325" s="6">
        <v>5</v>
      </c>
      <c r="P325" s="6">
        <v>95</v>
      </c>
      <c r="Q325" s="6">
        <v>4</v>
      </c>
      <c r="R325" s="6" t="s">
        <v>35</v>
      </c>
      <c r="S325" s="6" t="s">
        <v>152</v>
      </c>
      <c r="T325" s="6" t="s">
        <v>257</v>
      </c>
      <c r="U325" s="7" t="s">
        <v>1474</v>
      </c>
      <c r="V325" s="6" t="s">
        <v>39</v>
      </c>
      <c r="W325" t="str">
        <f t="shared" si="5"/>
        <v>Silver</v>
      </c>
    </row>
    <row r="326" spans="1:23" ht="14.25" customHeight="1">
      <c r="A326" s="3" t="s">
        <v>1475</v>
      </c>
      <c r="B326" s="3" t="s">
        <v>252</v>
      </c>
      <c r="C326" s="3" t="s">
        <v>25</v>
      </c>
      <c r="D326" s="3" t="s">
        <v>1476</v>
      </c>
      <c r="E326" s="3" t="s">
        <v>1477</v>
      </c>
      <c r="F326" s="3" t="s">
        <v>255</v>
      </c>
      <c r="G326" s="3" t="s">
        <v>29</v>
      </c>
      <c r="H326" s="3" t="s">
        <v>1478</v>
      </c>
      <c r="I326" s="3" t="s">
        <v>139</v>
      </c>
      <c r="J326" s="3" t="s">
        <v>107</v>
      </c>
      <c r="K326" s="3" t="s">
        <v>33</v>
      </c>
      <c r="L326" s="3" t="s">
        <v>34</v>
      </c>
      <c r="M326" s="3">
        <v>8</v>
      </c>
      <c r="N326" s="3">
        <v>2200</v>
      </c>
      <c r="O326" s="3">
        <v>10</v>
      </c>
      <c r="P326" s="3">
        <v>15840</v>
      </c>
      <c r="Q326" s="3">
        <v>4</v>
      </c>
      <c r="R326" s="3" t="s">
        <v>89</v>
      </c>
      <c r="S326" s="3" t="s">
        <v>62</v>
      </c>
      <c r="T326" s="3" t="s">
        <v>257</v>
      </c>
      <c r="U326" s="5" t="s">
        <v>1479</v>
      </c>
      <c r="V326" s="3" t="s">
        <v>70</v>
      </c>
      <c r="W326" t="str">
        <f t="shared" si="5"/>
        <v>Blacklisted</v>
      </c>
    </row>
    <row r="327" spans="1:23" ht="14.25" customHeight="1">
      <c r="A327" s="6" t="s">
        <v>1480</v>
      </c>
      <c r="B327" s="6" t="s">
        <v>252</v>
      </c>
      <c r="C327" s="6" t="s">
        <v>185</v>
      </c>
      <c r="D327" s="6" t="s">
        <v>299</v>
      </c>
      <c r="E327" s="6" t="s">
        <v>1481</v>
      </c>
      <c r="F327" s="6" t="s">
        <v>255</v>
      </c>
      <c r="G327" s="6" t="s">
        <v>29</v>
      </c>
      <c r="H327" s="6" t="s">
        <v>1482</v>
      </c>
      <c r="I327" s="6" t="s">
        <v>106</v>
      </c>
      <c r="J327" s="6" t="s">
        <v>107</v>
      </c>
      <c r="K327" s="6" t="s">
        <v>47</v>
      </c>
      <c r="L327" s="6" t="s">
        <v>190</v>
      </c>
      <c r="M327" s="6">
        <v>10</v>
      </c>
      <c r="N327" s="6">
        <v>700</v>
      </c>
      <c r="O327" s="6">
        <v>20</v>
      </c>
      <c r="P327" s="6">
        <v>5600</v>
      </c>
      <c r="Q327" s="6">
        <v>1</v>
      </c>
      <c r="R327" s="6" t="s">
        <v>89</v>
      </c>
      <c r="S327" s="6" t="s">
        <v>116</v>
      </c>
      <c r="T327" s="6" t="s">
        <v>257</v>
      </c>
      <c r="U327" s="7" t="s">
        <v>1483</v>
      </c>
      <c r="V327" s="6" t="s">
        <v>39</v>
      </c>
      <c r="W327" t="str">
        <f t="shared" si="5"/>
        <v>Blacklisted</v>
      </c>
    </row>
    <row r="328" spans="1:23" ht="14.25" customHeight="1">
      <c r="A328" s="3" t="s">
        <v>1484</v>
      </c>
      <c r="B328" s="3" t="s">
        <v>84</v>
      </c>
      <c r="C328" s="3" t="s">
        <v>185</v>
      </c>
      <c r="D328" s="3" t="s">
        <v>1485</v>
      </c>
      <c r="E328" s="3" t="s">
        <v>1486</v>
      </c>
      <c r="F328" s="3" t="s">
        <v>181</v>
      </c>
      <c r="G328" s="3" t="s">
        <v>77</v>
      </c>
      <c r="H328" s="3" t="s">
        <v>1487</v>
      </c>
      <c r="I328" s="3" t="s">
        <v>60</v>
      </c>
      <c r="J328" s="3" t="s">
        <v>32</v>
      </c>
      <c r="K328" s="3" t="s">
        <v>47</v>
      </c>
      <c r="L328" s="3" t="s">
        <v>190</v>
      </c>
      <c r="M328" s="3">
        <v>2</v>
      </c>
      <c r="N328" s="3">
        <v>700</v>
      </c>
      <c r="O328" s="3">
        <v>20</v>
      </c>
      <c r="P328" s="3">
        <v>1120</v>
      </c>
      <c r="Q328" s="3">
        <v>2</v>
      </c>
      <c r="R328" s="3" t="s">
        <v>35</v>
      </c>
      <c r="S328" s="3" t="s">
        <v>116</v>
      </c>
      <c r="T328" s="3" t="s">
        <v>90</v>
      </c>
      <c r="U328" s="5" t="s">
        <v>1488</v>
      </c>
      <c r="V328" s="3" t="s">
        <v>65</v>
      </c>
      <c r="W328" t="str">
        <f t="shared" si="5"/>
        <v>Blacklisted</v>
      </c>
    </row>
    <row r="329" spans="1:23" ht="14.25" customHeight="1">
      <c r="A329" s="6" t="s">
        <v>1489</v>
      </c>
      <c r="B329" s="6" t="s">
        <v>222</v>
      </c>
      <c r="C329" s="6" t="s">
        <v>93</v>
      </c>
      <c r="D329" s="6" t="s">
        <v>873</v>
      </c>
      <c r="E329" s="6" t="s">
        <v>966</v>
      </c>
      <c r="F329" s="6" t="s">
        <v>226</v>
      </c>
      <c r="G329" s="6" t="s">
        <v>77</v>
      </c>
      <c r="H329" s="6" t="s">
        <v>1490</v>
      </c>
      <c r="I329" s="6" t="s">
        <v>115</v>
      </c>
      <c r="J329" s="6" t="s">
        <v>107</v>
      </c>
      <c r="K329" s="6" t="s">
        <v>33</v>
      </c>
      <c r="L329" s="6" t="s">
        <v>98</v>
      </c>
      <c r="M329" s="6">
        <v>16</v>
      </c>
      <c r="N329" s="6">
        <v>3500</v>
      </c>
      <c r="O329" s="6">
        <v>20</v>
      </c>
      <c r="P329" s="6">
        <v>44800</v>
      </c>
      <c r="Q329" s="6">
        <v>2</v>
      </c>
      <c r="R329" s="6" t="s">
        <v>89</v>
      </c>
      <c r="S329" s="6" t="s">
        <v>36</v>
      </c>
      <c r="T329" s="6" t="s">
        <v>229</v>
      </c>
      <c r="U329" s="7" t="s">
        <v>1491</v>
      </c>
      <c r="V329" s="6" t="s">
        <v>65</v>
      </c>
      <c r="W329" t="str">
        <f t="shared" si="5"/>
        <v>Blacklisted</v>
      </c>
    </row>
    <row r="330" spans="1:23" ht="14.25" customHeight="1">
      <c r="A330" s="3" t="s">
        <v>1492</v>
      </c>
      <c r="B330" s="3" t="s">
        <v>169</v>
      </c>
      <c r="C330" s="3" t="s">
        <v>93</v>
      </c>
      <c r="D330" s="3" t="s">
        <v>830</v>
      </c>
      <c r="E330" s="3" t="s">
        <v>757</v>
      </c>
      <c r="F330" s="3" t="s">
        <v>362</v>
      </c>
      <c r="G330" s="3" t="s">
        <v>29</v>
      </c>
      <c r="H330" s="3" t="s">
        <v>1493</v>
      </c>
      <c r="I330" s="3" t="s">
        <v>45</v>
      </c>
      <c r="J330" s="3" t="s">
        <v>46</v>
      </c>
      <c r="K330" s="3" t="s">
        <v>33</v>
      </c>
      <c r="L330" s="3" t="s">
        <v>98</v>
      </c>
      <c r="M330" s="3">
        <v>9</v>
      </c>
      <c r="N330" s="3">
        <v>3500</v>
      </c>
      <c r="O330" s="3">
        <v>20</v>
      </c>
      <c r="P330" s="3">
        <v>25200</v>
      </c>
      <c r="Q330" s="3">
        <v>1</v>
      </c>
      <c r="R330" s="3" t="s">
        <v>80</v>
      </c>
      <c r="S330" s="3" t="s">
        <v>50</v>
      </c>
      <c r="T330" s="3" t="s">
        <v>176</v>
      </c>
      <c r="U330" s="5" t="s">
        <v>1494</v>
      </c>
      <c r="V330" s="3" t="s">
        <v>70</v>
      </c>
      <c r="W330" t="str">
        <f t="shared" si="5"/>
        <v>Blacklisted</v>
      </c>
    </row>
    <row r="331" spans="1:23" ht="14.25" customHeight="1">
      <c r="A331" s="6" t="s">
        <v>1495</v>
      </c>
      <c r="B331" s="6" t="s">
        <v>128</v>
      </c>
      <c r="C331" s="6" t="s">
        <v>185</v>
      </c>
      <c r="D331" s="6" t="s">
        <v>897</v>
      </c>
      <c r="E331" s="6" t="s">
        <v>531</v>
      </c>
      <c r="F331" s="6" t="s">
        <v>201</v>
      </c>
      <c r="G331" s="6" t="s">
        <v>77</v>
      </c>
      <c r="H331" s="6" t="s">
        <v>1496</v>
      </c>
      <c r="I331" s="6" t="s">
        <v>31</v>
      </c>
      <c r="J331" s="6" t="s">
        <v>32</v>
      </c>
      <c r="K331" s="6" t="s">
        <v>47</v>
      </c>
      <c r="L331" s="6" t="s">
        <v>190</v>
      </c>
      <c r="M331" s="6">
        <v>15</v>
      </c>
      <c r="N331" s="6">
        <v>700</v>
      </c>
      <c r="O331" s="6">
        <v>5</v>
      </c>
      <c r="P331" s="6">
        <v>9975</v>
      </c>
      <c r="Q331" s="6">
        <v>1</v>
      </c>
      <c r="R331" s="6" t="s">
        <v>35</v>
      </c>
      <c r="S331" s="6" t="s">
        <v>50</v>
      </c>
      <c r="T331" s="6" t="s">
        <v>133</v>
      </c>
      <c r="U331" s="7" t="s">
        <v>1497</v>
      </c>
      <c r="V331" s="6" t="s">
        <v>70</v>
      </c>
      <c r="W331" t="str">
        <f t="shared" si="5"/>
        <v>Blacklisted</v>
      </c>
    </row>
    <row r="332" spans="1:23" ht="14.25" customHeight="1">
      <c r="A332" s="3" t="s">
        <v>1498</v>
      </c>
      <c r="B332" s="3" t="s">
        <v>54</v>
      </c>
      <c r="C332" s="3" t="s">
        <v>73</v>
      </c>
      <c r="D332" s="3" t="s">
        <v>180</v>
      </c>
      <c r="E332" s="3" t="s">
        <v>799</v>
      </c>
      <c r="F332" s="3" t="s">
        <v>164</v>
      </c>
      <c r="G332" s="3" t="s">
        <v>29</v>
      </c>
      <c r="H332" s="3" t="s">
        <v>1499</v>
      </c>
      <c r="I332" s="3" t="s">
        <v>139</v>
      </c>
      <c r="J332" s="3" t="s">
        <v>107</v>
      </c>
      <c r="K332" s="3" t="s">
        <v>47</v>
      </c>
      <c r="L332" s="3" t="s">
        <v>79</v>
      </c>
      <c r="M332" s="3">
        <v>13</v>
      </c>
      <c r="N332" s="3">
        <v>1200</v>
      </c>
      <c r="O332" s="3">
        <v>0</v>
      </c>
      <c r="P332" s="3">
        <v>15600</v>
      </c>
      <c r="Q332" s="3">
        <v>3</v>
      </c>
      <c r="R332" s="3" t="s">
        <v>49</v>
      </c>
      <c r="S332" s="3" t="s">
        <v>116</v>
      </c>
      <c r="T332" s="3" t="s">
        <v>63</v>
      </c>
      <c r="U332" s="5" t="s">
        <v>1500</v>
      </c>
      <c r="V332" s="3" t="s">
        <v>70</v>
      </c>
      <c r="W332" t="str">
        <f t="shared" si="5"/>
        <v>Blacklisted</v>
      </c>
    </row>
    <row r="333" spans="1:23" ht="14.25" customHeight="1">
      <c r="A333" s="6" t="s">
        <v>1501</v>
      </c>
      <c r="B333" s="6" t="s">
        <v>328</v>
      </c>
      <c r="C333" s="6" t="s">
        <v>41</v>
      </c>
      <c r="D333" s="6" t="s">
        <v>1502</v>
      </c>
      <c r="E333" s="6" t="s">
        <v>1503</v>
      </c>
      <c r="F333" s="6" t="s">
        <v>395</v>
      </c>
      <c r="G333" s="6" t="s">
        <v>77</v>
      </c>
      <c r="H333" s="6" t="s">
        <v>1504</v>
      </c>
      <c r="I333" s="6" t="s">
        <v>45</v>
      </c>
      <c r="J333" s="6" t="s">
        <v>46</v>
      </c>
      <c r="K333" s="6" t="s">
        <v>47</v>
      </c>
      <c r="L333" s="6" t="s">
        <v>48</v>
      </c>
      <c r="M333" s="6">
        <v>5</v>
      </c>
      <c r="N333" s="6">
        <v>12000</v>
      </c>
      <c r="O333" s="6">
        <v>10</v>
      </c>
      <c r="P333" s="6">
        <v>54000</v>
      </c>
      <c r="Q333" s="6">
        <v>3</v>
      </c>
      <c r="R333" s="6" t="s">
        <v>89</v>
      </c>
      <c r="S333" s="6" t="s">
        <v>50</v>
      </c>
      <c r="T333" s="6" t="s">
        <v>333</v>
      </c>
      <c r="U333" s="7" t="s">
        <v>1505</v>
      </c>
      <c r="V333" s="6" t="s">
        <v>39</v>
      </c>
      <c r="W333" t="str">
        <f t="shared" si="5"/>
        <v>Gold</v>
      </c>
    </row>
    <row r="334" spans="1:23" ht="14.25" customHeight="1">
      <c r="A334" s="3" t="s">
        <v>1506</v>
      </c>
      <c r="B334" s="3" t="s">
        <v>54</v>
      </c>
      <c r="C334" s="3" t="s">
        <v>260</v>
      </c>
      <c r="D334" s="3" t="s">
        <v>1507</v>
      </c>
      <c r="E334" s="3" t="s">
        <v>1508</v>
      </c>
      <c r="F334" s="3" t="s">
        <v>164</v>
      </c>
      <c r="G334" s="3" t="s">
        <v>29</v>
      </c>
      <c r="H334" s="3" t="s">
        <v>1509</v>
      </c>
      <c r="I334" s="3" t="s">
        <v>60</v>
      </c>
      <c r="J334" s="3" t="s">
        <v>32</v>
      </c>
      <c r="K334" s="3" t="s">
        <v>123</v>
      </c>
      <c r="L334" s="3" t="s">
        <v>264</v>
      </c>
      <c r="M334" s="3">
        <v>12</v>
      </c>
      <c r="N334" s="3">
        <v>45</v>
      </c>
      <c r="O334" s="3">
        <v>20</v>
      </c>
      <c r="P334" s="3">
        <v>432</v>
      </c>
      <c r="Q334" s="3">
        <v>3</v>
      </c>
      <c r="R334" s="3" t="s">
        <v>49</v>
      </c>
      <c r="S334" s="3" t="s">
        <v>62</v>
      </c>
      <c r="T334" s="3" t="s">
        <v>63</v>
      </c>
      <c r="U334" s="5" t="s">
        <v>1510</v>
      </c>
      <c r="V334" s="3" t="s">
        <v>39</v>
      </c>
      <c r="W334" t="str">
        <f t="shared" si="5"/>
        <v>Silver</v>
      </c>
    </row>
    <row r="335" spans="1:23" ht="14.25" customHeight="1">
      <c r="A335" s="6" t="s">
        <v>1511</v>
      </c>
      <c r="B335" s="6" t="s">
        <v>24</v>
      </c>
      <c r="C335" s="6" t="s">
        <v>93</v>
      </c>
      <c r="D335" s="6" t="s">
        <v>653</v>
      </c>
      <c r="E335" s="6" t="s">
        <v>667</v>
      </c>
      <c r="F335" s="6" t="s">
        <v>28</v>
      </c>
      <c r="G335" s="6" t="s">
        <v>29</v>
      </c>
      <c r="H335" s="6" t="s">
        <v>1512</v>
      </c>
      <c r="I335" s="6" t="s">
        <v>60</v>
      </c>
      <c r="J335" s="6" t="s">
        <v>32</v>
      </c>
      <c r="K335" s="6" t="s">
        <v>33</v>
      </c>
      <c r="L335" s="6" t="s">
        <v>98</v>
      </c>
      <c r="M335" s="6">
        <v>2</v>
      </c>
      <c r="N335" s="6">
        <v>3500</v>
      </c>
      <c r="O335" s="6">
        <v>0</v>
      </c>
      <c r="P335" s="6">
        <v>7000</v>
      </c>
      <c r="Q335" s="6">
        <v>1</v>
      </c>
      <c r="R335" s="6" t="s">
        <v>49</v>
      </c>
      <c r="S335" s="6" t="s">
        <v>116</v>
      </c>
      <c r="T335" s="6" t="s">
        <v>51</v>
      </c>
      <c r="U335" s="7" t="s">
        <v>1513</v>
      </c>
      <c r="V335" s="6" t="s">
        <v>65</v>
      </c>
      <c r="W335" t="str">
        <f t="shared" si="5"/>
        <v>Blacklisted</v>
      </c>
    </row>
    <row r="336" spans="1:23" ht="14.25" customHeight="1">
      <c r="A336" s="3" t="s">
        <v>1514</v>
      </c>
      <c r="B336" s="3" t="s">
        <v>24</v>
      </c>
      <c r="C336" s="3" t="s">
        <v>25</v>
      </c>
      <c r="D336" s="3" t="s">
        <v>427</v>
      </c>
      <c r="E336" s="3" t="s">
        <v>1181</v>
      </c>
      <c r="F336" s="3" t="s">
        <v>28</v>
      </c>
      <c r="G336" s="3" t="s">
        <v>29</v>
      </c>
      <c r="H336" s="3" t="s">
        <v>1515</v>
      </c>
      <c r="I336" s="3" t="s">
        <v>115</v>
      </c>
      <c r="J336" s="3" t="s">
        <v>107</v>
      </c>
      <c r="K336" s="3" t="s">
        <v>33</v>
      </c>
      <c r="L336" s="3" t="s">
        <v>34</v>
      </c>
      <c r="M336" s="3">
        <v>15</v>
      </c>
      <c r="N336" s="3">
        <v>2200</v>
      </c>
      <c r="O336" s="3">
        <v>15</v>
      </c>
      <c r="P336" s="3">
        <v>28050</v>
      </c>
      <c r="Q336" s="3">
        <v>2</v>
      </c>
      <c r="R336" s="3" t="s">
        <v>49</v>
      </c>
      <c r="S336" s="3" t="s">
        <v>50</v>
      </c>
      <c r="T336" s="3" t="s">
        <v>51</v>
      </c>
      <c r="U336" s="5" t="s">
        <v>1516</v>
      </c>
      <c r="V336" s="3" t="s">
        <v>65</v>
      </c>
      <c r="W336" t="str">
        <f t="shared" si="5"/>
        <v>Blacklisted</v>
      </c>
    </row>
    <row r="337" spans="1:23" ht="14.25" customHeight="1">
      <c r="A337" s="6" t="s">
        <v>1517</v>
      </c>
      <c r="B337" s="6" t="s">
        <v>101</v>
      </c>
      <c r="C337" s="6" t="s">
        <v>223</v>
      </c>
      <c r="D337" s="6" t="s">
        <v>187</v>
      </c>
      <c r="E337" s="6" t="s">
        <v>1254</v>
      </c>
      <c r="F337" s="6" t="s">
        <v>104</v>
      </c>
      <c r="G337" s="6" t="s">
        <v>29</v>
      </c>
      <c r="H337" s="6" t="s">
        <v>1518</v>
      </c>
      <c r="I337" s="6" t="s">
        <v>139</v>
      </c>
      <c r="J337" s="6" t="s">
        <v>107</v>
      </c>
      <c r="K337" s="6" t="s">
        <v>123</v>
      </c>
      <c r="L337" s="6" t="s">
        <v>228</v>
      </c>
      <c r="M337" s="6">
        <v>8</v>
      </c>
      <c r="N337" s="6">
        <v>20</v>
      </c>
      <c r="O337" s="6">
        <v>20</v>
      </c>
      <c r="P337" s="6">
        <v>128</v>
      </c>
      <c r="Q337" s="6">
        <v>5</v>
      </c>
      <c r="R337" s="6" t="s">
        <v>89</v>
      </c>
      <c r="S337" s="6" t="s">
        <v>50</v>
      </c>
      <c r="T337" s="6" t="s">
        <v>145</v>
      </c>
      <c r="U337" s="7" t="s">
        <v>1519</v>
      </c>
      <c r="V337" s="6" t="s">
        <v>39</v>
      </c>
      <c r="W337" t="str">
        <f t="shared" si="5"/>
        <v>Silver</v>
      </c>
    </row>
    <row r="338" spans="1:23" ht="14.25" customHeight="1">
      <c r="A338" s="3" t="s">
        <v>1520</v>
      </c>
      <c r="B338" s="3" t="s">
        <v>128</v>
      </c>
      <c r="C338" s="3" t="s">
        <v>223</v>
      </c>
      <c r="D338" s="3" t="s">
        <v>299</v>
      </c>
      <c r="E338" s="3" t="s">
        <v>799</v>
      </c>
      <c r="F338" s="3" t="s">
        <v>201</v>
      </c>
      <c r="G338" s="3" t="s">
        <v>77</v>
      </c>
      <c r="H338" s="3" t="s">
        <v>1521</v>
      </c>
      <c r="I338" s="3" t="s">
        <v>31</v>
      </c>
      <c r="J338" s="3" t="s">
        <v>32</v>
      </c>
      <c r="K338" s="3" t="s">
        <v>123</v>
      </c>
      <c r="L338" s="3" t="s">
        <v>228</v>
      </c>
      <c r="M338" s="3">
        <v>1</v>
      </c>
      <c r="N338" s="3">
        <v>20</v>
      </c>
      <c r="O338" s="3">
        <v>0</v>
      </c>
      <c r="P338" s="3">
        <v>20</v>
      </c>
      <c r="Q338" s="3">
        <v>3</v>
      </c>
      <c r="R338" s="3" t="s">
        <v>89</v>
      </c>
      <c r="S338" s="3" t="s">
        <v>36</v>
      </c>
      <c r="T338" s="3" t="s">
        <v>133</v>
      </c>
      <c r="U338" s="5" t="s">
        <v>1522</v>
      </c>
      <c r="V338" s="3" t="s">
        <v>39</v>
      </c>
      <c r="W338" t="str">
        <f t="shared" si="5"/>
        <v>Silver</v>
      </c>
    </row>
    <row r="339" spans="1:23" ht="14.25" customHeight="1">
      <c r="A339" s="6" t="s">
        <v>1523</v>
      </c>
      <c r="B339" s="6" t="s">
        <v>24</v>
      </c>
      <c r="C339" s="6" t="s">
        <v>185</v>
      </c>
      <c r="D339" s="6" t="s">
        <v>1200</v>
      </c>
      <c r="E339" s="6" t="s">
        <v>254</v>
      </c>
      <c r="F339" s="6" t="s">
        <v>28</v>
      </c>
      <c r="G339" s="6" t="s">
        <v>29</v>
      </c>
      <c r="H339" s="6" t="s">
        <v>1524</v>
      </c>
      <c r="I339" s="6" t="s">
        <v>213</v>
      </c>
      <c r="J339" s="6" t="s">
        <v>46</v>
      </c>
      <c r="K339" s="6" t="s">
        <v>47</v>
      </c>
      <c r="L339" s="6" t="s">
        <v>190</v>
      </c>
      <c r="M339" s="6">
        <v>15</v>
      </c>
      <c r="N339" s="6">
        <v>700</v>
      </c>
      <c r="O339" s="6">
        <v>0</v>
      </c>
      <c r="P339" s="6">
        <v>10500</v>
      </c>
      <c r="Q339" s="6">
        <v>2</v>
      </c>
      <c r="R339" s="6" t="s">
        <v>89</v>
      </c>
      <c r="S339" s="6" t="s">
        <v>50</v>
      </c>
      <c r="T339" s="6" t="s">
        <v>51</v>
      </c>
      <c r="U339" s="7" t="s">
        <v>1525</v>
      </c>
      <c r="V339" s="6" t="s">
        <v>39</v>
      </c>
      <c r="W339" t="str">
        <f t="shared" si="5"/>
        <v>Blacklisted</v>
      </c>
    </row>
    <row r="340" spans="1:23" ht="14.25" customHeight="1">
      <c r="A340" s="3" t="s">
        <v>1526</v>
      </c>
      <c r="B340" s="3" t="s">
        <v>328</v>
      </c>
      <c r="C340" s="3" t="s">
        <v>93</v>
      </c>
      <c r="D340" s="3" t="s">
        <v>933</v>
      </c>
      <c r="E340" s="3" t="s">
        <v>1527</v>
      </c>
      <c r="F340" s="3" t="s">
        <v>395</v>
      </c>
      <c r="G340" s="3" t="s">
        <v>77</v>
      </c>
      <c r="H340" s="3" t="s">
        <v>1528</v>
      </c>
      <c r="I340" s="3" t="s">
        <v>31</v>
      </c>
      <c r="J340" s="3" t="s">
        <v>32</v>
      </c>
      <c r="K340" s="3" t="s">
        <v>33</v>
      </c>
      <c r="L340" s="3" t="s">
        <v>98</v>
      </c>
      <c r="M340" s="3">
        <v>15</v>
      </c>
      <c r="N340" s="3">
        <v>3500</v>
      </c>
      <c r="O340" s="3">
        <v>10</v>
      </c>
      <c r="P340" s="3">
        <v>47250</v>
      </c>
      <c r="Q340" s="3">
        <v>3</v>
      </c>
      <c r="R340" s="3" t="s">
        <v>35</v>
      </c>
      <c r="S340" s="3" t="s">
        <v>152</v>
      </c>
      <c r="T340" s="3" t="s">
        <v>333</v>
      </c>
      <c r="U340" s="5" t="s">
        <v>1529</v>
      </c>
      <c r="V340" s="3" t="s">
        <v>65</v>
      </c>
      <c r="W340" t="str">
        <f t="shared" si="5"/>
        <v>Blacklisted</v>
      </c>
    </row>
    <row r="341" spans="1:23" ht="14.25" customHeight="1">
      <c r="A341" s="6" t="s">
        <v>1530</v>
      </c>
      <c r="B341" s="6" t="s">
        <v>24</v>
      </c>
      <c r="C341" s="6" t="s">
        <v>119</v>
      </c>
      <c r="D341" s="6" t="s">
        <v>1531</v>
      </c>
      <c r="E341" s="6" t="s">
        <v>157</v>
      </c>
      <c r="F341" s="6" t="s">
        <v>28</v>
      </c>
      <c r="G341" s="6" t="s">
        <v>29</v>
      </c>
      <c r="H341" s="6" t="s">
        <v>1532</v>
      </c>
      <c r="I341" s="6" t="s">
        <v>295</v>
      </c>
      <c r="J341" s="6" t="s">
        <v>296</v>
      </c>
      <c r="K341" s="6" t="s">
        <v>123</v>
      </c>
      <c r="L341" s="6" t="s">
        <v>124</v>
      </c>
      <c r="M341" s="6">
        <v>16</v>
      </c>
      <c r="N341" s="6">
        <v>60</v>
      </c>
      <c r="O341" s="6">
        <v>10</v>
      </c>
      <c r="P341" s="6">
        <v>864</v>
      </c>
      <c r="Q341" s="6">
        <v>4</v>
      </c>
      <c r="R341" s="6" t="s">
        <v>80</v>
      </c>
      <c r="S341" s="6" t="s">
        <v>62</v>
      </c>
      <c r="T341" s="6" t="s">
        <v>51</v>
      </c>
      <c r="U341" s="7" t="s">
        <v>1533</v>
      </c>
      <c r="V341" s="6" t="s">
        <v>39</v>
      </c>
      <c r="W341" t="str">
        <f t="shared" si="5"/>
        <v>Silver</v>
      </c>
    </row>
    <row r="342" spans="1:23" ht="14.25" customHeight="1">
      <c r="A342" s="3" t="s">
        <v>1534</v>
      </c>
      <c r="B342" s="3" t="s">
        <v>128</v>
      </c>
      <c r="C342" s="3" t="s">
        <v>260</v>
      </c>
      <c r="D342" s="3" t="s">
        <v>310</v>
      </c>
      <c r="E342" s="3" t="s">
        <v>794</v>
      </c>
      <c r="F342" s="3" t="s">
        <v>201</v>
      </c>
      <c r="G342" s="3" t="s">
        <v>77</v>
      </c>
      <c r="H342" s="3" t="s">
        <v>1535</v>
      </c>
      <c r="I342" s="3" t="s">
        <v>45</v>
      </c>
      <c r="J342" s="3" t="s">
        <v>46</v>
      </c>
      <c r="K342" s="3" t="s">
        <v>123</v>
      </c>
      <c r="L342" s="3" t="s">
        <v>264</v>
      </c>
      <c r="M342" s="3">
        <v>2</v>
      </c>
      <c r="N342" s="3">
        <v>45</v>
      </c>
      <c r="O342" s="3">
        <v>15</v>
      </c>
      <c r="P342" s="3">
        <v>76.5</v>
      </c>
      <c r="Q342" s="3">
        <v>1</v>
      </c>
      <c r="R342" s="3" t="s">
        <v>89</v>
      </c>
      <c r="S342" s="3" t="s">
        <v>152</v>
      </c>
      <c r="T342" s="3" t="s">
        <v>133</v>
      </c>
      <c r="U342" s="5" t="s">
        <v>1536</v>
      </c>
      <c r="V342" s="3" t="s">
        <v>70</v>
      </c>
      <c r="W342" t="str">
        <f t="shared" si="5"/>
        <v>Blacklisted</v>
      </c>
    </row>
    <row r="343" spans="1:23" ht="14.25" customHeight="1">
      <c r="A343" s="6" t="s">
        <v>1537</v>
      </c>
      <c r="B343" s="6" t="s">
        <v>169</v>
      </c>
      <c r="C343" s="6" t="s">
        <v>119</v>
      </c>
      <c r="D343" s="6" t="s">
        <v>1538</v>
      </c>
      <c r="E343" s="6" t="s">
        <v>1215</v>
      </c>
      <c r="F343" s="6" t="s">
        <v>362</v>
      </c>
      <c r="G343" s="6" t="s">
        <v>29</v>
      </c>
      <c r="H343" s="6" t="s">
        <v>1539</v>
      </c>
      <c r="I343" s="6" t="s">
        <v>45</v>
      </c>
      <c r="J343" s="6" t="s">
        <v>46</v>
      </c>
      <c r="K343" s="6" t="s">
        <v>123</v>
      </c>
      <c r="L343" s="6" t="s">
        <v>124</v>
      </c>
      <c r="M343" s="6">
        <v>13</v>
      </c>
      <c r="N343" s="6">
        <v>60</v>
      </c>
      <c r="O343" s="6">
        <v>15</v>
      </c>
      <c r="P343" s="6">
        <v>663</v>
      </c>
      <c r="Q343" s="6">
        <v>2</v>
      </c>
      <c r="R343" s="6" t="s">
        <v>49</v>
      </c>
      <c r="S343" s="6" t="s">
        <v>62</v>
      </c>
      <c r="T343" s="6" t="s">
        <v>176</v>
      </c>
      <c r="U343" s="7" t="s">
        <v>1540</v>
      </c>
      <c r="V343" s="6" t="s">
        <v>70</v>
      </c>
      <c r="W343" t="str">
        <f t="shared" si="5"/>
        <v>Blacklisted</v>
      </c>
    </row>
    <row r="344" spans="1:23" ht="14.25" customHeight="1">
      <c r="A344" s="3" t="s">
        <v>1541</v>
      </c>
      <c r="B344" s="3" t="s">
        <v>84</v>
      </c>
      <c r="C344" s="3" t="s">
        <v>41</v>
      </c>
      <c r="D344" s="3" t="s">
        <v>1087</v>
      </c>
      <c r="E344" s="3" t="s">
        <v>237</v>
      </c>
      <c r="F344" s="3" t="s">
        <v>181</v>
      </c>
      <c r="G344" s="3" t="s">
        <v>77</v>
      </c>
      <c r="H344" s="3" t="s">
        <v>1542</v>
      </c>
      <c r="I344" s="3" t="s">
        <v>45</v>
      </c>
      <c r="J344" s="3" t="s">
        <v>46</v>
      </c>
      <c r="K344" s="3" t="s">
        <v>47</v>
      </c>
      <c r="L344" s="3" t="s">
        <v>48</v>
      </c>
      <c r="M344" s="3">
        <v>15</v>
      </c>
      <c r="N344" s="3">
        <v>12000</v>
      </c>
      <c r="O344" s="3">
        <v>20</v>
      </c>
      <c r="P344" s="3">
        <v>144000</v>
      </c>
      <c r="Q344" s="3">
        <v>3</v>
      </c>
      <c r="R344" s="3" t="s">
        <v>80</v>
      </c>
      <c r="S344" s="3" t="s">
        <v>36</v>
      </c>
      <c r="T344" s="3" t="s">
        <v>90</v>
      </c>
      <c r="U344" s="5" t="s">
        <v>1543</v>
      </c>
      <c r="V344" s="3" t="s">
        <v>70</v>
      </c>
      <c r="W344" t="str">
        <f t="shared" si="5"/>
        <v>Blacklisted</v>
      </c>
    </row>
    <row r="345" spans="1:23" ht="14.25" customHeight="1">
      <c r="A345" s="6" t="s">
        <v>1544</v>
      </c>
      <c r="B345" s="6" t="s">
        <v>328</v>
      </c>
      <c r="C345" s="6" t="s">
        <v>223</v>
      </c>
      <c r="D345" s="6" t="s">
        <v>756</v>
      </c>
      <c r="E345" s="6" t="s">
        <v>1545</v>
      </c>
      <c r="F345" s="6" t="s">
        <v>395</v>
      </c>
      <c r="G345" s="6" t="s">
        <v>77</v>
      </c>
      <c r="H345" s="6" t="s">
        <v>1546</v>
      </c>
      <c r="I345" s="6" t="s">
        <v>45</v>
      </c>
      <c r="J345" s="6" t="s">
        <v>46</v>
      </c>
      <c r="K345" s="6" t="s">
        <v>123</v>
      </c>
      <c r="L345" s="6" t="s">
        <v>228</v>
      </c>
      <c r="M345" s="6">
        <v>2</v>
      </c>
      <c r="N345" s="6">
        <v>20</v>
      </c>
      <c r="O345" s="6">
        <v>20</v>
      </c>
      <c r="P345" s="6">
        <v>32</v>
      </c>
      <c r="Q345" s="6">
        <v>4</v>
      </c>
      <c r="R345" s="6" t="s">
        <v>35</v>
      </c>
      <c r="S345" s="6" t="s">
        <v>36</v>
      </c>
      <c r="T345" s="6" t="s">
        <v>333</v>
      </c>
      <c r="U345" s="7" t="s">
        <v>1547</v>
      </c>
      <c r="V345" s="6" t="s">
        <v>65</v>
      </c>
      <c r="W345" t="str">
        <f t="shared" si="5"/>
        <v>Blacklisted</v>
      </c>
    </row>
    <row r="346" spans="1:23" ht="14.25" customHeight="1">
      <c r="A346" s="3" t="s">
        <v>1548</v>
      </c>
      <c r="B346" s="3" t="s">
        <v>128</v>
      </c>
      <c r="C346" s="3" t="s">
        <v>93</v>
      </c>
      <c r="D346" s="3" t="s">
        <v>383</v>
      </c>
      <c r="E346" s="3" t="s">
        <v>1549</v>
      </c>
      <c r="F346" s="3" t="s">
        <v>201</v>
      </c>
      <c r="G346" s="3" t="s">
        <v>77</v>
      </c>
      <c r="H346" s="3" t="s">
        <v>1550</v>
      </c>
      <c r="I346" s="3" t="s">
        <v>60</v>
      </c>
      <c r="J346" s="3" t="s">
        <v>32</v>
      </c>
      <c r="K346" s="3" t="s">
        <v>33</v>
      </c>
      <c r="L346" s="3" t="s">
        <v>98</v>
      </c>
      <c r="M346" s="3">
        <v>16</v>
      </c>
      <c r="N346" s="3">
        <v>3500</v>
      </c>
      <c r="O346" s="3">
        <v>0</v>
      </c>
      <c r="P346" s="3">
        <v>56000</v>
      </c>
      <c r="Q346" s="3">
        <v>4</v>
      </c>
      <c r="R346" s="3" t="s">
        <v>35</v>
      </c>
      <c r="S346" s="3" t="s">
        <v>116</v>
      </c>
      <c r="T346" s="3" t="s">
        <v>133</v>
      </c>
      <c r="U346" s="5" t="s">
        <v>1551</v>
      </c>
      <c r="V346" s="3" t="s">
        <v>39</v>
      </c>
      <c r="W346" t="str">
        <f t="shared" si="5"/>
        <v>Gold</v>
      </c>
    </row>
    <row r="347" spans="1:23" ht="14.25" customHeight="1">
      <c r="A347" s="6" t="s">
        <v>1552</v>
      </c>
      <c r="B347" s="6" t="s">
        <v>54</v>
      </c>
      <c r="C347" s="6" t="s">
        <v>93</v>
      </c>
      <c r="D347" s="6" t="s">
        <v>1303</v>
      </c>
      <c r="E347" s="6" t="s">
        <v>95</v>
      </c>
      <c r="F347" s="6" t="s">
        <v>164</v>
      </c>
      <c r="G347" s="6" t="s">
        <v>29</v>
      </c>
      <c r="H347" s="6" t="s">
        <v>1553</v>
      </c>
      <c r="I347" s="6" t="s">
        <v>139</v>
      </c>
      <c r="J347" s="6" t="s">
        <v>107</v>
      </c>
      <c r="K347" s="6" t="s">
        <v>33</v>
      </c>
      <c r="L347" s="6" t="s">
        <v>98</v>
      </c>
      <c r="M347" s="6">
        <v>18</v>
      </c>
      <c r="N347" s="6">
        <v>3500</v>
      </c>
      <c r="O347" s="6">
        <v>15</v>
      </c>
      <c r="P347" s="6">
        <v>53550</v>
      </c>
      <c r="Q347" s="6">
        <v>5</v>
      </c>
      <c r="R347" s="6" t="s">
        <v>35</v>
      </c>
      <c r="S347" s="6" t="s">
        <v>152</v>
      </c>
      <c r="T347" s="6" t="s">
        <v>63</v>
      </c>
      <c r="U347" s="7" t="s">
        <v>1554</v>
      </c>
      <c r="V347" s="6" t="s">
        <v>70</v>
      </c>
      <c r="W347" t="str">
        <f t="shared" si="5"/>
        <v>Blacklisted</v>
      </c>
    </row>
    <row r="348" spans="1:23" ht="14.25" customHeight="1">
      <c r="A348" s="3" t="s">
        <v>1555</v>
      </c>
      <c r="B348" s="3" t="s">
        <v>24</v>
      </c>
      <c r="C348" s="3" t="s">
        <v>260</v>
      </c>
      <c r="D348" s="3" t="s">
        <v>66</v>
      </c>
      <c r="E348" s="3" t="s">
        <v>545</v>
      </c>
      <c r="F348" s="3" t="s">
        <v>28</v>
      </c>
      <c r="G348" s="3" t="s">
        <v>29</v>
      </c>
      <c r="H348" s="3" t="s">
        <v>1556</v>
      </c>
      <c r="I348" s="3" t="s">
        <v>139</v>
      </c>
      <c r="J348" s="3" t="s">
        <v>107</v>
      </c>
      <c r="K348" s="3" t="s">
        <v>123</v>
      </c>
      <c r="L348" s="3" t="s">
        <v>264</v>
      </c>
      <c r="M348" s="3">
        <v>20</v>
      </c>
      <c r="N348" s="3">
        <v>45</v>
      </c>
      <c r="O348" s="3">
        <v>15</v>
      </c>
      <c r="P348" s="3">
        <v>765</v>
      </c>
      <c r="Q348" s="3">
        <v>4</v>
      </c>
      <c r="R348" s="3" t="s">
        <v>35</v>
      </c>
      <c r="S348" s="3" t="s">
        <v>152</v>
      </c>
      <c r="T348" s="3" t="s">
        <v>51</v>
      </c>
      <c r="U348" s="5" t="s">
        <v>1557</v>
      </c>
      <c r="V348" s="3" t="s">
        <v>70</v>
      </c>
      <c r="W348" t="str">
        <f t="shared" si="5"/>
        <v>Blacklisted</v>
      </c>
    </row>
    <row r="349" spans="1:23" ht="14.25" customHeight="1">
      <c r="A349" s="6" t="s">
        <v>1558</v>
      </c>
      <c r="B349" s="6" t="s">
        <v>252</v>
      </c>
      <c r="C349" s="6" t="s">
        <v>25</v>
      </c>
      <c r="D349" s="6" t="s">
        <v>1287</v>
      </c>
      <c r="E349" s="6" t="s">
        <v>357</v>
      </c>
      <c r="F349" s="6" t="s">
        <v>255</v>
      </c>
      <c r="G349" s="6" t="s">
        <v>29</v>
      </c>
      <c r="H349" s="6" t="s">
        <v>1559</v>
      </c>
      <c r="I349" s="6" t="s">
        <v>45</v>
      </c>
      <c r="J349" s="6" t="s">
        <v>46</v>
      </c>
      <c r="K349" s="6" t="s">
        <v>33</v>
      </c>
      <c r="L349" s="6" t="s">
        <v>34</v>
      </c>
      <c r="M349" s="6">
        <v>13</v>
      </c>
      <c r="N349" s="6">
        <v>2200</v>
      </c>
      <c r="O349" s="6">
        <v>15</v>
      </c>
      <c r="P349" s="6">
        <v>24310</v>
      </c>
      <c r="Q349" s="6">
        <v>2</v>
      </c>
      <c r="R349" s="6" t="s">
        <v>49</v>
      </c>
      <c r="S349" s="6" t="s">
        <v>116</v>
      </c>
      <c r="T349" s="6" t="s">
        <v>257</v>
      </c>
      <c r="U349" s="7" t="s">
        <v>1560</v>
      </c>
      <c r="V349" s="6" t="s">
        <v>65</v>
      </c>
      <c r="W349" t="str">
        <f t="shared" si="5"/>
        <v>Blacklisted</v>
      </c>
    </row>
    <row r="350" spans="1:23" ht="14.25" customHeight="1">
      <c r="A350" s="3" t="s">
        <v>1561</v>
      </c>
      <c r="B350" s="3" t="s">
        <v>54</v>
      </c>
      <c r="C350" s="3" t="s">
        <v>1562</v>
      </c>
      <c r="D350" s="3" t="s">
        <v>341</v>
      </c>
      <c r="E350" s="3" t="s">
        <v>347</v>
      </c>
      <c r="F350" s="3" t="s">
        <v>164</v>
      </c>
      <c r="G350" s="3" t="s">
        <v>29</v>
      </c>
      <c r="H350" s="3" t="s">
        <v>1563</v>
      </c>
      <c r="I350" s="3" t="s">
        <v>295</v>
      </c>
      <c r="J350" s="3" t="s">
        <v>296</v>
      </c>
      <c r="K350" s="3" t="s">
        <v>33</v>
      </c>
      <c r="L350" s="3" t="s">
        <v>175</v>
      </c>
      <c r="M350" s="3">
        <v>11</v>
      </c>
      <c r="N350" s="3">
        <v>8500</v>
      </c>
      <c r="O350" s="3">
        <v>5</v>
      </c>
      <c r="P350" s="3">
        <v>88825</v>
      </c>
      <c r="Q350" s="3">
        <v>1</v>
      </c>
      <c r="R350" s="3" t="s">
        <v>89</v>
      </c>
      <c r="S350" s="3" t="s">
        <v>116</v>
      </c>
      <c r="T350" s="3" t="s">
        <v>63</v>
      </c>
      <c r="U350" s="5" t="s">
        <v>1564</v>
      </c>
      <c r="V350" s="3" t="s">
        <v>70</v>
      </c>
      <c r="W350" t="str">
        <f t="shared" si="5"/>
        <v>Blacklisted</v>
      </c>
    </row>
    <row r="351" spans="1:23" ht="14.25" customHeight="1">
      <c r="A351" s="6" t="s">
        <v>1565</v>
      </c>
      <c r="B351" s="6" t="s">
        <v>54</v>
      </c>
      <c r="C351" s="6" t="s">
        <v>25</v>
      </c>
      <c r="D351" s="6" t="s">
        <v>1566</v>
      </c>
      <c r="E351" s="6" t="s">
        <v>1476</v>
      </c>
      <c r="F351" s="6" t="s">
        <v>164</v>
      </c>
      <c r="G351" s="6" t="s">
        <v>29</v>
      </c>
      <c r="H351" s="6" t="s">
        <v>1567</v>
      </c>
      <c r="I351" s="6" t="s">
        <v>213</v>
      </c>
      <c r="J351" s="6" t="s">
        <v>46</v>
      </c>
      <c r="K351" s="6" t="s">
        <v>33</v>
      </c>
      <c r="L351" s="6" t="s">
        <v>34</v>
      </c>
      <c r="M351" s="6">
        <v>2</v>
      </c>
      <c r="N351" s="6">
        <v>2200</v>
      </c>
      <c r="O351" s="6">
        <v>0</v>
      </c>
      <c r="P351" s="6">
        <v>4400</v>
      </c>
      <c r="Q351" s="6">
        <v>4</v>
      </c>
      <c r="R351" s="6" t="s">
        <v>89</v>
      </c>
      <c r="S351" s="6" t="s">
        <v>152</v>
      </c>
      <c r="T351" s="6" t="s">
        <v>63</v>
      </c>
      <c r="U351" s="7" t="s">
        <v>1568</v>
      </c>
      <c r="V351" s="6" t="s">
        <v>65</v>
      </c>
      <c r="W351" t="str">
        <f t="shared" si="5"/>
        <v>Blacklisted</v>
      </c>
    </row>
    <row r="352" spans="1:23" ht="14.25" customHeight="1">
      <c r="A352" s="3" t="s">
        <v>1569</v>
      </c>
      <c r="B352" s="3" t="s">
        <v>84</v>
      </c>
      <c r="C352" s="3" t="s">
        <v>185</v>
      </c>
      <c r="D352" s="3" t="s">
        <v>1243</v>
      </c>
      <c r="E352" s="3" t="s">
        <v>721</v>
      </c>
      <c r="F352" s="3" t="s">
        <v>181</v>
      </c>
      <c r="G352" s="3" t="s">
        <v>77</v>
      </c>
      <c r="H352" s="3" t="s">
        <v>1570</v>
      </c>
      <c r="I352" s="3" t="s">
        <v>106</v>
      </c>
      <c r="J352" s="3" t="s">
        <v>107</v>
      </c>
      <c r="K352" s="3" t="s">
        <v>47</v>
      </c>
      <c r="L352" s="3" t="s">
        <v>190</v>
      </c>
      <c r="M352" s="3">
        <v>15</v>
      </c>
      <c r="N352" s="3">
        <v>700</v>
      </c>
      <c r="O352" s="3">
        <v>15</v>
      </c>
      <c r="P352" s="3">
        <v>8925</v>
      </c>
      <c r="Q352" s="3">
        <v>3</v>
      </c>
      <c r="R352" s="3" t="s">
        <v>49</v>
      </c>
      <c r="S352" s="3" t="s">
        <v>116</v>
      </c>
      <c r="T352" s="3" t="s">
        <v>90</v>
      </c>
      <c r="U352" s="5" t="s">
        <v>1571</v>
      </c>
      <c r="V352" s="3" t="s">
        <v>39</v>
      </c>
      <c r="W352" t="str">
        <f t="shared" si="5"/>
        <v>Silver</v>
      </c>
    </row>
    <row r="353" spans="1:23" ht="14.25" customHeight="1">
      <c r="A353" s="6" t="s">
        <v>1572</v>
      </c>
      <c r="B353" s="6" t="s">
        <v>128</v>
      </c>
      <c r="C353" s="6" t="s">
        <v>25</v>
      </c>
      <c r="D353" s="6" t="s">
        <v>1573</v>
      </c>
      <c r="E353" s="6" t="s">
        <v>836</v>
      </c>
      <c r="F353" s="6" t="s">
        <v>201</v>
      </c>
      <c r="G353" s="6" t="s">
        <v>77</v>
      </c>
      <c r="H353" s="6" t="s">
        <v>1574</v>
      </c>
      <c r="I353" s="6" t="s">
        <v>139</v>
      </c>
      <c r="J353" s="6" t="s">
        <v>107</v>
      </c>
      <c r="K353" s="6" t="s">
        <v>33</v>
      </c>
      <c r="L353" s="6" t="s">
        <v>34</v>
      </c>
      <c r="M353" s="6">
        <v>5</v>
      </c>
      <c r="N353" s="6">
        <v>2200</v>
      </c>
      <c r="O353" s="6">
        <v>15</v>
      </c>
      <c r="P353" s="6">
        <v>9350</v>
      </c>
      <c r="Q353" s="6">
        <v>1</v>
      </c>
      <c r="R353" s="6" t="s">
        <v>49</v>
      </c>
      <c r="S353" s="6" t="s">
        <v>116</v>
      </c>
      <c r="T353" s="6" t="s">
        <v>133</v>
      </c>
      <c r="U353" s="7" t="s">
        <v>1575</v>
      </c>
      <c r="V353" s="6" t="s">
        <v>65</v>
      </c>
      <c r="W353" t="str">
        <f t="shared" si="5"/>
        <v>Blacklisted</v>
      </c>
    </row>
    <row r="354" spans="1:23" ht="14.25" customHeight="1">
      <c r="A354" s="3" t="s">
        <v>1576</v>
      </c>
      <c r="B354" s="3" t="s">
        <v>84</v>
      </c>
      <c r="C354" s="3" t="s">
        <v>73</v>
      </c>
      <c r="D354" s="3" t="s">
        <v>555</v>
      </c>
      <c r="E354" s="3" t="s">
        <v>1481</v>
      </c>
      <c r="F354" s="3" t="s">
        <v>181</v>
      </c>
      <c r="G354" s="3" t="s">
        <v>77</v>
      </c>
      <c r="H354" s="3" t="s">
        <v>1577</v>
      </c>
      <c r="I354" s="3" t="s">
        <v>139</v>
      </c>
      <c r="J354" s="3" t="s">
        <v>107</v>
      </c>
      <c r="K354" s="3" t="s">
        <v>47</v>
      </c>
      <c r="L354" s="3" t="s">
        <v>79</v>
      </c>
      <c r="M354" s="3">
        <v>15</v>
      </c>
      <c r="N354" s="3">
        <v>1200</v>
      </c>
      <c r="O354" s="3">
        <v>0</v>
      </c>
      <c r="P354" s="3">
        <v>18000</v>
      </c>
      <c r="Q354" s="3">
        <v>3</v>
      </c>
      <c r="R354" s="3" t="s">
        <v>49</v>
      </c>
      <c r="S354" s="3" t="s">
        <v>62</v>
      </c>
      <c r="T354" s="3" t="s">
        <v>90</v>
      </c>
      <c r="U354" s="5" t="s">
        <v>1578</v>
      </c>
      <c r="V354" s="3" t="s">
        <v>70</v>
      </c>
      <c r="W354" t="str">
        <f t="shared" si="5"/>
        <v>Blacklisted</v>
      </c>
    </row>
    <row r="355" spans="1:23" ht="14.25" customHeight="1">
      <c r="A355" s="6" t="s">
        <v>1579</v>
      </c>
      <c r="B355" s="6" t="s">
        <v>252</v>
      </c>
      <c r="C355" s="6" t="s">
        <v>73</v>
      </c>
      <c r="D355" s="6" t="s">
        <v>162</v>
      </c>
      <c r="E355" s="6" t="s">
        <v>658</v>
      </c>
      <c r="F355" s="6" t="s">
        <v>255</v>
      </c>
      <c r="G355" s="6" t="s">
        <v>29</v>
      </c>
      <c r="H355" s="6" t="s">
        <v>1580</v>
      </c>
      <c r="I355" s="6" t="s">
        <v>106</v>
      </c>
      <c r="J355" s="6" t="s">
        <v>107</v>
      </c>
      <c r="K355" s="6" t="s">
        <v>47</v>
      </c>
      <c r="L355" s="6" t="s">
        <v>79</v>
      </c>
      <c r="M355" s="6">
        <v>19</v>
      </c>
      <c r="N355" s="6">
        <v>1200</v>
      </c>
      <c r="O355" s="6">
        <v>0</v>
      </c>
      <c r="P355" s="6">
        <v>22800</v>
      </c>
      <c r="Q355" s="6">
        <v>1</v>
      </c>
      <c r="R355" s="6" t="s">
        <v>35</v>
      </c>
      <c r="S355" s="6" t="s">
        <v>50</v>
      </c>
      <c r="T355" s="6" t="s">
        <v>257</v>
      </c>
      <c r="U355" s="7" t="s">
        <v>1581</v>
      </c>
      <c r="V355" s="6" t="s">
        <v>70</v>
      </c>
      <c r="W355" t="str">
        <f t="shared" si="5"/>
        <v>Blacklisted</v>
      </c>
    </row>
    <row r="356" spans="1:23" ht="14.25" customHeight="1">
      <c r="A356" s="3" t="s">
        <v>1582</v>
      </c>
      <c r="B356" s="3" t="s">
        <v>169</v>
      </c>
      <c r="C356" s="3" t="s">
        <v>41</v>
      </c>
      <c r="D356" s="3" t="s">
        <v>26</v>
      </c>
      <c r="E356" s="3" t="s">
        <v>1583</v>
      </c>
      <c r="F356" s="3" t="s">
        <v>362</v>
      </c>
      <c r="G356" s="3" t="s">
        <v>29</v>
      </c>
      <c r="H356" s="3" t="s">
        <v>1584</v>
      </c>
      <c r="I356" s="3" t="s">
        <v>106</v>
      </c>
      <c r="J356" s="3" t="s">
        <v>107</v>
      </c>
      <c r="K356" s="3" t="s">
        <v>47</v>
      </c>
      <c r="L356" s="3" t="s">
        <v>48</v>
      </c>
      <c r="M356" s="3">
        <v>9</v>
      </c>
      <c r="N356" s="3">
        <v>12000</v>
      </c>
      <c r="O356" s="3">
        <v>15</v>
      </c>
      <c r="P356" s="3">
        <v>91800</v>
      </c>
      <c r="Q356" s="3">
        <v>3</v>
      </c>
      <c r="R356" s="3" t="s">
        <v>89</v>
      </c>
      <c r="S356" s="3" t="s">
        <v>50</v>
      </c>
      <c r="T356" s="3" t="s">
        <v>176</v>
      </c>
      <c r="U356" s="5" t="s">
        <v>1585</v>
      </c>
      <c r="V356" s="3" t="s">
        <v>70</v>
      </c>
      <c r="W356" t="str">
        <f t="shared" si="5"/>
        <v>Blacklisted</v>
      </c>
    </row>
    <row r="357" spans="1:23" ht="14.25" customHeight="1">
      <c r="A357" s="6" t="s">
        <v>1586</v>
      </c>
      <c r="B357" s="6" t="s">
        <v>24</v>
      </c>
      <c r="C357" s="6" t="s">
        <v>260</v>
      </c>
      <c r="D357" s="6" t="s">
        <v>346</v>
      </c>
      <c r="E357" s="6" t="s">
        <v>794</v>
      </c>
      <c r="F357" s="6" t="s">
        <v>28</v>
      </c>
      <c r="G357" s="6" t="s">
        <v>29</v>
      </c>
      <c r="H357" s="6" t="s">
        <v>1587</v>
      </c>
      <c r="I357" s="6" t="s">
        <v>213</v>
      </c>
      <c r="J357" s="6" t="s">
        <v>46</v>
      </c>
      <c r="K357" s="6" t="s">
        <v>123</v>
      </c>
      <c r="L357" s="6" t="s">
        <v>264</v>
      </c>
      <c r="M357" s="6">
        <v>5</v>
      </c>
      <c r="N357" s="6">
        <v>45</v>
      </c>
      <c r="O357" s="6">
        <v>5</v>
      </c>
      <c r="P357" s="6">
        <v>213.75</v>
      </c>
      <c r="Q357" s="6">
        <v>1</v>
      </c>
      <c r="R357" s="6" t="s">
        <v>80</v>
      </c>
      <c r="S357" s="6" t="s">
        <v>116</v>
      </c>
      <c r="T357" s="6" t="s">
        <v>51</v>
      </c>
      <c r="U357" s="7" t="s">
        <v>1588</v>
      </c>
      <c r="V357" s="6" t="s">
        <v>39</v>
      </c>
      <c r="W357" t="str">
        <f t="shared" si="5"/>
        <v>Blacklisted</v>
      </c>
    </row>
    <row r="358" spans="1:23" ht="14.25" customHeight="1">
      <c r="A358" s="3" t="s">
        <v>1589</v>
      </c>
      <c r="B358" s="3" t="s">
        <v>252</v>
      </c>
      <c r="C358" s="3" t="s">
        <v>185</v>
      </c>
      <c r="D358" s="3" t="s">
        <v>1590</v>
      </c>
      <c r="E358" s="3" t="s">
        <v>1374</v>
      </c>
      <c r="F358" s="3" t="s">
        <v>255</v>
      </c>
      <c r="G358" s="3" t="s">
        <v>29</v>
      </c>
      <c r="H358" s="3" t="s">
        <v>1591</v>
      </c>
      <c r="I358" s="3" t="s">
        <v>106</v>
      </c>
      <c r="J358" s="3" t="s">
        <v>107</v>
      </c>
      <c r="K358" s="3" t="s">
        <v>47</v>
      </c>
      <c r="L358" s="3" t="s">
        <v>190</v>
      </c>
      <c r="M358" s="3">
        <v>3</v>
      </c>
      <c r="N358" s="3">
        <v>700</v>
      </c>
      <c r="O358" s="3">
        <v>15</v>
      </c>
      <c r="P358" s="3">
        <v>1785</v>
      </c>
      <c r="Q358" s="3">
        <v>4</v>
      </c>
      <c r="R358" s="3" t="s">
        <v>35</v>
      </c>
      <c r="S358" s="3" t="s">
        <v>152</v>
      </c>
      <c r="T358" s="3" t="s">
        <v>257</v>
      </c>
      <c r="U358" s="5" t="s">
        <v>1592</v>
      </c>
      <c r="V358" s="3" t="s">
        <v>39</v>
      </c>
      <c r="W358" t="str">
        <f t="shared" si="5"/>
        <v>Silver</v>
      </c>
    </row>
    <row r="359" spans="1:23" ht="14.25" customHeight="1">
      <c r="A359" s="6" t="s">
        <v>1593</v>
      </c>
      <c r="B359" s="6" t="s">
        <v>72</v>
      </c>
      <c r="C359" s="6" t="s">
        <v>170</v>
      </c>
      <c r="D359" s="6" t="s">
        <v>455</v>
      </c>
      <c r="E359" s="6" t="s">
        <v>962</v>
      </c>
      <c r="F359" s="6" t="s">
        <v>218</v>
      </c>
      <c r="G359" s="6" t="s">
        <v>77</v>
      </c>
      <c r="H359" s="6" t="s">
        <v>1594</v>
      </c>
      <c r="I359" s="6" t="s">
        <v>213</v>
      </c>
      <c r="J359" s="6" t="s">
        <v>46</v>
      </c>
      <c r="K359" s="6" t="s">
        <v>33</v>
      </c>
      <c r="L359" s="6" t="s">
        <v>175</v>
      </c>
      <c r="M359" s="6">
        <v>12</v>
      </c>
      <c r="N359" s="6">
        <v>8500</v>
      </c>
      <c r="O359" s="6">
        <v>5</v>
      </c>
      <c r="P359" s="6">
        <v>96900</v>
      </c>
      <c r="Q359" s="6">
        <v>3</v>
      </c>
      <c r="R359" s="6" t="s">
        <v>80</v>
      </c>
      <c r="S359" s="6" t="s">
        <v>62</v>
      </c>
      <c r="T359" s="6" t="s">
        <v>81</v>
      </c>
      <c r="U359" s="7" t="s">
        <v>1595</v>
      </c>
      <c r="V359" s="6" t="s">
        <v>65</v>
      </c>
      <c r="W359" t="str">
        <f t="shared" si="5"/>
        <v>Blacklisted</v>
      </c>
    </row>
    <row r="360" spans="1:23" ht="14.25" customHeight="1">
      <c r="A360" s="3" t="s">
        <v>1596</v>
      </c>
      <c r="B360" s="3" t="s">
        <v>252</v>
      </c>
      <c r="C360" s="3" t="s">
        <v>170</v>
      </c>
      <c r="D360" s="3" t="s">
        <v>163</v>
      </c>
      <c r="E360" s="3" t="s">
        <v>357</v>
      </c>
      <c r="F360" s="3" t="s">
        <v>255</v>
      </c>
      <c r="G360" s="3" t="s">
        <v>29</v>
      </c>
      <c r="H360" s="3" t="s">
        <v>1597</v>
      </c>
      <c r="I360" s="3" t="s">
        <v>115</v>
      </c>
      <c r="J360" s="3" t="s">
        <v>107</v>
      </c>
      <c r="K360" s="3" t="s">
        <v>33</v>
      </c>
      <c r="L360" s="3" t="s">
        <v>175</v>
      </c>
      <c r="M360" s="3">
        <v>4</v>
      </c>
      <c r="N360" s="3">
        <v>8500</v>
      </c>
      <c r="O360" s="3">
        <v>15</v>
      </c>
      <c r="P360" s="3">
        <v>28900</v>
      </c>
      <c r="Q360" s="3">
        <v>4</v>
      </c>
      <c r="R360" s="3" t="s">
        <v>49</v>
      </c>
      <c r="S360" s="3" t="s">
        <v>62</v>
      </c>
      <c r="T360" s="3" t="s">
        <v>257</v>
      </c>
      <c r="U360" s="5" t="s">
        <v>1598</v>
      </c>
      <c r="V360" s="3" t="s">
        <v>65</v>
      </c>
      <c r="W360" t="str">
        <f t="shared" si="5"/>
        <v>Blacklisted</v>
      </c>
    </row>
    <row r="361" spans="1:23" ht="14.25" customHeight="1">
      <c r="A361" s="6" t="s">
        <v>1599</v>
      </c>
      <c r="B361" s="6" t="s">
        <v>128</v>
      </c>
      <c r="C361" s="6" t="s">
        <v>223</v>
      </c>
      <c r="D361" s="6" t="s">
        <v>103</v>
      </c>
      <c r="E361" s="6" t="s">
        <v>954</v>
      </c>
      <c r="F361" s="6" t="s">
        <v>201</v>
      </c>
      <c r="G361" s="6" t="s">
        <v>77</v>
      </c>
      <c r="H361" s="6" t="s">
        <v>1600</v>
      </c>
      <c r="I361" s="6" t="s">
        <v>213</v>
      </c>
      <c r="J361" s="6" t="s">
        <v>46</v>
      </c>
      <c r="K361" s="6" t="s">
        <v>123</v>
      </c>
      <c r="L361" s="6" t="s">
        <v>228</v>
      </c>
      <c r="M361" s="6">
        <v>16</v>
      </c>
      <c r="N361" s="6">
        <v>20</v>
      </c>
      <c r="O361" s="6">
        <v>10</v>
      </c>
      <c r="P361" s="6">
        <v>288</v>
      </c>
      <c r="Q361" s="6">
        <v>4</v>
      </c>
      <c r="R361" s="6" t="s">
        <v>35</v>
      </c>
      <c r="S361" s="6" t="s">
        <v>116</v>
      </c>
      <c r="T361" s="6" t="s">
        <v>133</v>
      </c>
      <c r="U361" s="7" t="s">
        <v>1601</v>
      </c>
      <c r="V361" s="6" t="s">
        <v>70</v>
      </c>
      <c r="W361" t="str">
        <f t="shared" si="5"/>
        <v>Blacklisted</v>
      </c>
    </row>
    <row r="362" spans="1:23" ht="14.25" customHeight="1">
      <c r="A362" s="3" t="s">
        <v>1602</v>
      </c>
      <c r="B362" s="3" t="s">
        <v>128</v>
      </c>
      <c r="C362" s="3" t="s">
        <v>119</v>
      </c>
      <c r="D362" s="3" t="s">
        <v>602</v>
      </c>
      <c r="E362" s="3" t="s">
        <v>1603</v>
      </c>
      <c r="F362" s="3" t="s">
        <v>201</v>
      </c>
      <c r="G362" s="3" t="s">
        <v>77</v>
      </c>
      <c r="H362" s="3" t="s">
        <v>1604</v>
      </c>
      <c r="I362" s="3" t="s">
        <v>106</v>
      </c>
      <c r="J362" s="3" t="s">
        <v>107</v>
      </c>
      <c r="K362" s="3" t="s">
        <v>123</v>
      </c>
      <c r="L362" s="3" t="s">
        <v>124</v>
      </c>
      <c r="M362" s="3">
        <v>3</v>
      </c>
      <c r="N362" s="3">
        <v>60</v>
      </c>
      <c r="O362" s="3">
        <v>20</v>
      </c>
      <c r="P362" s="3">
        <v>144</v>
      </c>
      <c r="Q362" s="3">
        <v>4</v>
      </c>
      <c r="R362" s="3" t="s">
        <v>89</v>
      </c>
      <c r="S362" s="3" t="s">
        <v>152</v>
      </c>
      <c r="T362" s="3" t="s">
        <v>133</v>
      </c>
      <c r="U362" s="5" t="s">
        <v>1605</v>
      </c>
      <c r="V362" s="3" t="s">
        <v>65</v>
      </c>
      <c r="W362" t="str">
        <f t="shared" si="5"/>
        <v>Blacklisted</v>
      </c>
    </row>
    <row r="363" spans="1:23" ht="14.25" customHeight="1">
      <c r="A363" s="6" t="s">
        <v>1606</v>
      </c>
      <c r="B363" s="6" t="s">
        <v>72</v>
      </c>
      <c r="C363" s="6" t="s">
        <v>25</v>
      </c>
      <c r="D363" s="6" t="s">
        <v>1107</v>
      </c>
      <c r="E363" s="6" t="s">
        <v>156</v>
      </c>
      <c r="F363" s="6" t="s">
        <v>218</v>
      </c>
      <c r="G363" s="6" t="s">
        <v>77</v>
      </c>
      <c r="H363" s="6" t="s">
        <v>1607</v>
      </c>
      <c r="I363" s="6" t="s">
        <v>106</v>
      </c>
      <c r="J363" s="6" t="s">
        <v>107</v>
      </c>
      <c r="K363" s="6" t="s">
        <v>33</v>
      </c>
      <c r="L363" s="6" t="s">
        <v>34</v>
      </c>
      <c r="M363" s="6">
        <v>19</v>
      </c>
      <c r="N363" s="6">
        <v>2200</v>
      </c>
      <c r="O363" s="6">
        <v>10</v>
      </c>
      <c r="P363" s="6">
        <v>37620</v>
      </c>
      <c r="Q363" s="6">
        <v>2</v>
      </c>
      <c r="R363" s="6" t="s">
        <v>35</v>
      </c>
      <c r="S363" s="6" t="s">
        <v>152</v>
      </c>
      <c r="T363" s="6" t="s">
        <v>81</v>
      </c>
      <c r="U363" s="7" t="s">
        <v>1608</v>
      </c>
      <c r="V363" s="6" t="s">
        <v>65</v>
      </c>
      <c r="W363" t="str">
        <f t="shared" si="5"/>
        <v>Blacklisted</v>
      </c>
    </row>
    <row r="364" spans="1:23" ht="14.25" customHeight="1">
      <c r="A364" s="3" t="s">
        <v>1609</v>
      </c>
      <c r="B364" s="3" t="s">
        <v>72</v>
      </c>
      <c r="C364" s="3" t="s">
        <v>73</v>
      </c>
      <c r="D364" s="3" t="s">
        <v>1610</v>
      </c>
      <c r="E364" s="3" t="s">
        <v>589</v>
      </c>
      <c r="F364" s="3" t="s">
        <v>218</v>
      </c>
      <c r="G364" s="3" t="s">
        <v>77</v>
      </c>
      <c r="H364" s="3" t="s">
        <v>1611</v>
      </c>
      <c r="I364" s="3" t="s">
        <v>31</v>
      </c>
      <c r="J364" s="3" t="s">
        <v>32</v>
      </c>
      <c r="K364" s="3" t="s">
        <v>47</v>
      </c>
      <c r="L364" s="3" t="s">
        <v>79</v>
      </c>
      <c r="M364" s="3">
        <v>7</v>
      </c>
      <c r="N364" s="3">
        <v>1200</v>
      </c>
      <c r="O364" s="3">
        <v>20</v>
      </c>
      <c r="P364" s="3">
        <v>6720</v>
      </c>
      <c r="Q364" s="3">
        <v>3</v>
      </c>
      <c r="R364" s="3" t="s">
        <v>80</v>
      </c>
      <c r="S364" s="3" t="s">
        <v>116</v>
      </c>
      <c r="T364" s="3" t="s">
        <v>81</v>
      </c>
      <c r="U364" s="5" t="s">
        <v>1612</v>
      </c>
      <c r="V364" s="3" t="s">
        <v>70</v>
      </c>
      <c r="W364" t="str">
        <f t="shared" si="5"/>
        <v>Blacklisted</v>
      </c>
    </row>
    <row r="365" spans="1:23" ht="14.25" customHeight="1">
      <c r="A365" s="6" t="s">
        <v>1613</v>
      </c>
      <c r="B365" s="6" t="s">
        <v>54</v>
      </c>
      <c r="C365" s="6" t="s">
        <v>223</v>
      </c>
      <c r="D365" s="6" t="s">
        <v>544</v>
      </c>
      <c r="E365" s="6" t="s">
        <v>66</v>
      </c>
      <c r="F365" s="6" t="s">
        <v>164</v>
      </c>
      <c r="G365" s="6" t="s">
        <v>29</v>
      </c>
      <c r="H365" s="6" t="s">
        <v>1614</v>
      </c>
      <c r="I365" s="6" t="s">
        <v>60</v>
      </c>
      <c r="J365" s="6" t="s">
        <v>32</v>
      </c>
      <c r="K365" s="6" t="s">
        <v>123</v>
      </c>
      <c r="L365" s="6" t="s">
        <v>228</v>
      </c>
      <c r="M365" s="6">
        <v>20</v>
      </c>
      <c r="N365" s="6">
        <v>20</v>
      </c>
      <c r="O365" s="6">
        <v>20</v>
      </c>
      <c r="P365" s="6">
        <v>320</v>
      </c>
      <c r="Q365" s="6">
        <v>5</v>
      </c>
      <c r="R365" s="6" t="s">
        <v>80</v>
      </c>
      <c r="S365" s="6" t="s">
        <v>116</v>
      </c>
      <c r="T365" s="6" t="s">
        <v>63</v>
      </c>
      <c r="U365" s="7" t="s">
        <v>1615</v>
      </c>
      <c r="V365" s="6" t="s">
        <v>65</v>
      </c>
      <c r="W365" t="str">
        <f t="shared" si="5"/>
        <v>Blacklisted</v>
      </c>
    </row>
    <row r="366" spans="1:23" ht="14.25" customHeight="1">
      <c r="A366" s="3" t="s">
        <v>1616</v>
      </c>
      <c r="B366" s="3" t="s">
        <v>101</v>
      </c>
      <c r="C366" s="3" t="s">
        <v>73</v>
      </c>
      <c r="D366" s="3" t="s">
        <v>211</v>
      </c>
      <c r="E366" s="3" t="s">
        <v>1617</v>
      </c>
      <c r="F366" s="3" t="s">
        <v>104</v>
      </c>
      <c r="G366" s="3" t="s">
        <v>29</v>
      </c>
      <c r="H366" s="3" t="s">
        <v>1618</v>
      </c>
      <c r="I366" s="3" t="s">
        <v>31</v>
      </c>
      <c r="J366" s="3" t="s">
        <v>32</v>
      </c>
      <c r="K366" s="3" t="s">
        <v>47</v>
      </c>
      <c r="L366" s="3" t="s">
        <v>79</v>
      </c>
      <c r="M366" s="3">
        <v>19</v>
      </c>
      <c r="N366" s="3">
        <v>1200</v>
      </c>
      <c r="O366" s="3">
        <v>5</v>
      </c>
      <c r="P366" s="3">
        <v>21660</v>
      </c>
      <c r="Q366" s="3">
        <v>3</v>
      </c>
      <c r="R366" s="3" t="s">
        <v>80</v>
      </c>
      <c r="S366" s="3" t="s">
        <v>36</v>
      </c>
      <c r="T366" s="3" t="s">
        <v>145</v>
      </c>
      <c r="U366" s="5" t="s">
        <v>1619</v>
      </c>
      <c r="V366" s="3" t="s">
        <v>65</v>
      </c>
      <c r="W366" t="str">
        <f t="shared" si="5"/>
        <v>Blacklisted</v>
      </c>
    </row>
    <row r="367" spans="1:23" ht="14.25" customHeight="1">
      <c r="A367" s="6" t="s">
        <v>1620</v>
      </c>
      <c r="B367" s="6" t="s">
        <v>54</v>
      </c>
      <c r="C367" s="6" t="s">
        <v>223</v>
      </c>
      <c r="D367" s="6" t="s">
        <v>1621</v>
      </c>
      <c r="E367" s="6" t="s">
        <v>303</v>
      </c>
      <c r="F367" s="6" t="s">
        <v>164</v>
      </c>
      <c r="G367" s="6" t="s">
        <v>29</v>
      </c>
      <c r="H367" s="6" t="s">
        <v>1622</v>
      </c>
      <c r="I367" s="6" t="s">
        <v>31</v>
      </c>
      <c r="J367" s="6" t="s">
        <v>32</v>
      </c>
      <c r="K367" s="6" t="s">
        <v>123</v>
      </c>
      <c r="L367" s="6" t="s">
        <v>228</v>
      </c>
      <c r="M367" s="6">
        <v>5</v>
      </c>
      <c r="N367" s="6">
        <v>20</v>
      </c>
      <c r="O367" s="6">
        <v>0</v>
      </c>
      <c r="P367" s="6">
        <v>100</v>
      </c>
      <c r="Q367" s="6">
        <v>2</v>
      </c>
      <c r="R367" s="6" t="s">
        <v>89</v>
      </c>
      <c r="S367" s="6" t="s">
        <v>50</v>
      </c>
      <c r="T367" s="6" t="s">
        <v>63</v>
      </c>
      <c r="U367" s="7" t="s">
        <v>1623</v>
      </c>
      <c r="V367" s="6" t="s">
        <v>65</v>
      </c>
      <c r="W367" t="str">
        <f t="shared" si="5"/>
        <v>Blacklisted</v>
      </c>
    </row>
    <row r="368" spans="1:23" ht="14.25" customHeight="1">
      <c r="A368" s="3" t="s">
        <v>1624</v>
      </c>
      <c r="B368" s="3" t="s">
        <v>101</v>
      </c>
      <c r="C368" s="3" t="s">
        <v>260</v>
      </c>
      <c r="D368" s="3" t="s">
        <v>798</v>
      </c>
      <c r="E368" s="3" t="s">
        <v>544</v>
      </c>
      <c r="F368" s="3" t="s">
        <v>104</v>
      </c>
      <c r="G368" s="3" t="s">
        <v>29</v>
      </c>
      <c r="H368" s="3" t="s">
        <v>1625</v>
      </c>
      <c r="I368" s="3" t="s">
        <v>213</v>
      </c>
      <c r="J368" s="3" t="s">
        <v>46</v>
      </c>
      <c r="K368" s="3" t="s">
        <v>123</v>
      </c>
      <c r="L368" s="3" t="s">
        <v>264</v>
      </c>
      <c r="M368" s="3">
        <v>16</v>
      </c>
      <c r="N368" s="3">
        <v>45</v>
      </c>
      <c r="O368" s="3">
        <v>15</v>
      </c>
      <c r="P368" s="3">
        <v>612</v>
      </c>
      <c r="Q368" s="3">
        <v>5</v>
      </c>
      <c r="R368" s="3" t="s">
        <v>35</v>
      </c>
      <c r="S368" s="3" t="s">
        <v>62</v>
      </c>
      <c r="T368" s="3" t="s">
        <v>145</v>
      </c>
      <c r="U368" s="5" t="s">
        <v>1626</v>
      </c>
      <c r="V368" s="3" t="s">
        <v>70</v>
      </c>
      <c r="W368" t="str">
        <f t="shared" si="5"/>
        <v>Blacklisted</v>
      </c>
    </row>
    <row r="369" spans="1:23" ht="14.25" customHeight="1">
      <c r="A369" s="6" t="s">
        <v>1627</v>
      </c>
      <c r="B369" s="6" t="s">
        <v>24</v>
      </c>
      <c r="C369" s="6" t="s">
        <v>25</v>
      </c>
      <c r="D369" s="6" t="s">
        <v>1264</v>
      </c>
      <c r="E369" s="6" t="s">
        <v>945</v>
      </c>
      <c r="F369" s="6" t="s">
        <v>28</v>
      </c>
      <c r="G369" s="6" t="s">
        <v>29</v>
      </c>
      <c r="H369" s="6" t="s">
        <v>1628</v>
      </c>
      <c r="I369" s="6" t="s">
        <v>213</v>
      </c>
      <c r="J369" s="6" t="s">
        <v>46</v>
      </c>
      <c r="K369" s="6" t="s">
        <v>33</v>
      </c>
      <c r="L369" s="6" t="s">
        <v>34</v>
      </c>
      <c r="M369" s="6">
        <v>1</v>
      </c>
      <c r="N369" s="6">
        <v>2200</v>
      </c>
      <c r="O369" s="6">
        <v>10</v>
      </c>
      <c r="P369" s="6">
        <v>1980</v>
      </c>
      <c r="Q369" s="6">
        <v>5</v>
      </c>
      <c r="R369" s="6" t="s">
        <v>80</v>
      </c>
      <c r="S369" s="6" t="s">
        <v>50</v>
      </c>
      <c r="T369" s="6" t="s">
        <v>51</v>
      </c>
      <c r="U369" s="7" t="s">
        <v>1629</v>
      </c>
      <c r="V369" s="6" t="s">
        <v>39</v>
      </c>
      <c r="W369" t="str">
        <f t="shared" si="5"/>
        <v>Silver</v>
      </c>
    </row>
    <row r="370" spans="1:23" ht="14.25" customHeight="1">
      <c r="A370" s="3" t="s">
        <v>1630</v>
      </c>
      <c r="B370" s="3" t="s">
        <v>54</v>
      </c>
      <c r="C370" s="3" t="s">
        <v>119</v>
      </c>
      <c r="D370" s="3" t="s">
        <v>892</v>
      </c>
      <c r="E370" s="3" t="s">
        <v>1631</v>
      </c>
      <c r="F370" s="3" t="s">
        <v>164</v>
      </c>
      <c r="G370" s="3" t="s">
        <v>29</v>
      </c>
      <c r="H370" s="3" t="s">
        <v>1632</v>
      </c>
      <c r="I370" s="3" t="s">
        <v>31</v>
      </c>
      <c r="J370" s="3" t="s">
        <v>32</v>
      </c>
      <c r="K370" s="3" t="s">
        <v>123</v>
      </c>
      <c r="L370" s="3" t="s">
        <v>124</v>
      </c>
      <c r="M370" s="3">
        <v>19</v>
      </c>
      <c r="N370" s="3">
        <v>60</v>
      </c>
      <c r="O370" s="3">
        <v>15</v>
      </c>
      <c r="P370" s="3">
        <v>969</v>
      </c>
      <c r="Q370" s="3">
        <v>4</v>
      </c>
      <c r="R370" s="3" t="s">
        <v>49</v>
      </c>
      <c r="S370" s="3" t="s">
        <v>116</v>
      </c>
      <c r="T370" s="3" t="s">
        <v>63</v>
      </c>
      <c r="U370" s="5" t="s">
        <v>1633</v>
      </c>
      <c r="V370" s="3" t="s">
        <v>70</v>
      </c>
      <c r="W370" t="str">
        <f t="shared" si="5"/>
        <v>Blacklisted</v>
      </c>
    </row>
    <row r="371" spans="1:23" ht="14.25" customHeight="1">
      <c r="A371" s="6" t="s">
        <v>1634</v>
      </c>
      <c r="B371" s="6" t="s">
        <v>328</v>
      </c>
      <c r="C371" s="6" t="s">
        <v>55</v>
      </c>
      <c r="D371" s="6"/>
      <c r="E371" s="6" t="s">
        <v>1635</v>
      </c>
      <c r="F371" s="6" t="s">
        <v>395</v>
      </c>
      <c r="G371" s="6" t="s">
        <v>77</v>
      </c>
      <c r="H371" s="6" t="s">
        <v>1636</v>
      </c>
      <c r="I371" s="6" t="s">
        <v>45</v>
      </c>
      <c r="J371" s="6" t="s">
        <v>46</v>
      </c>
      <c r="K371" s="6" t="s">
        <v>47</v>
      </c>
      <c r="L371" s="6" t="s">
        <v>61</v>
      </c>
      <c r="M371" s="6">
        <v>15</v>
      </c>
      <c r="N371" s="6">
        <v>55000</v>
      </c>
      <c r="O371" s="6">
        <v>0</v>
      </c>
      <c r="P371" s="6">
        <v>825000</v>
      </c>
      <c r="Q371" s="6">
        <v>5</v>
      </c>
      <c r="R371" s="6" t="s">
        <v>80</v>
      </c>
      <c r="S371" s="6" t="s">
        <v>116</v>
      </c>
      <c r="T371" s="6" t="s">
        <v>333</v>
      </c>
      <c r="U371" s="7" t="s">
        <v>1637</v>
      </c>
      <c r="V371" s="6" t="s">
        <v>70</v>
      </c>
      <c r="W371" t="str">
        <f t="shared" si="5"/>
        <v>Blacklisted</v>
      </c>
    </row>
    <row r="372" spans="1:23" ht="14.25" customHeight="1">
      <c r="A372" s="3" t="s">
        <v>1638</v>
      </c>
      <c r="B372" s="3" t="s">
        <v>72</v>
      </c>
      <c r="C372" s="3" t="s">
        <v>260</v>
      </c>
      <c r="D372" s="3" t="s">
        <v>942</v>
      </c>
      <c r="E372" s="3" t="s">
        <v>1639</v>
      </c>
      <c r="F372" s="3" t="s">
        <v>218</v>
      </c>
      <c r="G372" s="3" t="s">
        <v>77</v>
      </c>
      <c r="H372" s="3" t="s">
        <v>1640</v>
      </c>
      <c r="I372" s="3" t="s">
        <v>60</v>
      </c>
      <c r="J372" s="3" t="s">
        <v>32</v>
      </c>
      <c r="K372" s="3" t="s">
        <v>123</v>
      </c>
      <c r="L372" s="3" t="s">
        <v>264</v>
      </c>
      <c r="M372" s="3">
        <v>11</v>
      </c>
      <c r="N372" s="3">
        <v>45</v>
      </c>
      <c r="O372" s="3">
        <v>5</v>
      </c>
      <c r="P372" s="3">
        <v>470.25</v>
      </c>
      <c r="Q372" s="3">
        <v>5</v>
      </c>
      <c r="R372" s="3" t="s">
        <v>49</v>
      </c>
      <c r="S372" s="3" t="s">
        <v>152</v>
      </c>
      <c r="T372" s="3" t="s">
        <v>81</v>
      </c>
      <c r="U372" s="5" t="s">
        <v>1641</v>
      </c>
      <c r="V372" s="3" t="s">
        <v>39</v>
      </c>
      <c r="W372" t="str">
        <f t="shared" si="5"/>
        <v>Silver</v>
      </c>
    </row>
    <row r="373" spans="1:23" ht="14.25" customHeight="1">
      <c r="A373" s="6" t="s">
        <v>1642</v>
      </c>
      <c r="B373" s="6" t="s">
        <v>252</v>
      </c>
      <c r="C373" s="6" t="s">
        <v>223</v>
      </c>
      <c r="D373" s="6" t="s">
        <v>1643</v>
      </c>
      <c r="E373" s="6" t="s">
        <v>1644</v>
      </c>
      <c r="F373" s="6" t="s">
        <v>255</v>
      </c>
      <c r="G373" s="6" t="s">
        <v>29</v>
      </c>
      <c r="H373" s="6" t="s">
        <v>1645</v>
      </c>
      <c r="I373" s="6" t="s">
        <v>213</v>
      </c>
      <c r="J373" s="6" t="s">
        <v>46</v>
      </c>
      <c r="K373" s="6" t="s">
        <v>123</v>
      </c>
      <c r="L373" s="6" t="s">
        <v>228</v>
      </c>
      <c r="M373" s="6">
        <v>9</v>
      </c>
      <c r="N373" s="6">
        <v>20</v>
      </c>
      <c r="O373" s="6">
        <v>10</v>
      </c>
      <c r="P373" s="6">
        <v>162</v>
      </c>
      <c r="Q373" s="6">
        <v>1</v>
      </c>
      <c r="R373" s="6" t="s">
        <v>80</v>
      </c>
      <c r="S373" s="6" t="s">
        <v>50</v>
      </c>
      <c r="T373" s="6" t="s">
        <v>257</v>
      </c>
      <c r="U373" s="7" t="s">
        <v>1646</v>
      </c>
      <c r="V373" s="6" t="s">
        <v>70</v>
      </c>
      <c r="W373" t="str">
        <f t="shared" si="5"/>
        <v>Blacklisted</v>
      </c>
    </row>
    <row r="374" spans="1:23" ht="14.25" customHeight="1">
      <c r="A374" s="3" t="s">
        <v>1647</v>
      </c>
      <c r="B374" s="3" t="s">
        <v>169</v>
      </c>
      <c r="C374" s="3" t="s">
        <v>260</v>
      </c>
      <c r="D374" s="3" t="s">
        <v>646</v>
      </c>
      <c r="E374" s="3" t="s">
        <v>981</v>
      </c>
      <c r="F374" s="3" t="s">
        <v>362</v>
      </c>
      <c r="G374" s="3" t="s">
        <v>29</v>
      </c>
      <c r="H374" s="3" t="s">
        <v>1648</v>
      </c>
      <c r="I374" s="3" t="s">
        <v>60</v>
      </c>
      <c r="J374" s="3" t="s">
        <v>32</v>
      </c>
      <c r="K374" s="3" t="s">
        <v>123</v>
      </c>
      <c r="L374" s="3" t="s">
        <v>264</v>
      </c>
      <c r="M374" s="3">
        <v>5</v>
      </c>
      <c r="N374" s="3">
        <v>45</v>
      </c>
      <c r="O374" s="3">
        <v>5</v>
      </c>
      <c r="P374" s="3">
        <v>213.75</v>
      </c>
      <c r="Q374" s="3">
        <v>3</v>
      </c>
      <c r="R374" s="3" t="s">
        <v>80</v>
      </c>
      <c r="S374" s="3" t="s">
        <v>116</v>
      </c>
      <c r="T374" s="3" t="s">
        <v>176</v>
      </c>
      <c r="U374" s="5" t="s">
        <v>1649</v>
      </c>
      <c r="V374" s="3" t="s">
        <v>65</v>
      </c>
      <c r="W374" t="str">
        <f t="shared" si="5"/>
        <v>Blacklisted</v>
      </c>
    </row>
    <row r="375" spans="1:23" ht="14.25" customHeight="1">
      <c r="A375" s="6" t="s">
        <v>1650</v>
      </c>
      <c r="B375" s="6" t="s">
        <v>84</v>
      </c>
      <c r="C375" s="6" t="s">
        <v>185</v>
      </c>
      <c r="D375" s="6" t="s">
        <v>1651</v>
      </c>
      <c r="E375" s="6" t="s">
        <v>1103</v>
      </c>
      <c r="F375" s="6" t="s">
        <v>181</v>
      </c>
      <c r="G375" s="6" t="s">
        <v>77</v>
      </c>
      <c r="H375" s="6" t="s">
        <v>1652</v>
      </c>
      <c r="I375" s="6" t="s">
        <v>31</v>
      </c>
      <c r="J375" s="6" t="s">
        <v>32</v>
      </c>
      <c r="K375" s="6" t="s">
        <v>47</v>
      </c>
      <c r="L375" s="6" t="s">
        <v>190</v>
      </c>
      <c r="M375" s="6">
        <v>5</v>
      </c>
      <c r="N375" s="6">
        <v>700</v>
      </c>
      <c r="O375" s="6">
        <v>10</v>
      </c>
      <c r="P375" s="6">
        <v>3150</v>
      </c>
      <c r="Q375" s="6">
        <v>2</v>
      </c>
      <c r="R375" s="6" t="s">
        <v>89</v>
      </c>
      <c r="S375" s="6" t="s">
        <v>50</v>
      </c>
      <c r="T375" s="6" t="s">
        <v>90</v>
      </c>
      <c r="U375" s="7" t="s">
        <v>1653</v>
      </c>
      <c r="V375" s="6" t="s">
        <v>39</v>
      </c>
      <c r="W375" t="str">
        <f t="shared" si="5"/>
        <v>Blacklisted</v>
      </c>
    </row>
    <row r="376" spans="1:23" ht="14.25" customHeight="1">
      <c r="A376" s="3" t="s">
        <v>1654</v>
      </c>
      <c r="B376" s="3" t="s">
        <v>222</v>
      </c>
      <c r="C376" s="3" t="s">
        <v>185</v>
      </c>
      <c r="D376" s="3" t="s">
        <v>958</v>
      </c>
      <c r="E376" s="3" t="s">
        <v>1655</v>
      </c>
      <c r="F376" s="3" t="s">
        <v>226</v>
      </c>
      <c r="G376" s="3" t="s">
        <v>77</v>
      </c>
      <c r="H376" s="3" t="s">
        <v>1656</v>
      </c>
      <c r="I376" s="3" t="s">
        <v>295</v>
      </c>
      <c r="J376" s="3" t="s">
        <v>296</v>
      </c>
      <c r="K376" s="3" t="s">
        <v>47</v>
      </c>
      <c r="L376" s="3" t="s">
        <v>190</v>
      </c>
      <c r="M376" s="3">
        <v>1</v>
      </c>
      <c r="N376" s="3">
        <v>700</v>
      </c>
      <c r="O376" s="3">
        <v>0</v>
      </c>
      <c r="P376" s="3">
        <v>700</v>
      </c>
      <c r="Q376" s="3">
        <v>1</v>
      </c>
      <c r="R376" s="3" t="s">
        <v>89</v>
      </c>
      <c r="S376" s="3" t="s">
        <v>152</v>
      </c>
      <c r="T376" s="3" t="s">
        <v>229</v>
      </c>
      <c r="U376" s="5" t="s">
        <v>1657</v>
      </c>
      <c r="V376" s="3" t="s">
        <v>39</v>
      </c>
      <c r="W376" t="str">
        <f t="shared" si="5"/>
        <v>Blacklisted</v>
      </c>
    </row>
    <row r="377" spans="1:23" ht="14.25" customHeight="1">
      <c r="A377" s="6" t="s">
        <v>1658</v>
      </c>
      <c r="B377" s="6" t="s">
        <v>24</v>
      </c>
      <c r="C377" s="6" t="s">
        <v>185</v>
      </c>
      <c r="D377" s="6" t="s">
        <v>1369</v>
      </c>
      <c r="E377" s="6" t="s">
        <v>924</v>
      </c>
      <c r="F377" s="6" t="s">
        <v>28</v>
      </c>
      <c r="G377" s="6" t="s">
        <v>29</v>
      </c>
      <c r="H377" s="6" t="s">
        <v>1659</v>
      </c>
      <c r="I377" s="6" t="s">
        <v>106</v>
      </c>
      <c r="J377" s="6" t="s">
        <v>107</v>
      </c>
      <c r="K377" s="6" t="s">
        <v>47</v>
      </c>
      <c r="L377" s="6" t="s">
        <v>190</v>
      </c>
      <c r="M377" s="6">
        <v>13</v>
      </c>
      <c r="N377" s="6">
        <v>700</v>
      </c>
      <c r="O377" s="6">
        <v>20</v>
      </c>
      <c r="P377" s="6">
        <v>7280</v>
      </c>
      <c r="Q377" s="6">
        <v>2</v>
      </c>
      <c r="R377" s="6" t="s">
        <v>80</v>
      </c>
      <c r="S377" s="6" t="s">
        <v>36</v>
      </c>
      <c r="T377" s="6" t="s">
        <v>51</v>
      </c>
      <c r="U377" s="7" t="s">
        <v>1660</v>
      </c>
      <c r="V377" s="6" t="s">
        <v>39</v>
      </c>
      <c r="W377" t="str">
        <f t="shared" si="5"/>
        <v>Blacklisted</v>
      </c>
    </row>
    <row r="378" spans="1:23" ht="14.25" customHeight="1">
      <c r="A378" s="3" t="s">
        <v>1661</v>
      </c>
      <c r="B378" s="3" t="s">
        <v>72</v>
      </c>
      <c r="C378" s="3" t="s">
        <v>41</v>
      </c>
      <c r="D378" s="3" t="s">
        <v>1154</v>
      </c>
      <c r="E378" s="3" t="s">
        <v>304</v>
      </c>
      <c r="F378" s="3" t="s">
        <v>218</v>
      </c>
      <c r="G378" s="3" t="s">
        <v>77</v>
      </c>
      <c r="H378" s="3" t="s">
        <v>1662</v>
      </c>
      <c r="I378" s="3" t="s">
        <v>115</v>
      </c>
      <c r="J378" s="3" t="s">
        <v>107</v>
      </c>
      <c r="K378" s="3" t="s">
        <v>47</v>
      </c>
      <c r="L378" s="3" t="s">
        <v>48</v>
      </c>
      <c r="M378" s="3">
        <v>20</v>
      </c>
      <c r="N378" s="3">
        <v>12000</v>
      </c>
      <c r="O378" s="3">
        <v>0</v>
      </c>
      <c r="P378" s="3">
        <v>240000</v>
      </c>
      <c r="Q378" s="3">
        <v>2</v>
      </c>
      <c r="R378" s="3" t="s">
        <v>80</v>
      </c>
      <c r="S378" s="3" t="s">
        <v>116</v>
      </c>
      <c r="T378" s="3" t="s">
        <v>81</v>
      </c>
      <c r="U378" s="5" t="s">
        <v>1663</v>
      </c>
      <c r="V378" s="3" t="s">
        <v>39</v>
      </c>
      <c r="W378" t="str">
        <f t="shared" si="5"/>
        <v>Blacklisted</v>
      </c>
    </row>
    <row r="379" spans="1:23" ht="14.25" customHeight="1">
      <c r="A379" s="6" t="s">
        <v>1664</v>
      </c>
      <c r="B379" s="6" t="s">
        <v>84</v>
      </c>
      <c r="C379" s="6" t="s">
        <v>73</v>
      </c>
      <c r="D379" s="6" t="s">
        <v>1199</v>
      </c>
      <c r="E379" s="6" t="s">
        <v>713</v>
      </c>
      <c r="F379" s="6" t="s">
        <v>181</v>
      </c>
      <c r="G379" s="6" t="s">
        <v>77</v>
      </c>
      <c r="H379" s="6" t="s">
        <v>1665</v>
      </c>
      <c r="I379" s="6" t="s">
        <v>295</v>
      </c>
      <c r="J379" s="6" t="s">
        <v>296</v>
      </c>
      <c r="K379" s="6" t="s">
        <v>47</v>
      </c>
      <c r="L379" s="6" t="s">
        <v>79</v>
      </c>
      <c r="M379" s="6">
        <v>9</v>
      </c>
      <c r="N379" s="6">
        <v>1200</v>
      </c>
      <c r="O379" s="6">
        <v>15</v>
      </c>
      <c r="P379" s="6">
        <v>9180</v>
      </c>
      <c r="Q379" s="6">
        <v>1</v>
      </c>
      <c r="R379" s="6" t="s">
        <v>89</v>
      </c>
      <c r="S379" s="6" t="s">
        <v>36</v>
      </c>
      <c r="T379" s="6" t="s">
        <v>90</v>
      </c>
      <c r="U379" s="7" t="s">
        <v>1666</v>
      </c>
      <c r="V379" s="6" t="s">
        <v>65</v>
      </c>
      <c r="W379" t="str">
        <f t="shared" si="5"/>
        <v>Blacklisted</v>
      </c>
    </row>
    <row r="380" spans="1:23" ht="14.25" customHeight="1">
      <c r="A380" s="3" t="s">
        <v>1667</v>
      </c>
      <c r="B380" s="3" t="s">
        <v>84</v>
      </c>
      <c r="C380" s="3" t="s">
        <v>223</v>
      </c>
      <c r="D380" s="3" t="s">
        <v>1222</v>
      </c>
      <c r="E380" s="3" t="s">
        <v>1668</v>
      </c>
      <c r="F380" s="3" t="s">
        <v>181</v>
      </c>
      <c r="G380" s="3" t="s">
        <v>77</v>
      </c>
      <c r="H380" s="3" t="s">
        <v>1669</v>
      </c>
      <c r="I380" s="3" t="s">
        <v>213</v>
      </c>
      <c r="J380" s="3" t="s">
        <v>46</v>
      </c>
      <c r="K380" s="3" t="s">
        <v>123</v>
      </c>
      <c r="L380" s="3" t="s">
        <v>228</v>
      </c>
      <c r="M380" s="3">
        <v>3</v>
      </c>
      <c r="N380" s="3">
        <v>20</v>
      </c>
      <c r="O380" s="3">
        <v>15</v>
      </c>
      <c r="P380" s="3">
        <v>51</v>
      </c>
      <c r="Q380" s="3">
        <v>3</v>
      </c>
      <c r="R380" s="3" t="s">
        <v>35</v>
      </c>
      <c r="S380" s="3" t="s">
        <v>116</v>
      </c>
      <c r="T380" s="3" t="s">
        <v>90</v>
      </c>
      <c r="U380" s="5" t="s">
        <v>1670</v>
      </c>
      <c r="V380" s="3" t="s">
        <v>65</v>
      </c>
      <c r="W380" t="str">
        <f t="shared" si="5"/>
        <v>Blacklisted</v>
      </c>
    </row>
    <row r="381" spans="1:23" ht="14.25" customHeight="1">
      <c r="A381" s="6" t="s">
        <v>1671</v>
      </c>
      <c r="B381" s="6" t="s">
        <v>252</v>
      </c>
      <c r="C381" s="6" t="s">
        <v>55</v>
      </c>
      <c r="D381" s="6" t="s">
        <v>789</v>
      </c>
      <c r="E381" s="6" t="s">
        <v>456</v>
      </c>
      <c r="F381" s="6" t="s">
        <v>255</v>
      </c>
      <c r="G381" s="6" t="s">
        <v>29</v>
      </c>
      <c r="H381" s="6" t="s">
        <v>1672</v>
      </c>
      <c r="I381" s="6" t="s">
        <v>45</v>
      </c>
      <c r="J381" s="6" t="s">
        <v>46</v>
      </c>
      <c r="K381" s="6" t="s">
        <v>47</v>
      </c>
      <c r="L381" s="6" t="s">
        <v>61</v>
      </c>
      <c r="M381" s="6">
        <v>8</v>
      </c>
      <c r="N381" s="6">
        <v>55000</v>
      </c>
      <c r="O381" s="6">
        <v>20</v>
      </c>
      <c r="P381" s="6">
        <v>352000</v>
      </c>
      <c r="Q381" s="6">
        <v>5</v>
      </c>
      <c r="R381" s="6" t="s">
        <v>80</v>
      </c>
      <c r="S381" s="6" t="s">
        <v>152</v>
      </c>
      <c r="T381" s="6" t="s">
        <v>257</v>
      </c>
      <c r="U381" s="7" t="s">
        <v>1673</v>
      </c>
      <c r="V381" s="6" t="s">
        <v>65</v>
      </c>
      <c r="W381" t="str">
        <f t="shared" si="5"/>
        <v>Blacklisted</v>
      </c>
    </row>
    <row r="382" spans="1:23" ht="14.25" customHeight="1">
      <c r="A382" s="3" t="s">
        <v>1674</v>
      </c>
      <c r="B382" s="3" t="s">
        <v>252</v>
      </c>
      <c r="C382" s="3" t="s">
        <v>119</v>
      </c>
      <c r="D382" s="3" t="s">
        <v>1312</v>
      </c>
      <c r="E382" s="3" t="s">
        <v>75</v>
      </c>
      <c r="F382" s="3" t="s">
        <v>255</v>
      </c>
      <c r="G382" s="3" t="s">
        <v>29</v>
      </c>
      <c r="H382" s="3" t="s">
        <v>1675</v>
      </c>
      <c r="I382" s="3" t="s">
        <v>45</v>
      </c>
      <c r="J382" s="3" t="s">
        <v>46</v>
      </c>
      <c r="K382" s="3" t="s">
        <v>123</v>
      </c>
      <c r="L382" s="3" t="s">
        <v>124</v>
      </c>
      <c r="M382" s="3">
        <v>17</v>
      </c>
      <c r="N382" s="3">
        <v>60</v>
      </c>
      <c r="O382" s="3">
        <v>20</v>
      </c>
      <c r="P382" s="3">
        <v>816</v>
      </c>
      <c r="Q382" s="3">
        <v>1</v>
      </c>
      <c r="R382" s="3" t="s">
        <v>89</v>
      </c>
      <c r="S382" s="3" t="s">
        <v>36</v>
      </c>
      <c r="T382" s="3" t="s">
        <v>257</v>
      </c>
      <c r="U382" s="5" t="s">
        <v>1676</v>
      </c>
      <c r="V382" s="3" t="s">
        <v>65</v>
      </c>
      <c r="W382" t="str">
        <f t="shared" si="5"/>
        <v>Blacklisted</v>
      </c>
    </row>
    <row r="383" spans="1:23" ht="14.25" customHeight="1">
      <c r="A383" s="6" t="s">
        <v>1677</v>
      </c>
      <c r="B383" s="6" t="s">
        <v>128</v>
      </c>
      <c r="C383" s="6" t="s">
        <v>223</v>
      </c>
      <c r="D383" s="6" t="s">
        <v>1678</v>
      </c>
      <c r="E383" s="6" t="s">
        <v>237</v>
      </c>
      <c r="F383" s="6" t="s">
        <v>201</v>
      </c>
      <c r="G383" s="6" t="s">
        <v>77</v>
      </c>
      <c r="H383" s="6" t="s">
        <v>1679</v>
      </c>
      <c r="I383" s="6" t="s">
        <v>60</v>
      </c>
      <c r="J383" s="6" t="s">
        <v>32</v>
      </c>
      <c r="K383" s="6" t="s">
        <v>123</v>
      </c>
      <c r="L383" s="6" t="s">
        <v>228</v>
      </c>
      <c r="M383" s="6">
        <v>4</v>
      </c>
      <c r="N383" s="6">
        <v>20</v>
      </c>
      <c r="O383" s="6">
        <v>15</v>
      </c>
      <c r="P383" s="6">
        <v>68</v>
      </c>
      <c r="Q383" s="6">
        <v>3</v>
      </c>
      <c r="R383" s="6" t="s">
        <v>49</v>
      </c>
      <c r="S383" s="6" t="s">
        <v>62</v>
      </c>
      <c r="T383" s="6" t="s">
        <v>133</v>
      </c>
      <c r="U383" s="7" t="s">
        <v>1680</v>
      </c>
      <c r="V383" s="6" t="s">
        <v>65</v>
      </c>
      <c r="W383" t="str">
        <f t="shared" si="5"/>
        <v>Blacklisted</v>
      </c>
    </row>
    <row r="384" spans="1:23" ht="14.25" customHeight="1">
      <c r="A384" s="3" t="s">
        <v>1681</v>
      </c>
      <c r="B384" s="3" t="s">
        <v>128</v>
      </c>
      <c r="C384" s="3" t="s">
        <v>25</v>
      </c>
      <c r="D384" s="3" t="s">
        <v>1361</v>
      </c>
      <c r="E384" s="3" t="s">
        <v>776</v>
      </c>
      <c r="F384" s="3" t="s">
        <v>1682</v>
      </c>
      <c r="G384" s="3" t="s">
        <v>77</v>
      </c>
      <c r="H384" s="3" t="s">
        <v>1683</v>
      </c>
      <c r="I384" s="3" t="s">
        <v>295</v>
      </c>
      <c r="J384" s="3" t="s">
        <v>296</v>
      </c>
      <c r="K384" s="3" t="s">
        <v>33</v>
      </c>
      <c r="L384" s="3" t="s">
        <v>34</v>
      </c>
      <c r="M384" s="3">
        <v>2</v>
      </c>
      <c r="N384" s="3">
        <v>2200</v>
      </c>
      <c r="O384" s="3">
        <v>10</v>
      </c>
      <c r="P384" s="3">
        <v>3960</v>
      </c>
      <c r="Q384" s="3">
        <v>2</v>
      </c>
      <c r="R384" s="3" t="s">
        <v>89</v>
      </c>
      <c r="S384" s="3" t="s">
        <v>50</v>
      </c>
      <c r="T384" s="3" t="s">
        <v>133</v>
      </c>
      <c r="U384" s="5" t="s">
        <v>1684</v>
      </c>
      <c r="V384" s="3" t="s">
        <v>65</v>
      </c>
      <c r="W384" t="str">
        <f t="shared" si="5"/>
        <v>Blacklisted</v>
      </c>
    </row>
    <row r="385" spans="1:23" ht="14.25" customHeight="1">
      <c r="A385" s="6" t="s">
        <v>1685</v>
      </c>
      <c r="B385" s="6" t="s">
        <v>222</v>
      </c>
      <c r="C385" s="6" t="s">
        <v>119</v>
      </c>
      <c r="D385" s="6" t="s">
        <v>367</v>
      </c>
      <c r="E385" s="6" t="s">
        <v>540</v>
      </c>
      <c r="F385" s="6" t="s">
        <v>226</v>
      </c>
      <c r="G385" s="6" t="s">
        <v>77</v>
      </c>
      <c r="H385" s="6" t="s">
        <v>1686</v>
      </c>
      <c r="I385" s="6" t="s">
        <v>60</v>
      </c>
      <c r="J385" s="6" t="s">
        <v>32</v>
      </c>
      <c r="K385" s="6" t="s">
        <v>123</v>
      </c>
      <c r="L385" s="6" t="s">
        <v>124</v>
      </c>
      <c r="M385" s="6">
        <v>5</v>
      </c>
      <c r="N385" s="6">
        <v>60</v>
      </c>
      <c r="O385" s="6">
        <v>5</v>
      </c>
      <c r="P385" s="6">
        <v>285</v>
      </c>
      <c r="Q385" s="6">
        <v>1</v>
      </c>
      <c r="R385" s="6" t="s">
        <v>89</v>
      </c>
      <c r="S385" s="6" t="s">
        <v>36</v>
      </c>
      <c r="T385" s="6" t="s">
        <v>229</v>
      </c>
      <c r="U385" s="7" t="s">
        <v>1687</v>
      </c>
      <c r="V385" s="6" t="s">
        <v>70</v>
      </c>
      <c r="W385" t="str">
        <f t="shared" si="5"/>
        <v>Blacklisted</v>
      </c>
    </row>
    <row r="386" spans="1:23" ht="14.25" customHeight="1">
      <c r="A386" s="3" t="s">
        <v>1688</v>
      </c>
      <c r="B386" s="3" t="s">
        <v>128</v>
      </c>
      <c r="C386" s="3" t="s">
        <v>25</v>
      </c>
      <c r="D386" s="3" t="s">
        <v>1689</v>
      </c>
      <c r="E386" s="3" t="s">
        <v>1690</v>
      </c>
      <c r="F386" s="3" t="s">
        <v>201</v>
      </c>
      <c r="G386" s="3" t="s">
        <v>77</v>
      </c>
      <c r="H386" s="3" t="s">
        <v>1691</v>
      </c>
      <c r="I386" s="3" t="s">
        <v>45</v>
      </c>
      <c r="J386" s="3" t="s">
        <v>46</v>
      </c>
      <c r="K386" s="3" t="s">
        <v>33</v>
      </c>
      <c r="L386" s="3" t="s">
        <v>34</v>
      </c>
      <c r="M386" s="3">
        <v>17</v>
      </c>
      <c r="N386" s="3">
        <v>2200</v>
      </c>
      <c r="O386" s="3">
        <v>0</v>
      </c>
      <c r="P386" s="3">
        <v>37400</v>
      </c>
      <c r="Q386" s="3">
        <v>2</v>
      </c>
      <c r="R386" s="3" t="s">
        <v>89</v>
      </c>
      <c r="S386" s="3" t="s">
        <v>152</v>
      </c>
      <c r="T386" s="3" t="s">
        <v>133</v>
      </c>
      <c r="U386" s="5" t="s">
        <v>1692</v>
      </c>
      <c r="V386" s="3" t="s">
        <v>70</v>
      </c>
      <c r="W386" t="str">
        <f t="shared" ref="W386:W449" si="6">IF(OR(Q386&lt;=2,V386="Cancelled"),"Blacklisted",IF(AND(P386&gt;=100000,Q386&gt;=4,O386&lt;=10%,V386="Completed"),"Platinum",IF(AND(P386&gt;=50000,P386&lt;100000,Q386&gt;=3,V386="Completed"),"Gold",IF(AND(P386&lt;50000,V386="Completed"),"Silver","Blacklisted"))))</f>
        <v>Blacklisted</v>
      </c>
    </row>
    <row r="387" spans="1:23" ht="14.25" customHeight="1">
      <c r="A387" s="6" t="s">
        <v>1693</v>
      </c>
      <c r="B387" s="6" t="s">
        <v>169</v>
      </c>
      <c r="C387" s="6" t="s">
        <v>119</v>
      </c>
      <c r="D387" s="6" t="s">
        <v>187</v>
      </c>
      <c r="E387" s="6" t="s">
        <v>611</v>
      </c>
      <c r="F387" s="6" t="s">
        <v>362</v>
      </c>
      <c r="G387" s="6" t="s">
        <v>29</v>
      </c>
      <c r="H387" s="6" t="s">
        <v>1694</v>
      </c>
      <c r="I387" s="6" t="s">
        <v>139</v>
      </c>
      <c r="J387" s="6" t="s">
        <v>107</v>
      </c>
      <c r="K387" s="6" t="s">
        <v>123</v>
      </c>
      <c r="L387" s="6" t="s">
        <v>124</v>
      </c>
      <c r="M387" s="6">
        <v>7</v>
      </c>
      <c r="N387" s="6">
        <v>60</v>
      </c>
      <c r="O387" s="6">
        <v>0</v>
      </c>
      <c r="P387" s="6">
        <v>420</v>
      </c>
      <c r="Q387" s="6">
        <v>2</v>
      </c>
      <c r="R387" s="6" t="s">
        <v>89</v>
      </c>
      <c r="S387" s="6" t="s">
        <v>62</v>
      </c>
      <c r="T387" s="6" t="s">
        <v>176</v>
      </c>
      <c r="U387" s="7" t="s">
        <v>1695</v>
      </c>
      <c r="V387" s="6" t="s">
        <v>65</v>
      </c>
      <c r="W387" t="str">
        <f t="shared" si="6"/>
        <v>Blacklisted</v>
      </c>
    </row>
    <row r="388" spans="1:23" ht="14.25" customHeight="1">
      <c r="A388" s="3" t="s">
        <v>1696</v>
      </c>
      <c r="B388" s="3" t="s">
        <v>222</v>
      </c>
      <c r="C388" s="3" t="s">
        <v>55</v>
      </c>
      <c r="D388" s="3" t="s">
        <v>703</v>
      </c>
      <c r="E388" s="3" t="s">
        <v>1697</v>
      </c>
      <c r="F388" s="3" t="s">
        <v>226</v>
      </c>
      <c r="G388" s="3" t="s">
        <v>77</v>
      </c>
      <c r="H388" s="3" t="s">
        <v>1698</v>
      </c>
      <c r="I388" s="3" t="s">
        <v>31</v>
      </c>
      <c r="J388" s="3" t="s">
        <v>32</v>
      </c>
      <c r="K388" s="3" t="s">
        <v>47</v>
      </c>
      <c r="L388" s="3" t="s">
        <v>61</v>
      </c>
      <c r="M388" s="3">
        <v>6</v>
      </c>
      <c r="N388" s="3">
        <v>55000</v>
      </c>
      <c r="O388" s="3">
        <v>5</v>
      </c>
      <c r="P388" s="3">
        <v>313500</v>
      </c>
      <c r="Q388" s="3">
        <v>4</v>
      </c>
      <c r="R388" s="3" t="s">
        <v>80</v>
      </c>
      <c r="S388" s="3" t="s">
        <v>62</v>
      </c>
      <c r="T388" s="3" t="s">
        <v>229</v>
      </c>
      <c r="U388" s="5" t="s">
        <v>1699</v>
      </c>
      <c r="V388" s="3" t="s">
        <v>39</v>
      </c>
      <c r="W388" t="str">
        <f t="shared" si="6"/>
        <v>Blacklisted</v>
      </c>
    </row>
    <row r="389" spans="1:23" ht="14.25" customHeight="1">
      <c r="A389" s="6" t="s">
        <v>1700</v>
      </c>
      <c r="B389" s="6" t="s">
        <v>72</v>
      </c>
      <c r="C389" s="6" t="s">
        <v>223</v>
      </c>
      <c r="D389" s="6" t="s">
        <v>1307</v>
      </c>
      <c r="E389" s="6" t="s">
        <v>1701</v>
      </c>
      <c r="F389" s="6" t="s">
        <v>218</v>
      </c>
      <c r="G389" s="6" t="s">
        <v>77</v>
      </c>
      <c r="H389" s="6" t="s">
        <v>1702</v>
      </c>
      <c r="I389" s="6" t="s">
        <v>31</v>
      </c>
      <c r="J389" s="6" t="s">
        <v>32</v>
      </c>
      <c r="K389" s="6" t="s">
        <v>123</v>
      </c>
      <c r="L389" s="6" t="s">
        <v>228</v>
      </c>
      <c r="M389" s="6">
        <v>16</v>
      </c>
      <c r="N389" s="6">
        <v>20</v>
      </c>
      <c r="O389" s="6">
        <v>5</v>
      </c>
      <c r="P389" s="6">
        <v>304</v>
      </c>
      <c r="Q389" s="6">
        <v>1</v>
      </c>
      <c r="R389" s="6" t="s">
        <v>80</v>
      </c>
      <c r="S389" s="6" t="s">
        <v>50</v>
      </c>
      <c r="T389" s="6" t="s">
        <v>81</v>
      </c>
      <c r="U389" s="7" t="s">
        <v>1703</v>
      </c>
      <c r="V389" s="6" t="s">
        <v>39</v>
      </c>
      <c r="W389" t="str">
        <f t="shared" si="6"/>
        <v>Blacklisted</v>
      </c>
    </row>
    <row r="390" spans="1:23" ht="14.25" customHeight="1">
      <c r="A390" s="3" t="s">
        <v>1704</v>
      </c>
      <c r="B390" s="3" t="s">
        <v>24</v>
      </c>
      <c r="C390" s="3" t="s">
        <v>25</v>
      </c>
      <c r="D390" s="3" t="s">
        <v>1705</v>
      </c>
      <c r="E390" s="3" t="s">
        <v>1706</v>
      </c>
      <c r="F390" s="3" t="s">
        <v>28</v>
      </c>
      <c r="G390" s="3" t="s">
        <v>29</v>
      </c>
      <c r="H390" s="3" t="s">
        <v>1707</v>
      </c>
      <c r="I390" s="3" t="s">
        <v>295</v>
      </c>
      <c r="J390" s="3" t="s">
        <v>296</v>
      </c>
      <c r="K390" s="3" t="s">
        <v>33</v>
      </c>
      <c r="L390" s="3" t="s">
        <v>34</v>
      </c>
      <c r="M390" s="3">
        <v>11</v>
      </c>
      <c r="N390" s="3">
        <v>2200</v>
      </c>
      <c r="O390" s="3">
        <v>15</v>
      </c>
      <c r="P390" s="3">
        <v>20570</v>
      </c>
      <c r="Q390" s="3">
        <v>1</v>
      </c>
      <c r="R390" s="3" t="s">
        <v>49</v>
      </c>
      <c r="S390" s="3" t="s">
        <v>116</v>
      </c>
      <c r="T390" s="3" t="s">
        <v>51</v>
      </c>
      <c r="U390" s="5" t="s">
        <v>1708</v>
      </c>
      <c r="V390" s="3" t="s">
        <v>70</v>
      </c>
      <c r="W390" t="str">
        <f t="shared" si="6"/>
        <v>Blacklisted</v>
      </c>
    </row>
    <row r="391" spans="1:23" ht="14.25" customHeight="1">
      <c r="A391" s="6" t="s">
        <v>1709</v>
      </c>
      <c r="B391" s="6" t="s">
        <v>101</v>
      </c>
      <c r="C391" s="6" t="s">
        <v>223</v>
      </c>
      <c r="D391" s="6" t="s">
        <v>1070</v>
      </c>
      <c r="E391" s="6" t="s">
        <v>1410</v>
      </c>
      <c r="F391" s="6" t="s">
        <v>104</v>
      </c>
      <c r="G391" s="6" t="s">
        <v>29</v>
      </c>
      <c r="H391" s="6" t="s">
        <v>1710</v>
      </c>
      <c r="I391" s="6" t="s">
        <v>115</v>
      </c>
      <c r="J391" s="6" t="s">
        <v>107</v>
      </c>
      <c r="K391" s="6" t="s">
        <v>123</v>
      </c>
      <c r="L391" s="6" t="s">
        <v>228</v>
      </c>
      <c r="M391" s="6">
        <v>19</v>
      </c>
      <c r="N391" s="6">
        <v>20</v>
      </c>
      <c r="O391" s="6">
        <v>5</v>
      </c>
      <c r="P391" s="6">
        <v>361</v>
      </c>
      <c r="Q391" s="6">
        <v>4</v>
      </c>
      <c r="R391" s="6" t="s">
        <v>89</v>
      </c>
      <c r="S391" s="6" t="s">
        <v>36</v>
      </c>
      <c r="T391" s="6" t="s">
        <v>145</v>
      </c>
      <c r="U391" s="7" t="s">
        <v>1711</v>
      </c>
      <c r="V391" s="6" t="s">
        <v>65</v>
      </c>
      <c r="W391" t="str">
        <f t="shared" si="6"/>
        <v>Blacklisted</v>
      </c>
    </row>
    <row r="392" spans="1:23" ht="14.25" customHeight="1">
      <c r="A392" s="3" t="s">
        <v>1712</v>
      </c>
      <c r="B392" s="3" t="s">
        <v>101</v>
      </c>
      <c r="C392" s="3" t="s">
        <v>73</v>
      </c>
      <c r="D392" s="3" t="s">
        <v>1713</v>
      </c>
      <c r="E392" s="3" t="s">
        <v>1714</v>
      </c>
      <c r="F392" s="3" t="s">
        <v>104</v>
      </c>
      <c r="G392" s="3" t="s">
        <v>29</v>
      </c>
      <c r="H392" s="3" t="s">
        <v>1715</v>
      </c>
      <c r="I392" s="3" t="s">
        <v>115</v>
      </c>
      <c r="J392" s="3" t="s">
        <v>107</v>
      </c>
      <c r="K392" s="3" t="s">
        <v>47</v>
      </c>
      <c r="L392" s="3" t="s">
        <v>79</v>
      </c>
      <c r="M392" s="3">
        <v>20</v>
      </c>
      <c r="N392" s="3">
        <v>1200</v>
      </c>
      <c r="O392" s="3">
        <v>15</v>
      </c>
      <c r="P392" s="3">
        <v>20400</v>
      </c>
      <c r="Q392" s="3">
        <v>4</v>
      </c>
      <c r="R392" s="3" t="s">
        <v>80</v>
      </c>
      <c r="S392" s="3" t="s">
        <v>36</v>
      </c>
      <c r="T392" s="3" t="s">
        <v>145</v>
      </c>
      <c r="U392" s="5" t="s">
        <v>1716</v>
      </c>
      <c r="V392" s="3" t="s">
        <v>65</v>
      </c>
      <c r="W392" t="str">
        <f t="shared" si="6"/>
        <v>Blacklisted</v>
      </c>
    </row>
    <row r="393" spans="1:23" ht="14.25" customHeight="1">
      <c r="A393" s="6" t="s">
        <v>1717</v>
      </c>
      <c r="B393" s="6" t="s">
        <v>54</v>
      </c>
      <c r="C393" s="6" t="s">
        <v>223</v>
      </c>
      <c r="D393" s="6" t="s">
        <v>1718</v>
      </c>
      <c r="E393" s="6" t="s">
        <v>1719</v>
      </c>
      <c r="F393" s="6" t="s">
        <v>164</v>
      </c>
      <c r="G393" s="6" t="s">
        <v>29</v>
      </c>
      <c r="H393" s="6" t="s">
        <v>1720</v>
      </c>
      <c r="I393" s="6" t="s">
        <v>31</v>
      </c>
      <c r="J393" s="6" t="s">
        <v>32</v>
      </c>
      <c r="K393" s="6" t="s">
        <v>123</v>
      </c>
      <c r="L393" s="6" t="s">
        <v>228</v>
      </c>
      <c r="M393" s="6">
        <v>13</v>
      </c>
      <c r="N393" s="6">
        <v>20</v>
      </c>
      <c r="O393" s="6">
        <v>15</v>
      </c>
      <c r="P393" s="6">
        <v>221</v>
      </c>
      <c r="Q393" s="6">
        <v>4</v>
      </c>
      <c r="R393" s="6" t="s">
        <v>35</v>
      </c>
      <c r="S393" s="6" t="s">
        <v>36</v>
      </c>
      <c r="T393" s="6" t="s">
        <v>63</v>
      </c>
      <c r="U393" s="7" t="s">
        <v>1721</v>
      </c>
      <c r="V393" s="6" t="s">
        <v>65</v>
      </c>
      <c r="W393" t="str">
        <f t="shared" si="6"/>
        <v>Blacklisted</v>
      </c>
    </row>
    <row r="394" spans="1:23" ht="14.25" customHeight="1">
      <c r="A394" s="3" t="s">
        <v>1722</v>
      </c>
      <c r="B394" s="3" t="s">
        <v>252</v>
      </c>
      <c r="C394" s="3" t="s">
        <v>73</v>
      </c>
      <c r="D394" s="3" t="s">
        <v>206</v>
      </c>
      <c r="E394" s="3" t="s">
        <v>207</v>
      </c>
      <c r="F394" s="3" t="s">
        <v>255</v>
      </c>
      <c r="G394" s="3" t="s">
        <v>29</v>
      </c>
      <c r="H394" s="3" t="s">
        <v>1723</v>
      </c>
      <c r="I394" s="3" t="s">
        <v>45</v>
      </c>
      <c r="J394" s="3" t="s">
        <v>46</v>
      </c>
      <c r="K394" s="3" t="s">
        <v>47</v>
      </c>
      <c r="L394" s="3" t="s">
        <v>79</v>
      </c>
      <c r="M394" s="3">
        <v>12</v>
      </c>
      <c r="N394" s="3">
        <v>1200</v>
      </c>
      <c r="O394" s="3">
        <v>10</v>
      </c>
      <c r="P394" s="3">
        <v>12960</v>
      </c>
      <c r="Q394" s="3">
        <v>3</v>
      </c>
      <c r="R394" s="3" t="s">
        <v>49</v>
      </c>
      <c r="S394" s="3" t="s">
        <v>36</v>
      </c>
      <c r="T394" s="3" t="s">
        <v>257</v>
      </c>
      <c r="U394" s="5" t="s">
        <v>1724</v>
      </c>
      <c r="V394" s="3" t="s">
        <v>65</v>
      </c>
      <c r="W394" t="str">
        <f t="shared" si="6"/>
        <v>Blacklisted</v>
      </c>
    </row>
    <row r="395" spans="1:23" ht="14.25" customHeight="1">
      <c r="A395" s="6" t="s">
        <v>1725</v>
      </c>
      <c r="B395" s="6" t="s">
        <v>101</v>
      </c>
      <c r="C395" s="6" t="s">
        <v>170</v>
      </c>
      <c r="D395" s="6" t="s">
        <v>1706</v>
      </c>
      <c r="E395" s="6" t="s">
        <v>784</v>
      </c>
      <c r="F395" s="6" t="s">
        <v>104</v>
      </c>
      <c r="G395" s="6" t="s">
        <v>29</v>
      </c>
      <c r="H395" s="6" t="s">
        <v>1726</v>
      </c>
      <c r="I395" s="6" t="s">
        <v>295</v>
      </c>
      <c r="J395" s="6" t="s">
        <v>296</v>
      </c>
      <c r="K395" s="6" t="s">
        <v>33</v>
      </c>
      <c r="L395" s="6" t="s">
        <v>175</v>
      </c>
      <c r="M395" s="6">
        <v>6</v>
      </c>
      <c r="N395" s="6">
        <v>8500</v>
      </c>
      <c r="O395" s="6">
        <v>5</v>
      </c>
      <c r="P395" s="6">
        <v>48450</v>
      </c>
      <c r="Q395" s="6">
        <v>5</v>
      </c>
      <c r="R395" s="6" t="s">
        <v>35</v>
      </c>
      <c r="S395" s="6" t="s">
        <v>116</v>
      </c>
      <c r="T395" s="6" t="s">
        <v>145</v>
      </c>
      <c r="U395" s="7" t="s">
        <v>1727</v>
      </c>
      <c r="V395" s="6" t="s">
        <v>70</v>
      </c>
      <c r="W395" t="str">
        <f t="shared" si="6"/>
        <v>Blacklisted</v>
      </c>
    </row>
    <row r="396" spans="1:23" ht="14.25" customHeight="1">
      <c r="A396" s="3" t="s">
        <v>1728</v>
      </c>
      <c r="B396" s="3" t="s">
        <v>24</v>
      </c>
      <c r="C396" s="3" t="s">
        <v>170</v>
      </c>
      <c r="D396" s="3" t="s">
        <v>1303</v>
      </c>
      <c r="E396" s="3" t="s">
        <v>1729</v>
      </c>
      <c r="F396" s="3" t="s">
        <v>28</v>
      </c>
      <c r="G396" s="3" t="s">
        <v>29</v>
      </c>
      <c r="H396" s="3" t="s">
        <v>1730</v>
      </c>
      <c r="I396" s="3" t="s">
        <v>139</v>
      </c>
      <c r="J396" s="3" t="s">
        <v>107</v>
      </c>
      <c r="K396" s="3" t="s">
        <v>33</v>
      </c>
      <c r="L396" s="3" t="s">
        <v>175</v>
      </c>
      <c r="M396" s="3">
        <v>15</v>
      </c>
      <c r="N396" s="3">
        <v>8500</v>
      </c>
      <c r="O396" s="3">
        <v>10</v>
      </c>
      <c r="P396" s="3">
        <v>114750</v>
      </c>
      <c r="Q396" s="3">
        <v>1</v>
      </c>
      <c r="R396" s="3" t="s">
        <v>35</v>
      </c>
      <c r="S396" s="3" t="s">
        <v>116</v>
      </c>
      <c r="T396" s="3" t="s">
        <v>51</v>
      </c>
      <c r="U396" s="5" t="s">
        <v>1731</v>
      </c>
      <c r="V396" s="3" t="s">
        <v>39</v>
      </c>
      <c r="W396" t="str">
        <f t="shared" si="6"/>
        <v>Blacklisted</v>
      </c>
    </row>
    <row r="397" spans="1:23" ht="14.25" customHeight="1">
      <c r="A397" s="6" t="s">
        <v>1732</v>
      </c>
      <c r="B397" s="6" t="s">
        <v>128</v>
      </c>
      <c r="C397" s="6" t="s">
        <v>41</v>
      </c>
      <c r="D397" s="6" t="s">
        <v>1733</v>
      </c>
      <c r="E397" s="6" t="s">
        <v>1734</v>
      </c>
      <c r="F397" s="6" t="s">
        <v>201</v>
      </c>
      <c r="G397" s="6" t="s">
        <v>77</v>
      </c>
      <c r="H397" s="6" t="s">
        <v>1735</v>
      </c>
      <c r="I397" s="6" t="s">
        <v>31</v>
      </c>
      <c r="J397" s="6" t="s">
        <v>32</v>
      </c>
      <c r="K397" s="6" t="s">
        <v>47</v>
      </c>
      <c r="L397" s="6" t="s">
        <v>48</v>
      </c>
      <c r="M397" s="6">
        <v>19</v>
      </c>
      <c r="N397" s="6">
        <v>12000</v>
      </c>
      <c r="O397" s="6">
        <v>20</v>
      </c>
      <c r="P397" s="6">
        <v>182400</v>
      </c>
      <c r="Q397" s="6">
        <v>5</v>
      </c>
      <c r="R397" s="6" t="s">
        <v>35</v>
      </c>
      <c r="S397" s="6" t="s">
        <v>116</v>
      </c>
      <c r="T397" s="6" t="s">
        <v>133</v>
      </c>
      <c r="U397" s="7" t="s">
        <v>1736</v>
      </c>
      <c r="V397" s="6" t="s">
        <v>39</v>
      </c>
      <c r="W397" t="str">
        <f t="shared" si="6"/>
        <v>Blacklisted</v>
      </c>
    </row>
    <row r="398" spans="1:23" ht="14.25" customHeight="1">
      <c r="A398" s="3" t="s">
        <v>1737</v>
      </c>
      <c r="B398" s="3" t="s">
        <v>84</v>
      </c>
      <c r="C398" s="3" t="s">
        <v>185</v>
      </c>
      <c r="D398" s="3" t="s">
        <v>143</v>
      </c>
      <c r="E398" s="3" t="s">
        <v>1738</v>
      </c>
      <c r="F398" s="3" t="s">
        <v>181</v>
      </c>
      <c r="G398" s="3" t="s">
        <v>77</v>
      </c>
      <c r="H398" s="3" t="s">
        <v>1739</v>
      </c>
      <c r="I398" s="3" t="s">
        <v>45</v>
      </c>
      <c r="J398" s="3" t="s">
        <v>46</v>
      </c>
      <c r="K398" s="3" t="s">
        <v>47</v>
      </c>
      <c r="L398" s="3" t="s">
        <v>190</v>
      </c>
      <c r="M398" s="3">
        <v>5</v>
      </c>
      <c r="N398" s="3">
        <v>700</v>
      </c>
      <c r="O398" s="3">
        <v>0</v>
      </c>
      <c r="P398" s="3">
        <v>3500</v>
      </c>
      <c r="Q398" s="3">
        <v>2</v>
      </c>
      <c r="R398" s="3" t="s">
        <v>80</v>
      </c>
      <c r="S398" s="3" t="s">
        <v>62</v>
      </c>
      <c r="T398" s="3" t="s">
        <v>90</v>
      </c>
      <c r="U398" s="5" t="s">
        <v>1740</v>
      </c>
      <c r="V398" s="3" t="s">
        <v>70</v>
      </c>
      <c r="W398" t="str">
        <f t="shared" si="6"/>
        <v>Blacklisted</v>
      </c>
    </row>
    <row r="399" spans="1:23" ht="14.25" customHeight="1">
      <c r="A399" s="6" t="s">
        <v>1741</v>
      </c>
      <c r="B399" s="6" t="s">
        <v>84</v>
      </c>
      <c r="C399" s="6" t="s">
        <v>41</v>
      </c>
      <c r="D399" s="6" t="s">
        <v>1655</v>
      </c>
      <c r="E399" s="6" t="s">
        <v>766</v>
      </c>
      <c r="F399" s="6" t="s">
        <v>181</v>
      </c>
      <c r="G399" s="6" t="s">
        <v>77</v>
      </c>
      <c r="H399" s="6" t="s">
        <v>1742</v>
      </c>
      <c r="I399" s="6" t="s">
        <v>295</v>
      </c>
      <c r="J399" s="6" t="s">
        <v>296</v>
      </c>
      <c r="K399" s="6" t="s">
        <v>47</v>
      </c>
      <c r="L399" s="6" t="s">
        <v>48</v>
      </c>
      <c r="M399" s="6">
        <v>19</v>
      </c>
      <c r="N399" s="6">
        <v>12000</v>
      </c>
      <c r="O399" s="6">
        <v>0</v>
      </c>
      <c r="P399" s="6">
        <v>228000</v>
      </c>
      <c r="Q399" s="6">
        <v>4</v>
      </c>
      <c r="R399" s="6" t="s">
        <v>89</v>
      </c>
      <c r="S399" s="6" t="s">
        <v>62</v>
      </c>
      <c r="T399" s="6" t="s">
        <v>90</v>
      </c>
      <c r="U399" s="7" t="s">
        <v>1743</v>
      </c>
      <c r="V399" s="6" t="s">
        <v>65</v>
      </c>
      <c r="W399" t="str">
        <f t="shared" si="6"/>
        <v>Blacklisted</v>
      </c>
    </row>
    <row r="400" spans="1:23" ht="14.25" customHeight="1">
      <c r="A400" s="3" t="s">
        <v>1744</v>
      </c>
      <c r="B400" s="3" t="s">
        <v>328</v>
      </c>
      <c r="C400" s="3" t="s">
        <v>185</v>
      </c>
      <c r="D400" s="3"/>
      <c r="E400" s="3" t="s">
        <v>1226</v>
      </c>
      <c r="F400" s="3" t="s">
        <v>395</v>
      </c>
      <c r="G400" s="3" t="s">
        <v>77</v>
      </c>
      <c r="H400" s="3" t="s">
        <v>1745</v>
      </c>
      <c r="I400" s="3" t="s">
        <v>60</v>
      </c>
      <c r="J400" s="3" t="s">
        <v>32</v>
      </c>
      <c r="K400" s="3" t="s">
        <v>47</v>
      </c>
      <c r="L400" s="3" t="s">
        <v>190</v>
      </c>
      <c r="M400" s="3">
        <v>12</v>
      </c>
      <c r="N400" s="3">
        <v>700</v>
      </c>
      <c r="O400" s="3">
        <v>15</v>
      </c>
      <c r="P400" s="3">
        <v>7140</v>
      </c>
      <c r="Q400" s="3">
        <v>3</v>
      </c>
      <c r="R400" s="3" t="s">
        <v>80</v>
      </c>
      <c r="S400" s="3" t="s">
        <v>36</v>
      </c>
      <c r="T400" s="3" t="s">
        <v>333</v>
      </c>
      <c r="U400" s="5" t="s">
        <v>1746</v>
      </c>
      <c r="V400" s="3" t="s">
        <v>39</v>
      </c>
      <c r="W400" t="str">
        <f t="shared" si="6"/>
        <v>Silver</v>
      </c>
    </row>
    <row r="401" spans="1:23" ht="14.25" customHeight="1">
      <c r="A401" s="6" t="s">
        <v>1747</v>
      </c>
      <c r="B401" s="6" t="s">
        <v>24</v>
      </c>
      <c r="C401" s="6" t="s">
        <v>73</v>
      </c>
      <c r="D401" s="6" t="s">
        <v>1748</v>
      </c>
      <c r="E401" s="6" t="s">
        <v>708</v>
      </c>
      <c r="F401" s="6" t="s">
        <v>28</v>
      </c>
      <c r="G401" s="6" t="s">
        <v>29</v>
      </c>
      <c r="H401" s="6" t="s">
        <v>1749</v>
      </c>
      <c r="I401" s="6" t="s">
        <v>45</v>
      </c>
      <c r="J401" s="6" t="s">
        <v>46</v>
      </c>
      <c r="K401" s="6" t="s">
        <v>47</v>
      </c>
      <c r="L401" s="6" t="s">
        <v>79</v>
      </c>
      <c r="M401" s="6">
        <v>16</v>
      </c>
      <c r="N401" s="6">
        <v>1200</v>
      </c>
      <c r="O401" s="6">
        <v>20</v>
      </c>
      <c r="P401" s="6">
        <v>15360</v>
      </c>
      <c r="Q401" s="6">
        <v>1</v>
      </c>
      <c r="R401" s="6" t="s">
        <v>35</v>
      </c>
      <c r="S401" s="6" t="s">
        <v>50</v>
      </c>
      <c r="T401" s="6" t="s">
        <v>51</v>
      </c>
      <c r="U401" s="7" t="s">
        <v>1750</v>
      </c>
      <c r="V401" s="6" t="s">
        <v>65</v>
      </c>
      <c r="W401" t="str">
        <f t="shared" si="6"/>
        <v>Blacklisted</v>
      </c>
    </row>
    <row r="402" spans="1:23" ht="14.25" customHeight="1">
      <c r="A402" s="3" t="s">
        <v>1751</v>
      </c>
      <c r="B402" s="3" t="s">
        <v>72</v>
      </c>
      <c r="C402" s="3" t="s">
        <v>170</v>
      </c>
      <c r="D402" s="3" t="s">
        <v>1053</v>
      </c>
      <c r="E402" s="3" t="s">
        <v>85</v>
      </c>
      <c r="F402" s="3" t="s">
        <v>218</v>
      </c>
      <c r="G402" s="3" t="s">
        <v>77</v>
      </c>
      <c r="H402" s="3" t="s">
        <v>1752</v>
      </c>
      <c r="I402" s="3" t="s">
        <v>31</v>
      </c>
      <c r="J402" s="3" t="s">
        <v>32</v>
      </c>
      <c r="K402" s="3" t="s">
        <v>33</v>
      </c>
      <c r="L402" s="3" t="s">
        <v>175</v>
      </c>
      <c r="M402" s="3">
        <v>10</v>
      </c>
      <c r="N402" s="3">
        <v>8500</v>
      </c>
      <c r="O402" s="3">
        <v>5</v>
      </c>
      <c r="P402" s="3">
        <v>80750</v>
      </c>
      <c r="Q402" s="3">
        <v>5</v>
      </c>
      <c r="R402" s="3" t="s">
        <v>49</v>
      </c>
      <c r="S402" s="3" t="s">
        <v>36</v>
      </c>
      <c r="T402" s="3" t="s">
        <v>81</v>
      </c>
      <c r="U402" s="5" t="s">
        <v>1753</v>
      </c>
      <c r="V402" s="3" t="s">
        <v>39</v>
      </c>
      <c r="W402" t="str">
        <f t="shared" si="6"/>
        <v>Gold</v>
      </c>
    </row>
    <row r="403" spans="1:23" ht="14.25" customHeight="1">
      <c r="A403" s="6" t="s">
        <v>1754</v>
      </c>
      <c r="B403" s="6" t="s">
        <v>24</v>
      </c>
      <c r="C403" s="6" t="s">
        <v>223</v>
      </c>
      <c r="D403" s="6" t="s">
        <v>1374</v>
      </c>
      <c r="E403" s="6" t="s">
        <v>387</v>
      </c>
      <c r="F403" s="6" t="s">
        <v>28</v>
      </c>
      <c r="G403" s="6" t="s">
        <v>29</v>
      </c>
      <c r="H403" s="6" t="s">
        <v>1755</v>
      </c>
      <c r="I403" s="6" t="s">
        <v>139</v>
      </c>
      <c r="J403" s="6" t="s">
        <v>107</v>
      </c>
      <c r="K403" s="6" t="s">
        <v>123</v>
      </c>
      <c r="L403" s="6" t="s">
        <v>228</v>
      </c>
      <c r="M403" s="6">
        <v>18</v>
      </c>
      <c r="N403" s="6">
        <v>20</v>
      </c>
      <c r="O403" s="6">
        <v>20</v>
      </c>
      <c r="P403" s="6">
        <v>288</v>
      </c>
      <c r="Q403" s="6">
        <v>1</v>
      </c>
      <c r="R403" s="6" t="s">
        <v>89</v>
      </c>
      <c r="S403" s="6" t="s">
        <v>36</v>
      </c>
      <c r="T403" s="6" t="s">
        <v>51</v>
      </c>
      <c r="U403" s="7" t="s">
        <v>1756</v>
      </c>
      <c r="V403" s="6" t="s">
        <v>65</v>
      </c>
      <c r="W403" t="str">
        <f t="shared" si="6"/>
        <v>Blacklisted</v>
      </c>
    </row>
    <row r="404" spans="1:23" ht="14.25" customHeight="1">
      <c r="A404" s="3" t="s">
        <v>1757</v>
      </c>
      <c r="B404" s="3" t="s">
        <v>72</v>
      </c>
      <c r="C404" s="3" t="s">
        <v>170</v>
      </c>
      <c r="D404" s="3" t="s">
        <v>242</v>
      </c>
      <c r="E404" s="3" t="s">
        <v>405</v>
      </c>
      <c r="F404" s="3" t="s">
        <v>218</v>
      </c>
      <c r="G404" s="3" t="s">
        <v>77</v>
      </c>
      <c r="H404" s="3" t="s">
        <v>1758</v>
      </c>
      <c r="I404" s="3" t="s">
        <v>106</v>
      </c>
      <c r="J404" s="3" t="s">
        <v>107</v>
      </c>
      <c r="K404" s="3" t="s">
        <v>33</v>
      </c>
      <c r="L404" s="3" t="s">
        <v>175</v>
      </c>
      <c r="M404" s="3">
        <v>9</v>
      </c>
      <c r="N404" s="3">
        <v>8500</v>
      </c>
      <c r="O404" s="3">
        <v>0</v>
      </c>
      <c r="P404" s="3">
        <v>76500</v>
      </c>
      <c r="Q404" s="3">
        <v>2</v>
      </c>
      <c r="R404" s="3" t="s">
        <v>80</v>
      </c>
      <c r="S404" s="3" t="s">
        <v>36</v>
      </c>
      <c r="T404" s="3" t="s">
        <v>81</v>
      </c>
      <c r="U404" s="5" t="s">
        <v>1759</v>
      </c>
      <c r="V404" s="3" t="s">
        <v>65</v>
      </c>
      <c r="W404" t="str">
        <f t="shared" si="6"/>
        <v>Blacklisted</v>
      </c>
    </row>
    <row r="405" spans="1:23" ht="14.25" customHeight="1">
      <c r="A405" s="6" t="s">
        <v>1760</v>
      </c>
      <c r="B405" s="6" t="s">
        <v>24</v>
      </c>
      <c r="C405" s="6" t="s">
        <v>170</v>
      </c>
      <c r="D405" s="6" t="s">
        <v>1222</v>
      </c>
      <c r="E405" s="6" t="s">
        <v>1761</v>
      </c>
      <c r="F405" s="6" t="s">
        <v>28</v>
      </c>
      <c r="G405" s="6" t="s">
        <v>29</v>
      </c>
      <c r="H405" s="6" t="s">
        <v>1762</v>
      </c>
      <c r="I405" s="6" t="s">
        <v>106</v>
      </c>
      <c r="J405" s="6" t="s">
        <v>107</v>
      </c>
      <c r="K405" s="6" t="s">
        <v>33</v>
      </c>
      <c r="L405" s="6" t="s">
        <v>175</v>
      </c>
      <c r="M405" s="6">
        <v>8</v>
      </c>
      <c r="N405" s="6">
        <v>8500</v>
      </c>
      <c r="O405" s="6">
        <v>10</v>
      </c>
      <c r="P405" s="6">
        <v>61200</v>
      </c>
      <c r="Q405" s="6">
        <v>4</v>
      </c>
      <c r="R405" s="6" t="s">
        <v>35</v>
      </c>
      <c r="S405" s="6" t="s">
        <v>116</v>
      </c>
      <c r="T405" s="6" t="s">
        <v>51</v>
      </c>
      <c r="U405" s="7" t="s">
        <v>1763</v>
      </c>
      <c r="V405" s="6" t="s">
        <v>70</v>
      </c>
      <c r="W405" t="str">
        <f t="shared" si="6"/>
        <v>Blacklisted</v>
      </c>
    </row>
    <row r="406" spans="1:23" ht="14.25" customHeight="1">
      <c r="A406" s="3" t="s">
        <v>1764</v>
      </c>
      <c r="B406" s="3" t="s">
        <v>54</v>
      </c>
      <c r="C406" s="3" t="s">
        <v>223</v>
      </c>
      <c r="D406" s="3" t="s">
        <v>484</v>
      </c>
      <c r="E406" s="3" t="s">
        <v>1765</v>
      </c>
      <c r="F406" s="3" t="s">
        <v>164</v>
      </c>
      <c r="G406" s="3" t="s">
        <v>29</v>
      </c>
      <c r="H406" s="3" t="s">
        <v>1766</v>
      </c>
      <c r="I406" s="3" t="s">
        <v>115</v>
      </c>
      <c r="J406" s="3" t="s">
        <v>107</v>
      </c>
      <c r="K406" s="3" t="s">
        <v>123</v>
      </c>
      <c r="L406" s="3" t="s">
        <v>228</v>
      </c>
      <c r="M406" s="3">
        <v>3</v>
      </c>
      <c r="N406" s="3">
        <v>20</v>
      </c>
      <c r="O406" s="3">
        <v>10</v>
      </c>
      <c r="P406" s="3">
        <v>54</v>
      </c>
      <c r="Q406" s="3">
        <v>3</v>
      </c>
      <c r="R406" s="3" t="s">
        <v>80</v>
      </c>
      <c r="S406" s="3" t="s">
        <v>152</v>
      </c>
      <c r="T406" s="3" t="s">
        <v>63</v>
      </c>
      <c r="U406" s="5" t="s">
        <v>1767</v>
      </c>
      <c r="V406" s="3" t="s">
        <v>65</v>
      </c>
      <c r="W406" t="str">
        <f t="shared" si="6"/>
        <v>Blacklisted</v>
      </c>
    </row>
    <row r="407" spans="1:23" ht="14.25" customHeight="1">
      <c r="A407" s="6" t="s">
        <v>1768</v>
      </c>
      <c r="B407" s="6" t="s">
        <v>169</v>
      </c>
      <c r="C407" s="6" t="s">
        <v>170</v>
      </c>
      <c r="D407" s="6" t="s">
        <v>233</v>
      </c>
      <c r="E407" s="6" t="s">
        <v>642</v>
      </c>
      <c r="F407" s="6" t="s">
        <v>362</v>
      </c>
      <c r="G407" s="6" t="s">
        <v>29</v>
      </c>
      <c r="H407" s="6" t="s">
        <v>1769</v>
      </c>
      <c r="I407" s="6" t="s">
        <v>295</v>
      </c>
      <c r="J407" s="6" t="s">
        <v>296</v>
      </c>
      <c r="K407" s="6" t="s">
        <v>33</v>
      </c>
      <c r="L407" s="6" t="s">
        <v>175</v>
      </c>
      <c r="M407" s="6">
        <v>18</v>
      </c>
      <c r="N407" s="6">
        <v>8500</v>
      </c>
      <c r="O407" s="6">
        <v>10</v>
      </c>
      <c r="P407" s="6">
        <v>137700</v>
      </c>
      <c r="Q407" s="6">
        <v>4</v>
      </c>
      <c r="R407" s="6" t="s">
        <v>35</v>
      </c>
      <c r="S407" s="6" t="s">
        <v>50</v>
      </c>
      <c r="T407" s="6" t="s">
        <v>176</v>
      </c>
      <c r="U407" s="7" t="s">
        <v>1770</v>
      </c>
      <c r="V407" s="6" t="s">
        <v>70</v>
      </c>
      <c r="W407" t="str">
        <f t="shared" si="6"/>
        <v>Blacklisted</v>
      </c>
    </row>
    <row r="408" spans="1:23" ht="14.25" customHeight="1">
      <c r="A408" s="3" t="s">
        <v>1771</v>
      </c>
      <c r="B408" s="3" t="s">
        <v>54</v>
      </c>
      <c r="C408" s="3" t="s">
        <v>260</v>
      </c>
      <c r="D408" s="3" t="s">
        <v>309</v>
      </c>
      <c r="E408" s="3" t="s">
        <v>282</v>
      </c>
      <c r="F408" s="3" t="s">
        <v>164</v>
      </c>
      <c r="G408" s="3" t="s">
        <v>29</v>
      </c>
      <c r="H408" s="3" t="s">
        <v>1772</v>
      </c>
      <c r="I408" s="3" t="s">
        <v>115</v>
      </c>
      <c r="J408" s="3" t="s">
        <v>107</v>
      </c>
      <c r="K408" s="3" t="s">
        <v>123</v>
      </c>
      <c r="L408" s="3" t="s">
        <v>264</v>
      </c>
      <c r="M408" s="3">
        <v>5</v>
      </c>
      <c r="N408" s="3">
        <v>45</v>
      </c>
      <c r="O408" s="3">
        <v>10</v>
      </c>
      <c r="P408" s="3">
        <v>202.5</v>
      </c>
      <c r="Q408" s="3">
        <v>3</v>
      </c>
      <c r="R408" s="3" t="s">
        <v>35</v>
      </c>
      <c r="S408" s="3" t="s">
        <v>116</v>
      </c>
      <c r="T408" s="3" t="s">
        <v>63</v>
      </c>
      <c r="U408" s="5" t="s">
        <v>1773</v>
      </c>
      <c r="V408" s="3" t="s">
        <v>65</v>
      </c>
      <c r="W408" t="str">
        <f t="shared" si="6"/>
        <v>Blacklisted</v>
      </c>
    </row>
    <row r="409" spans="1:23" ht="14.25" customHeight="1">
      <c r="A409" s="6" t="s">
        <v>1774</v>
      </c>
      <c r="B409" s="6" t="s">
        <v>72</v>
      </c>
      <c r="C409" s="6" t="s">
        <v>260</v>
      </c>
      <c r="D409" s="6" t="s">
        <v>684</v>
      </c>
      <c r="E409" s="6" t="s">
        <v>685</v>
      </c>
      <c r="F409" s="6" t="s">
        <v>218</v>
      </c>
      <c r="G409" s="6" t="s">
        <v>77</v>
      </c>
      <c r="H409" s="6" t="s">
        <v>1775</v>
      </c>
      <c r="I409" s="6" t="s">
        <v>106</v>
      </c>
      <c r="J409" s="6" t="s">
        <v>107</v>
      </c>
      <c r="K409" s="6" t="s">
        <v>123</v>
      </c>
      <c r="L409" s="6" t="s">
        <v>264</v>
      </c>
      <c r="M409" s="6">
        <v>2</v>
      </c>
      <c r="N409" s="6">
        <v>45</v>
      </c>
      <c r="O409" s="6">
        <v>20</v>
      </c>
      <c r="P409" s="6">
        <v>72</v>
      </c>
      <c r="Q409" s="6">
        <v>5</v>
      </c>
      <c r="R409" s="6" t="s">
        <v>89</v>
      </c>
      <c r="S409" s="6" t="s">
        <v>62</v>
      </c>
      <c r="T409" s="6" t="s">
        <v>81</v>
      </c>
      <c r="U409" s="7" t="s">
        <v>1776</v>
      </c>
      <c r="V409" s="6" t="s">
        <v>70</v>
      </c>
      <c r="W409" t="str">
        <f t="shared" si="6"/>
        <v>Blacklisted</v>
      </c>
    </row>
    <row r="410" spans="1:23" ht="14.25" customHeight="1">
      <c r="A410" s="3" t="s">
        <v>1777</v>
      </c>
      <c r="B410" s="3" t="s">
        <v>101</v>
      </c>
      <c r="C410" s="3" t="s">
        <v>260</v>
      </c>
      <c r="D410" s="3" t="s">
        <v>1380</v>
      </c>
      <c r="E410" s="3" t="s">
        <v>901</v>
      </c>
      <c r="F410" s="3" t="s">
        <v>104</v>
      </c>
      <c r="G410" s="3" t="s">
        <v>29</v>
      </c>
      <c r="H410" s="3" t="s">
        <v>1778</v>
      </c>
      <c r="I410" s="3" t="s">
        <v>31</v>
      </c>
      <c r="J410" s="3" t="s">
        <v>32</v>
      </c>
      <c r="K410" s="3" t="s">
        <v>123</v>
      </c>
      <c r="L410" s="3" t="s">
        <v>264</v>
      </c>
      <c r="M410" s="3">
        <v>18</v>
      </c>
      <c r="N410" s="3">
        <v>45</v>
      </c>
      <c r="O410" s="3">
        <v>10</v>
      </c>
      <c r="P410" s="3">
        <v>729</v>
      </c>
      <c r="Q410" s="3">
        <v>2</v>
      </c>
      <c r="R410" s="3" t="s">
        <v>49</v>
      </c>
      <c r="S410" s="3" t="s">
        <v>116</v>
      </c>
      <c r="T410" s="3" t="s">
        <v>145</v>
      </c>
      <c r="U410" s="5" t="s">
        <v>1779</v>
      </c>
      <c r="V410" s="3" t="s">
        <v>65</v>
      </c>
      <c r="W410" t="str">
        <f t="shared" si="6"/>
        <v>Blacklisted</v>
      </c>
    </row>
    <row r="411" spans="1:23" ht="14.25" customHeight="1">
      <c r="A411" s="6" t="s">
        <v>1780</v>
      </c>
      <c r="B411" s="6" t="s">
        <v>128</v>
      </c>
      <c r="C411" s="6" t="s">
        <v>73</v>
      </c>
      <c r="D411" s="6" t="s">
        <v>464</v>
      </c>
      <c r="E411" s="6" t="s">
        <v>217</v>
      </c>
      <c r="F411" s="6" t="s">
        <v>201</v>
      </c>
      <c r="G411" s="6" t="s">
        <v>77</v>
      </c>
      <c r="H411" s="6" t="s">
        <v>1781</v>
      </c>
      <c r="I411" s="6" t="s">
        <v>295</v>
      </c>
      <c r="J411" s="6" t="s">
        <v>296</v>
      </c>
      <c r="K411" s="6" t="s">
        <v>47</v>
      </c>
      <c r="L411" s="6" t="s">
        <v>79</v>
      </c>
      <c r="M411" s="6">
        <v>13</v>
      </c>
      <c r="N411" s="6">
        <v>1200</v>
      </c>
      <c r="O411" s="6">
        <v>5</v>
      </c>
      <c r="P411" s="6">
        <v>14820</v>
      </c>
      <c r="Q411" s="6">
        <v>4</v>
      </c>
      <c r="R411" s="6" t="s">
        <v>80</v>
      </c>
      <c r="S411" s="6" t="s">
        <v>116</v>
      </c>
      <c r="T411" s="6" t="s">
        <v>133</v>
      </c>
      <c r="U411" s="7" t="s">
        <v>1782</v>
      </c>
      <c r="V411" s="6" t="s">
        <v>39</v>
      </c>
      <c r="W411" t="str">
        <f t="shared" si="6"/>
        <v>Silver</v>
      </c>
    </row>
    <row r="412" spans="1:23" ht="14.25" customHeight="1">
      <c r="A412" s="3" t="s">
        <v>1783</v>
      </c>
      <c r="B412" s="3" t="s">
        <v>24</v>
      </c>
      <c r="C412" s="3" t="s">
        <v>223</v>
      </c>
      <c r="D412" s="3" t="s">
        <v>1345</v>
      </c>
      <c r="E412" s="3" t="s">
        <v>1784</v>
      </c>
      <c r="F412" s="3" t="s">
        <v>28</v>
      </c>
      <c r="G412" s="3" t="s">
        <v>29</v>
      </c>
      <c r="H412" s="3" t="s">
        <v>1785</v>
      </c>
      <c r="I412" s="3" t="s">
        <v>31</v>
      </c>
      <c r="J412" s="3" t="s">
        <v>32</v>
      </c>
      <c r="K412" s="3" t="s">
        <v>123</v>
      </c>
      <c r="L412" s="3" t="s">
        <v>228</v>
      </c>
      <c r="M412" s="3">
        <v>14</v>
      </c>
      <c r="N412" s="3">
        <v>20</v>
      </c>
      <c r="O412" s="3">
        <v>20</v>
      </c>
      <c r="P412" s="3">
        <v>224</v>
      </c>
      <c r="Q412" s="3">
        <v>5</v>
      </c>
      <c r="R412" s="3" t="s">
        <v>89</v>
      </c>
      <c r="S412" s="3" t="s">
        <v>50</v>
      </c>
      <c r="T412" s="3" t="s">
        <v>51</v>
      </c>
      <c r="U412" s="5" t="s">
        <v>1786</v>
      </c>
      <c r="V412" s="3" t="s">
        <v>65</v>
      </c>
      <c r="W412" t="str">
        <f t="shared" si="6"/>
        <v>Blacklisted</v>
      </c>
    </row>
    <row r="413" spans="1:23" ht="14.25" customHeight="1">
      <c r="A413" s="6" t="s">
        <v>1787</v>
      </c>
      <c r="B413" s="6" t="s">
        <v>101</v>
      </c>
      <c r="C413" s="6" t="s">
        <v>93</v>
      </c>
      <c r="D413" s="6" t="s">
        <v>1788</v>
      </c>
      <c r="E413" s="6" t="s">
        <v>1690</v>
      </c>
      <c r="F413" s="6" t="s">
        <v>104</v>
      </c>
      <c r="G413" s="6" t="s">
        <v>29</v>
      </c>
      <c r="H413" s="6" t="s">
        <v>1789</v>
      </c>
      <c r="I413" s="6" t="s">
        <v>31</v>
      </c>
      <c r="J413" s="6" t="s">
        <v>32</v>
      </c>
      <c r="K413" s="6" t="s">
        <v>33</v>
      </c>
      <c r="L413" s="6" t="s">
        <v>98</v>
      </c>
      <c r="M413" s="6">
        <v>16</v>
      </c>
      <c r="N413" s="6">
        <v>3500</v>
      </c>
      <c r="O413" s="6">
        <v>15</v>
      </c>
      <c r="P413" s="6">
        <v>47600</v>
      </c>
      <c r="Q413" s="6">
        <v>3</v>
      </c>
      <c r="R413" s="6" t="s">
        <v>89</v>
      </c>
      <c r="S413" s="6" t="s">
        <v>62</v>
      </c>
      <c r="T413" s="6" t="s">
        <v>145</v>
      </c>
      <c r="U413" s="7" t="s">
        <v>1790</v>
      </c>
      <c r="V413" s="6" t="s">
        <v>70</v>
      </c>
      <c r="W413" t="str">
        <f t="shared" si="6"/>
        <v>Blacklisted</v>
      </c>
    </row>
    <row r="414" spans="1:23" ht="14.25" customHeight="1">
      <c r="A414" s="3" t="s">
        <v>1791</v>
      </c>
      <c r="B414" s="3" t="s">
        <v>252</v>
      </c>
      <c r="C414" s="3" t="s">
        <v>223</v>
      </c>
      <c r="D414" s="3" t="s">
        <v>988</v>
      </c>
      <c r="E414" s="3" t="s">
        <v>1111</v>
      </c>
      <c r="F414" s="3" t="s">
        <v>255</v>
      </c>
      <c r="G414" s="3" t="s">
        <v>29</v>
      </c>
      <c r="H414" s="3" t="s">
        <v>1792</v>
      </c>
      <c r="I414" s="3" t="s">
        <v>60</v>
      </c>
      <c r="J414" s="3" t="s">
        <v>32</v>
      </c>
      <c r="K414" s="3" t="s">
        <v>123</v>
      </c>
      <c r="L414" s="3" t="s">
        <v>228</v>
      </c>
      <c r="M414" s="3">
        <v>20</v>
      </c>
      <c r="N414" s="3">
        <v>20</v>
      </c>
      <c r="O414" s="3">
        <v>15</v>
      </c>
      <c r="P414" s="3">
        <v>340</v>
      </c>
      <c r="Q414" s="3">
        <v>1</v>
      </c>
      <c r="R414" s="3" t="s">
        <v>49</v>
      </c>
      <c r="S414" s="3" t="s">
        <v>62</v>
      </c>
      <c r="T414" s="3" t="s">
        <v>257</v>
      </c>
      <c r="U414" s="5" t="s">
        <v>1793</v>
      </c>
      <c r="V414" s="3" t="s">
        <v>70</v>
      </c>
      <c r="W414" t="str">
        <f t="shared" si="6"/>
        <v>Blacklisted</v>
      </c>
    </row>
    <row r="415" spans="1:23" ht="14.25" customHeight="1">
      <c r="A415" s="6" t="s">
        <v>1794</v>
      </c>
      <c r="B415" s="6" t="s">
        <v>169</v>
      </c>
      <c r="C415" s="6" t="s">
        <v>55</v>
      </c>
      <c r="D415" s="6" t="s">
        <v>653</v>
      </c>
      <c r="E415" s="6" t="s">
        <v>667</v>
      </c>
      <c r="F415" s="6" t="s">
        <v>362</v>
      </c>
      <c r="G415" s="6" t="s">
        <v>29</v>
      </c>
      <c r="H415" s="6" t="s">
        <v>1795</v>
      </c>
      <c r="I415" s="6" t="s">
        <v>139</v>
      </c>
      <c r="J415" s="6" t="s">
        <v>107</v>
      </c>
      <c r="K415" s="6" t="s">
        <v>47</v>
      </c>
      <c r="L415" s="6" t="s">
        <v>61</v>
      </c>
      <c r="M415" s="6">
        <v>1</v>
      </c>
      <c r="N415" s="6">
        <v>55000</v>
      </c>
      <c r="O415" s="6">
        <v>15</v>
      </c>
      <c r="P415" s="6">
        <v>46750</v>
      </c>
      <c r="Q415" s="6">
        <v>2</v>
      </c>
      <c r="R415" s="6" t="s">
        <v>89</v>
      </c>
      <c r="S415" s="6" t="s">
        <v>116</v>
      </c>
      <c r="T415" s="6" t="s">
        <v>176</v>
      </c>
      <c r="U415" s="7" t="s">
        <v>1796</v>
      </c>
      <c r="V415" s="6" t="s">
        <v>70</v>
      </c>
      <c r="W415" t="str">
        <f t="shared" si="6"/>
        <v>Blacklisted</v>
      </c>
    </row>
    <row r="416" spans="1:23" ht="14.25" customHeight="1">
      <c r="A416" s="3" t="s">
        <v>1797</v>
      </c>
      <c r="B416" s="3" t="s">
        <v>101</v>
      </c>
      <c r="C416" s="3" t="s">
        <v>119</v>
      </c>
      <c r="D416" s="3" t="s">
        <v>143</v>
      </c>
      <c r="E416" s="3" t="s">
        <v>621</v>
      </c>
      <c r="F416" s="3" t="s">
        <v>104</v>
      </c>
      <c r="G416" s="3" t="s">
        <v>29</v>
      </c>
      <c r="H416" s="3" t="s">
        <v>1798</v>
      </c>
      <c r="I416" s="3" t="s">
        <v>139</v>
      </c>
      <c r="J416" s="3" t="s">
        <v>107</v>
      </c>
      <c r="K416" s="3" t="s">
        <v>123</v>
      </c>
      <c r="L416" s="3" t="s">
        <v>124</v>
      </c>
      <c r="M416" s="3">
        <v>15</v>
      </c>
      <c r="N416" s="3">
        <v>60</v>
      </c>
      <c r="O416" s="3">
        <v>5</v>
      </c>
      <c r="P416" s="3">
        <v>855</v>
      </c>
      <c r="Q416" s="3">
        <v>4</v>
      </c>
      <c r="R416" s="3" t="s">
        <v>49</v>
      </c>
      <c r="S416" s="3" t="s">
        <v>62</v>
      </c>
      <c r="T416" s="3" t="s">
        <v>145</v>
      </c>
      <c r="U416" s="5" t="s">
        <v>1799</v>
      </c>
      <c r="V416" s="3" t="s">
        <v>39</v>
      </c>
      <c r="W416" t="str">
        <f t="shared" si="6"/>
        <v>Silver</v>
      </c>
    </row>
    <row r="417" spans="1:23" ht="14.25" customHeight="1">
      <c r="A417" s="6" t="s">
        <v>1800</v>
      </c>
      <c r="B417" s="6" t="s">
        <v>84</v>
      </c>
      <c r="C417" s="6" t="s">
        <v>185</v>
      </c>
      <c r="D417" s="6" t="s">
        <v>1801</v>
      </c>
      <c r="E417" s="6" t="s">
        <v>67</v>
      </c>
      <c r="F417" s="6" t="s">
        <v>181</v>
      </c>
      <c r="G417" s="6" t="s">
        <v>77</v>
      </c>
      <c r="H417" s="6" t="s">
        <v>1802</v>
      </c>
      <c r="I417" s="6" t="s">
        <v>106</v>
      </c>
      <c r="J417" s="6" t="s">
        <v>107</v>
      </c>
      <c r="K417" s="6" t="s">
        <v>47</v>
      </c>
      <c r="L417" s="6" t="s">
        <v>190</v>
      </c>
      <c r="M417" s="6">
        <v>15</v>
      </c>
      <c r="N417" s="6">
        <v>700</v>
      </c>
      <c r="O417" s="6">
        <v>0</v>
      </c>
      <c r="P417" s="6">
        <v>10500</v>
      </c>
      <c r="Q417" s="6">
        <v>5</v>
      </c>
      <c r="R417" s="6" t="s">
        <v>49</v>
      </c>
      <c r="S417" s="6" t="s">
        <v>116</v>
      </c>
      <c r="T417" s="6" t="s">
        <v>90</v>
      </c>
      <c r="U417" s="7" t="s">
        <v>1803</v>
      </c>
      <c r="V417" s="6" t="s">
        <v>39</v>
      </c>
      <c r="W417" t="str">
        <f t="shared" si="6"/>
        <v>Silver</v>
      </c>
    </row>
    <row r="418" spans="1:23" ht="14.25" customHeight="1">
      <c r="A418" s="3" t="s">
        <v>1804</v>
      </c>
      <c r="B418" s="3" t="s">
        <v>222</v>
      </c>
      <c r="C418" s="3" t="s">
        <v>41</v>
      </c>
      <c r="D418" s="3" t="s">
        <v>1200</v>
      </c>
      <c r="E418" s="3" t="s">
        <v>441</v>
      </c>
      <c r="F418" s="3" t="s">
        <v>226</v>
      </c>
      <c r="G418" s="3" t="s">
        <v>77</v>
      </c>
      <c r="H418" s="3" t="s">
        <v>1805</v>
      </c>
      <c r="I418" s="3" t="s">
        <v>295</v>
      </c>
      <c r="J418" s="3" t="s">
        <v>296</v>
      </c>
      <c r="K418" s="3" t="s">
        <v>47</v>
      </c>
      <c r="L418" s="3" t="s">
        <v>48</v>
      </c>
      <c r="M418" s="3">
        <v>13</v>
      </c>
      <c r="N418" s="3">
        <v>12000</v>
      </c>
      <c r="O418" s="3">
        <v>10</v>
      </c>
      <c r="P418" s="3">
        <v>140400</v>
      </c>
      <c r="Q418" s="3">
        <v>1</v>
      </c>
      <c r="R418" s="3" t="s">
        <v>35</v>
      </c>
      <c r="S418" s="3" t="s">
        <v>152</v>
      </c>
      <c r="T418" s="3" t="s">
        <v>229</v>
      </c>
      <c r="U418" s="5" t="s">
        <v>1806</v>
      </c>
      <c r="V418" s="3" t="s">
        <v>70</v>
      </c>
      <c r="W418" t="str">
        <f t="shared" si="6"/>
        <v>Blacklisted</v>
      </c>
    </row>
    <row r="419" spans="1:23" ht="14.25" customHeight="1">
      <c r="A419" s="6" t="s">
        <v>1807</v>
      </c>
      <c r="B419" s="6" t="s">
        <v>84</v>
      </c>
      <c r="C419" s="6" t="s">
        <v>41</v>
      </c>
      <c r="D419" s="6" t="s">
        <v>1808</v>
      </c>
      <c r="E419" s="6" t="s">
        <v>1082</v>
      </c>
      <c r="F419" s="6" t="s">
        <v>181</v>
      </c>
      <c r="G419" s="6" t="s">
        <v>77</v>
      </c>
      <c r="H419" s="6" t="s">
        <v>1809</v>
      </c>
      <c r="I419" s="6" t="s">
        <v>31</v>
      </c>
      <c r="J419" s="6" t="s">
        <v>32</v>
      </c>
      <c r="K419" s="6" t="s">
        <v>47</v>
      </c>
      <c r="L419" s="6" t="s">
        <v>48</v>
      </c>
      <c r="M419" s="6">
        <v>12</v>
      </c>
      <c r="N419" s="6">
        <v>12000</v>
      </c>
      <c r="O419" s="6">
        <v>20</v>
      </c>
      <c r="P419" s="6">
        <v>115200</v>
      </c>
      <c r="Q419" s="6">
        <v>2</v>
      </c>
      <c r="R419" s="6" t="s">
        <v>35</v>
      </c>
      <c r="S419" s="6" t="s">
        <v>36</v>
      </c>
      <c r="T419" s="6" t="s">
        <v>90</v>
      </c>
      <c r="U419" s="7" t="s">
        <v>1810</v>
      </c>
      <c r="V419" s="6" t="s">
        <v>39</v>
      </c>
      <c r="W419" t="str">
        <f t="shared" si="6"/>
        <v>Blacklisted</v>
      </c>
    </row>
    <row r="420" spans="1:23" ht="14.25" customHeight="1">
      <c r="A420" s="3" t="s">
        <v>1811</v>
      </c>
      <c r="B420" s="3" t="s">
        <v>84</v>
      </c>
      <c r="C420" s="3" t="s">
        <v>260</v>
      </c>
      <c r="D420" s="3" t="s">
        <v>120</v>
      </c>
      <c r="E420" s="3" t="s">
        <v>1299</v>
      </c>
      <c r="F420" s="3" t="s">
        <v>181</v>
      </c>
      <c r="G420" s="3" t="s">
        <v>77</v>
      </c>
      <c r="H420" s="3" t="s">
        <v>1812</v>
      </c>
      <c r="I420" s="3" t="s">
        <v>106</v>
      </c>
      <c r="J420" s="3" t="s">
        <v>107</v>
      </c>
      <c r="K420" s="3" t="s">
        <v>123</v>
      </c>
      <c r="L420" s="3" t="s">
        <v>264</v>
      </c>
      <c r="M420" s="3">
        <v>10</v>
      </c>
      <c r="N420" s="3">
        <v>45</v>
      </c>
      <c r="O420" s="3">
        <v>0</v>
      </c>
      <c r="P420" s="3">
        <v>450</v>
      </c>
      <c r="Q420" s="3">
        <v>5</v>
      </c>
      <c r="R420" s="3" t="s">
        <v>80</v>
      </c>
      <c r="S420" s="3" t="s">
        <v>116</v>
      </c>
      <c r="T420" s="3" t="s">
        <v>90</v>
      </c>
      <c r="U420" s="5" t="s">
        <v>1813</v>
      </c>
      <c r="V420" s="3" t="s">
        <v>70</v>
      </c>
      <c r="W420" t="str">
        <f t="shared" si="6"/>
        <v>Blacklisted</v>
      </c>
    </row>
    <row r="421" spans="1:23" ht="14.25" customHeight="1">
      <c r="A421" s="6" t="s">
        <v>1814</v>
      </c>
      <c r="B421" s="6" t="s">
        <v>128</v>
      </c>
      <c r="C421" s="6" t="s">
        <v>73</v>
      </c>
      <c r="D421" s="6" t="s">
        <v>42</v>
      </c>
      <c r="E421" s="6" t="s">
        <v>597</v>
      </c>
      <c r="F421" s="6" t="s">
        <v>201</v>
      </c>
      <c r="G421" s="6" t="s">
        <v>77</v>
      </c>
      <c r="H421" s="6" t="s">
        <v>1815</v>
      </c>
      <c r="I421" s="6" t="s">
        <v>106</v>
      </c>
      <c r="J421" s="6" t="s">
        <v>107</v>
      </c>
      <c r="K421" s="6" t="s">
        <v>47</v>
      </c>
      <c r="L421" s="6" t="s">
        <v>79</v>
      </c>
      <c r="M421" s="6">
        <v>20</v>
      </c>
      <c r="N421" s="6">
        <v>1200</v>
      </c>
      <c r="O421" s="6">
        <v>20</v>
      </c>
      <c r="P421" s="6">
        <v>19200</v>
      </c>
      <c r="Q421" s="6">
        <v>5</v>
      </c>
      <c r="R421" s="6" t="s">
        <v>49</v>
      </c>
      <c r="S421" s="6" t="s">
        <v>62</v>
      </c>
      <c r="T421" s="6" t="s">
        <v>133</v>
      </c>
      <c r="U421" s="7" t="s">
        <v>1816</v>
      </c>
      <c r="V421" s="6" t="s">
        <v>70</v>
      </c>
      <c r="W421" t="str">
        <f t="shared" si="6"/>
        <v>Blacklisted</v>
      </c>
    </row>
    <row r="422" spans="1:23" ht="14.25" customHeight="1">
      <c r="A422" s="3" t="s">
        <v>1817</v>
      </c>
      <c r="B422" s="3" t="s">
        <v>72</v>
      </c>
      <c r="C422" s="3" t="s">
        <v>73</v>
      </c>
      <c r="D422" s="3" t="s">
        <v>129</v>
      </c>
      <c r="E422" s="3" t="s">
        <v>1818</v>
      </c>
      <c r="F422" s="3" t="s">
        <v>218</v>
      </c>
      <c r="G422" s="3" t="s">
        <v>77</v>
      </c>
      <c r="H422" s="3" t="s">
        <v>1819</v>
      </c>
      <c r="I422" s="3" t="s">
        <v>115</v>
      </c>
      <c r="J422" s="3" t="s">
        <v>107</v>
      </c>
      <c r="K422" s="3" t="s">
        <v>47</v>
      </c>
      <c r="L422" s="3" t="s">
        <v>79</v>
      </c>
      <c r="M422" s="3">
        <v>8</v>
      </c>
      <c r="N422" s="3">
        <v>1200</v>
      </c>
      <c r="O422" s="3">
        <v>10</v>
      </c>
      <c r="P422" s="3">
        <v>8640</v>
      </c>
      <c r="Q422" s="3">
        <v>4</v>
      </c>
      <c r="R422" s="3" t="s">
        <v>49</v>
      </c>
      <c r="S422" s="3" t="s">
        <v>62</v>
      </c>
      <c r="T422" s="3" t="s">
        <v>81</v>
      </c>
      <c r="U422" s="5" t="s">
        <v>1820</v>
      </c>
      <c r="V422" s="3" t="s">
        <v>39</v>
      </c>
      <c r="W422" t="str">
        <f t="shared" si="6"/>
        <v>Silver</v>
      </c>
    </row>
    <row r="423" spans="1:23" ht="14.25" customHeight="1">
      <c r="A423" s="6" t="s">
        <v>1821</v>
      </c>
      <c r="B423" s="6" t="s">
        <v>128</v>
      </c>
      <c r="C423" s="6" t="s">
        <v>73</v>
      </c>
      <c r="D423" s="6" t="s">
        <v>1086</v>
      </c>
      <c r="E423" s="6" t="s">
        <v>1087</v>
      </c>
      <c r="F423" s="6" t="s">
        <v>201</v>
      </c>
      <c r="G423" s="6" t="s">
        <v>77</v>
      </c>
      <c r="H423" s="6" t="s">
        <v>1822</v>
      </c>
      <c r="I423" s="6" t="s">
        <v>213</v>
      </c>
      <c r="J423" s="6" t="s">
        <v>46</v>
      </c>
      <c r="K423" s="6" t="s">
        <v>47</v>
      </c>
      <c r="L423" s="6" t="s">
        <v>79</v>
      </c>
      <c r="M423" s="6">
        <v>8</v>
      </c>
      <c r="N423" s="6">
        <v>1200</v>
      </c>
      <c r="O423" s="6">
        <v>10</v>
      </c>
      <c r="P423" s="6">
        <v>8640</v>
      </c>
      <c r="Q423" s="6">
        <v>5</v>
      </c>
      <c r="R423" s="6" t="s">
        <v>80</v>
      </c>
      <c r="S423" s="6" t="s">
        <v>50</v>
      </c>
      <c r="T423" s="6" t="s">
        <v>133</v>
      </c>
      <c r="U423" s="7" t="s">
        <v>1823</v>
      </c>
      <c r="V423" s="6" t="s">
        <v>70</v>
      </c>
      <c r="W423" t="str">
        <f t="shared" si="6"/>
        <v>Blacklisted</v>
      </c>
    </row>
    <row r="424" spans="1:23" ht="14.25" customHeight="1">
      <c r="A424" s="3" t="s">
        <v>1824</v>
      </c>
      <c r="B424" s="3" t="s">
        <v>328</v>
      </c>
      <c r="C424" s="3" t="s">
        <v>25</v>
      </c>
      <c r="D424" s="3" t="s">
        <v>1825</v>
      </c>
      <c r="E424" s="3" t="s">
        <v>1445</v>
      </c>
      <c r="F424" s="3" t="s">
        <v>395</v>
      </c>
      <c r="G424" s="3" t="s">
        <v>77</v>
      </c>
      <c r="H424" s="3" t="s">
        <v>1826</v>
      </c>
      <c r="I424" s="3" t="s">
        <v>213</v>
      </c>
      <c r="J424" s="3" t="s">
        <v>46</v>
      </c>
      <c r="K424" s="3" t="s">
        <v>33</v>
      </c>
      <c r="L424" s="3" t="s">
        <v>34</v>
      </c>
      <c r="M424" s="3">
        <v>9</v>
      </c>
      <c r="N424" s="3">
        <v>2200</v>
      </c>
      <c r="O424" s="3">
        <v>20</v>
      </c>
      <c r="P424" s="3">
        <v>15840</v>
      </c>
      <c r="Q424" s="3">
        <v>1</v>
      </c>
      <c r="R424" s="3" t="s">
        <v>49</v>
      </c>
      <c r="S424" s="3" t="s">
        <v>116</v>
      </c>
      <c r="T424" s="3" t="s">
        <v>333</v>
      </c>
      <c r="U424" s="5" t="s">
        <v>1827</v>
      </c>
      <c r="V424" s="3" t="s">
        <v>39</v>
      </c>
      <c r="W424" t="str">
        <f t="shared" si="6"/>
        <v>Blacklisted</v>
      </c>
    </row>
    <row r="425" spans="1:23" ht="14.25" customHeight="1">
      <c r="A425" s="6" t="s">
        <v>1828</v>
      </c>
      <c r="B425" s="6" t="s">
        <v>128</v>
      </c>
      <c r="C425" s="6" t="s">
        <v>223</v>
      </c>
      <c r="D425" s="6" t="s">
        <v>1269</v>
      </c>
      <c r="E425" s="6" t="s">
        <v>761</v>
      </c>
      <c r="F425" s="6" t="s">
        <v>201</v>
      </c>
      <c r="G425" s="6" t="s">
        <v>77</v>
      </c>
      <c r="H425" s="6" t="s">
        <v>1829</v>
      </c>
      <c r="I425" s="6" t="s">
        <v>295</v>
      </c>
      <c r="J425" s="6" t="s">
        <v>296</v>
      </c>
      <c r="K425" s="6" t="s">
        <v>123</v>
      </c>
      <c r="L425" s="6" t="s">
        <v>228</v>
      </c>
      <c r="M425" s="6">
        <v>8</v>
      </c>
      <c r="N425" s="6">
        <v>20</v>
      </c>
      <c r="O425" s="6">
        <v>20</v>
      </c>
      <c r="P425" s="6">
        <v>128</v>
      </c>
      <c r="Q425" s="6">
        <v>4</v>
      </c>
      <c r="R425" s="6" t="s">
        <v>35</v>
      </c>
      <c r="S425" s="6" t="s">
        <v>36</v>
      </c>
      <c r="T425" s="6" t="s">
        <v>133</v>
      </c>
      <c r="U425" s="7" t="s">
        <v>1830</v>
      </c>
      <c r="V425" s="6" t="s">
        <v>70</v>
      </c>
      <c r="W425" t="str">
        <f t="shared" si="6"/>
        <v>Blacklisted</v>
      </c>
    </row>
    <row r="426" spans="1:23" ht="14.25" customHeight="1">
      <c r="A426" s="3" t="s">
        <v>1831</v>
      </c>
      <c r="B426" s="3" t="s">
        <v>222</v>
      </c>
      <c r="C426" s="3" t="s">
        <v>55</v>
      </c>
      <c r="D426" s="3" t="s">
        <v>1177</v>
      </c>
      <c r="E426" s="3" t="s">
        <v>1832</v>
      </c>
      <c r="F426" s="3" t="s">
        <v>226</v>
      </c>
      <c r="G426" s="3" t="s">
        <v>77</v>
      </c>
      <c r="H426" s="3" t="s">
        <v>1007</v>
      </c>
      <c r="I426" s="3" t="s">
        <v>115</v>
      </c>
      <c r="J426" s="3" t="s">
        <v>107</v>
      </c>
      <c r="K426" s="3" t="s">
        <v>47</v>
      </c>
      <c r="L426" s="3" t="s">
        <v>61</v>
      </c>
      <c r="M426" s="3">
        <v>5</v>
      </c>
      <c r="N426" s="3">
        <v>55000</v>
      </c>
      <c r="O426" s="3">
        <v>0</v>
      </c>
      <c r="P426" s="3">
        <v>275000</v>
      </c>
      <c r="Q426" s="3">
        <v>1</v>
      </c>
      <c r="R426" s="3" t="s">
        <v>80</v>
      </c>
      <c r="S426" s="3" t="s">
        <v>116</v>
      </c>
      <c r="T426" s="3" t="s">
        <v>229</v>
      </c>
      <c r="U426" s="5" t="s">
        <v>1833</v>
      </c>
      <c r="V426" s="3" t="s">
        <v>39</v>
      </c>
      <c r="W426" t="str">
        <f t="shared" si="6"/>
        <v>Blacklisted</v>
      </c>
    </row>
    <row r="427" spans="1:23" ht="14.25" customHeight="1">
      <c r="A427" s="6" t="s">
        <v>1834</v>
      </c>
      <c r="B427" s="6" t="s">
        <v>101</v>
      </c>
      <c r="C427" s="6" t="s">
        <v>73</v>
      </c>
      <c r="D427" s="6" t="s">
        <v>1835</v>
      </c>
      <c r="E427" s="6" t="s">
        <v>637</v>
      </c>
      <c r="F427" s="6" t="s">
        <v>104</v>
      </c>
      <c r="G427" s="6" t="s">
        <v>29</v>
      </c>
      <c r="H427" s="6" t="s">
        <v>1836</v>
      </c>
      <c r="I427" s="6" t="s">
        <v>106</v>
      </c>
      <c r="J427" s="6" t="s">
        <v>107</v>
      </c>
      <c r="K427" s="6" t="s">
        <v>47</v>
      </c>
      <c r="L427" s="6" t="s">
        <v>79</v>
      </c>
      <c r="M427" s="6">
        <v>13</v>
      </c>
      <c r="N427" s="6">
        <v>1200</v>
      </c>
      <c r="O427" s="6">
        <v>5</v>
      </c>
      <c r="P427" s="6">
        <v>14820</v>
      </c>
      <c r="Q427" s="6">
        <v>2</v>
      </c>
      <c r="R427" s="6" t="s">
        <v>80</v>
      </c>
      <c r="S427" s="6" t="s">
        <v>36</v>
      </c>
      <c r="T427" s="6" t="s">
        <v>145</v>
      </c>
      <c r="U427" s="7" t="s">
        <v>1837</v>
      </c>
      <c r="V427" s="6" t="s">
        <v>70</v>
      </c>
      <c r="W427" t="str">
        <f t="shared" si="6"/>
        <v>Blacklisted</v>
      </c>
    </row>
    <row r="428" spans="1:23" ht="14.25" customHeight="1">
      <c r="A428" s="3" t="s">
        <v>1838</v>
      </c>
      <c r="B428" s="3" t="s">
        <v>84</v>
      </c>
      <c r="C428" s="3" t="s">
        <v>170</v>
      </c>
      <c r="D428" s="3" t="s">
        <v>1485</v>
      </c>
      <c r="E428" s="3" t="s">
        <v>1839</v>
      </c>
      <c r="F428" s="3" t="s">
        <v>181</v>
      </c>
      <c r="G428" s="3" t="s">
        <v>77</v>
      </c>
      <c r="H428" s="3" t="s">
        <v>1840</v>
      </c>
      <c r="I428" s="3" t="s">
        <v>213</v>
      </c>
      <c r="J428" s="3" t="s">
        <v>46</v>
      </c>
      <c r="K428" s="3" t="s">
        <v>33</v>
      </c>
      <c r="L428" s="3" t="s">
        <v>175</v>
      </c>
      <c r="M428" s="3">
        <v>13</v>
      </c>
      <c r="N428" s="3">
        <v>8500</v>
      </c>
      <c r="O428" s="3">
        <v>20</v>
      </c>
      <c r="P428" s="3">
        <v>88400</v>
      </c>
      <c r="Q428" s="3">
        <v>5</v>
      </c>
      <c r="R428" s="3" t="s">
        <v>35</v>
      </c>
      <c r="S428" s="3" t="s">
        <v>50</v>
      </c>
      <c r="T428" s="3" t="s">
        <v>90</v>
      </c>
      <c r="U428" s="5" t="s">
        <v>1841</v>
      </c>
      <c r="V428" s="3" t="s">
        <v>65</v>
      </c>
      <c r="W428" t="str">
        <f t="shared" si="6"/>
        <v>Blacklisted</v>
      </c>
    </row>
    <row r="429" spans="1:23" ht="14.25" customHeight="1">
      <c r="A429" s="6" t="s">
        <v>1842</v>
      </c>
      <c r="B429" s="6" t="s">
        <v>72</v>
      </c>
      <c r="C429" s="6" t="s">
        <v>119</v>
      </c>
      <c r="D429" s="6" t="s">
        <v>766</v>
      </c>
      <c r="E429" s="6" t="s">
        <v>1843</v>
      </c>
      <c r="F429" s="6" t="s">
        <v>218</v>
      </c>
      <c r="G429" s="6" t="s">
        <v>77</v>
      </c>
      <c r="H429" s="6" t="s">
        <v>1844</v>
      </c>
      <c r="I429" s="6" t="s">
        <v>115</v>
      </c>
      <c r="J429" s="6" t="s">
        <v>107</v>
      </c>
      <c r="K429" s="6" t="s">
        <v>123</v>
      </c>
      <c r="L429" s="6" t="s">
        <v>124</v>
      </c>
      <c r="M429" s="6">
        <v>14</v>
      </c>
      <c r="N429" s="6">
        <v>60</v>
      </c>
      <c r="O429" s="6">
        <v>10</v>
      </c>
      <c r="P429" s="6">
        <v>756</v>
      </c>
      <c r="Q429" s="6">
        <v>1</v>
      </c>
      <c r="R429" s="6" t="s">
        <v>35</v>
      </c>
      <c r="S429" s="6" t="s">
        <v>62</v>
      </c>
      <c r="T429" s="6" t="s">
        <v>81</v>
      </c>
      <c r="U429" s="7" t="s">
        <v>1845</v>
      </c>
      <c r="V429" s="6" t="s">
        <v>70</v>
      </c>
      <c r="W429" t="str">
        <f t="shared" si="6"/>
        <v>Blacklisted</v>
      </c>
    </row>
    <row r="430" spans="1:23" ht="14.25" customHeight="1">
      <c r="A430" s="3" t="s">
        <v>1846</v>
      </c>
      <c r="B430" s="3" t="s">
        <v>252</v>
      </c>
      <c r="C430" s="3" t="s">
        <v>25</v>
      </c>
      <c r="D430" s="3" t="s">
        <v>337</v>
      </c>
      <c r="E430" s="3" t="s">
        <v>607</v>
      </c>
      <c r="F430" s="3" t="s">
        <v>255</v>
      </c>
      <c r="G430" s="3" t="s">
        <v>29</v>
      </c>
      <c r="H430" s="3" t="s">
        <v>1847</v>
      </c>
      <c r="I430" s="3" t="s">
        <v>60</v>
      </c>
      <c r="J430" s="3" t="s">
        <v>32</v>
      </c>
      <c r="K430" s="3" t="s">
        <v>33</v>
      </c>
      <c r="L430" s="3" t="s">
        <v>34</v>
      </c>
      <c r="M430" s="3">
        <v>15</v>
      </c>
      <c r="N430" s="3">
        <v>2200</v>
      </c>
      <c r="O430" s="3">
        <v>0</v>
      </c>
      <c r="P430" s="3">
        <v>33000</v>
      </c>
      <c r="Q430" s="3">
        <v>1</v>
      </c>
      <c r="R430" s="3" t="s">
        <v>35</v>
      </c>
      <c r="S430" s="3" t="s">
        <v>62</v>
      </c>
      <c r="T430" s="3" t="s">
        <v>257</v>
      </c>
      <c r="U430" s="5" t="s">
        <v>1848</v>
      </c>
      <c r="V430" s="3" t="s">
        <v>39</v>
      </c>
      <c r="W430" t="str">
        <f t="shared" si="6"/>
        <v>Blacklisted</v>
      </c>
    </row>
    <row r="431" spans="1:23" ht="14.25" customHeight="1">
      <c r="A431" s="6" t="s">
        <v>1849</v>
      </c>
      <c r="B431" s="6" t="s">
        <v>84</v>
      </c>
      <c r="C431" s="6" t="s">
        <v>119</v>
      </c>
      <c r="D431" s="6" t="s">
        <v>1850</v>
      </c>
      <c r="E431" s="6" t="s">
        <v>1851</v>
      </c>
      <c r="F431" s="6" t="s">
        <v>181</v>
      </c>
      <c r="G431" s="6" t="s">
        <v>77</v>
      </c>
      <c r="H431" s="6" t="s">
        <v>1852</v>
      </c>
      <c r="I431" s="6" t="s">
        <v>213</v>
      </c>
      <c r="J431" s="6" t="s">
        <v>46</v>
      </c>
      <c r="K431" s="6" t="s">
        <v>123</v>
      </c>
      <c r="L431" s="6" t="s">
        <v>124</v>
      </c>
      <c r="M431" s="6">
        <v>19</v>
      </c>
      <c r="N431" s="6">
        <v>60</v>
      </c>
      <c r="O431" s="6">
        <v>20</v>
      </c>
      <c r="P431" s="6">
        <v>912</v>
      </c>
      <c r="Q431" s="6">
        <v>3</v>
      </c>
      <c r="R431" s="6" t="s">
        <v>35</v>
      </c>
      <c r="S431" s="6" t="s">
        <v>152</v>
      </c>
      <c r="T431" s="6" t="s">
        <v>90</v>
      </c>
      <c r="U431" s="7" t="s">
        <v>1853</v>
      </c>
      <c r="V431" s="6" t="s">
        <v>65</v>
      </c>
      <c r="W431" t="str">
        <f t="shared" si="6"/>
        <v>Blacklisted</v>
      </c>
    </row>
    <row r="432" spans="1:23" ht="14.25" customHeight="1">
      <c r="A432" s="3" t="s">
        <v>1854</v>
      </c>
      <c r="B432" s="3" t="s">
        <v>54</v>
      </c>
      <c r="C432" s="3" t="s">
        <v>260</v>
      </c>
      <c r="D432" s="3" t="s">
        <v>1761</v>
      </c>
      <c r="E432" s="3" t="s">
        <v>342</v>
      </c>
      <c r="F432" s="3" t="s">
        <v>164</v>
      </c>
      <c r="G432" s="3" t="s">
        <v>29</v>
      </c>
      <c r="H432" s="3" t="s">
        <v>1855</v>
      </c>
      <c r="I432" s="3" t="s">
        <v>213</v>
      </c>
      <c r="J432" s="3" t="s">
        <v>46</v>
      </c>
      <c r="K432" s="3" t="s">
        <v>123</v>
      </c>
      <c r="L432" s="3" t="s">
        <v>264</v>
      </c>
      <c r="M432" s="3">
        <v>13</v>
      </c>
      <c r="N432" s="3">
        <v>45</v>
      </c>
      <c r="O432" s="3">
        <v>15</v>
      </c>
      <c r="P432" s="3">
        <v>497.25</v>
      </c>
      <c r="Q432" s="3">
        <v>2</v>
      </c>
      <c r="R432" s="3" t="s">
        <v>35</v>
      </c>
      <c r="S432" s="3" t="s">
        <v>50</v>
      </c>
      <c r="T432" s="3" t="s">
        <v>63</v>
      </c>
      <c r="U432" s="5" t="s">
        <v>1856</v>
      </c>
      <c r="V432" s="3" t="s">
        <v>39</v>
      </c>
      <c r="W432" t="str">
        <f t="shared" si="6"/>
        <v>Blacklisted</v>
      </c>
    </row>
    <row r="433" spans="1:23" ht="14.25" customHeight="1">
      <c r="A433" s="6" t="s">
        <v>1857</v>
      </c>
      <c r="B433" s="6" t="s">
        <v>252</v>
      </c>
      <c r="C433" s="6" t="s">
        <v>41</v>
      </c>
      <c r="D433" s="6" t="s">
        <v>999</v>
      </c>
      <c r="E433" s="6" t="s">
        <v>1129</v>
      </c>
      <c r="F433" s="6" t="s">
        <v>255</v>
      </c>
      <c r="G433" s="6" t="s">
        <v>29</v>
      </c>
      <c r="H433" s="6" t="s">
        <v>1858</v>
      </c>
      <c r="I433" s="6" t="s">
        <v>106</v>
      </c>
      <c r="J433" s="6" t="s">
        <v>107</v>
      </c>
      <c r="K433" s="6" t="s">
        <v>47</v>
      </c>
      <c r="L433" s="6" t="s">
        <v>48</v>
      </c>
      <c r="M433" s="6">
        <v>7</v>
      </c>
      <c r="N433" s="6">
        <v>12000</v>
      </c>
      <c r="O433" s="6">
        <v>5</v>
      </c>
      <c r="P433" s="6">
        <v>79800</v>
      </c>
      <c r="Q433" s="6">
        <v>4</v>
      </c>
      <c r="R433" s="6" t="s">
        <v>80</v>
      </c>
      <c r="S433" s="6" t="s">
        <v>152</v>
      </c>
      <c r="T433" s="6" t="s">
        <v>257</v>
      </c>
      <c r="U433" s="7" t="s">
        <v>1859</v>
      </c>
      <c r="V433" s="6" t="s">
        <v>70</v>
      </c>
      <c r="W433" t="str">
        <f t="shared" si="6"/>
        <v>Blacklisted</v>
      </c>
    </row>
    <row r="434" spans="1:23" ht="14.25" customHeight="1">
      <c r="A434" s="3" t="s">
        <v>1860</v>
      </c>
      <c r="B434" s="3" t="s">
        <v>328</v>
      </c>
      <c r="C434" s="3" t="s">
        <v>223</v>
      </c>
      <c r="D434" s="3" t="s">
        <v>602</v>
      </c>
      <c r="E434" s="3"/>
      <c r="F434" s="3" t="s">
        <v>395</v>
      </c>
      <c r="G434" s="3" t="s">
        <v>77</v>
      </c>
      <c r="H434" s="3" t="s">
        <v>1861</v>
      </c>
      <c r="I434" s="3" t="s">
        <v>295</v>
      </c>
      <c r="J434" s="3" t="s">
        <v>296</v>
      </c>
      <c r="K434" s="3" t="s">
        <v>123</v>
      </c>
      <c r="L434" s="3" t="s">
        <v>228</v>
      </c>
      <c r="M434" s="3">
        <v>8</v>
      </c>
      <c r="N434" s="3">
        <v>20</v>
      </c>
      <c r="O434" s="3">
        <v>0</v>
      </c>
      <c r="P434" s="3">
        <v>160</v>
      </c>
      <c r="Q434" s="3">
        <v>4</v>
      </c>
      <c r="R434" s="3" t="s">
        <v>80</v>
      </c>
      <c r="S434" s="3" t="s">
        <v>62</v>
      </c>
      <c r="T434" s="3" t="s">
        <v>333</v>
      </c>
      <c r="U434" s="5" t="s">
        <v>1862</v>
      </c>
      <c r="V434" s="3" t="s">
        <v>65</v>
      </c>
      <c r="W434" t="str">
        <f t="shared" si="6"/>
        <v>Blacklisted</v>
      </c>
    </row>
    <row r="435" spans="1:23" ht="14.25" customHeight="1">
      <c r="A435" s="6" t="s">
        <v>1863</v>
      </c>
      <c r="B435" s="6" t="s">
        <v>24</v>
      </c>
      <c r="C435" s="6" t="s">
        <v>93</v>
      </c>
      <c r="D435" s="6" t="s">
        <v>1864</v>
      </c>
      <c r="E435" s="6" t="s">
        <v>901</v>
      </c>
      <c r="F435" s="6" t="s">
        <v>28</v>
      </c>
      <c r="G435" s="6" t="s">
        <v>29</v>
      </c>
      <c r="H435" s="6" t="s">
        <v>1865</v>
      </c>
      <c r="I435" s="6" t="s">
        <v>295</v>
      </c>
      <c r="J435" s="6" t="s">
        <v>296</v>
      </c>
      <c r="K435" s="6" t="s">
        <v>33</v>
      </c>
      <c r="L435" s="6" t="s">
        <v>98</v>
      </c>
      <c r="M435" s="6">
        <v>16</v>
      </c>
      <c r="N435" s="6">
        <v>3500</v>
      </c>
      <c r="O435" s="6">
        <v>5</v>
      </c>
      <c r="P435" s="6">
        <v>53200</v>
      </c>
      <c r="Q435" s="6">
        <v>1</v>
      </c>
      <c r="R435" s="6" t="s">
        <v>80</v>
      </c>
      <c r="S435" s="6" t="s">
        <v>62</v>
      </c>
      <c r="T435" s="6" t="s">
        <v>51</v>
      </c>
      <c r="U435" s="7" t="s">
        <v>1866</v>
      </c>
      <c r="V435" s="6" t="s">
        <v>70</v>
      </c>
      <c r="W435" t="str">
        <f t="shared" si="6"/>
        <v>Blacklisted</v>
      </c>
    </row>
    <row r="436" spans="1:23" ht="14.25" customHeight="1">
      <c r="A436" s="3" t="s">
        <v>1867</v>
      </c>
      <c r="B436" s="3" t="s">
        <v>328</v>
      </c>
      <c r="C436" s="3" t="s">
        <v>170</v>
      </c>
      <c r="D436" s="3" t="s">
        <v>1868</v>
      </c>
      <c r="E436" s="3" t="s">
        <v>1158</v>
      </c>
      <c r="F436" s="3" t="s">
        <v>395</v>
      </c>
      <c r="G436" s="3" t="s">
        <v>77</v>
      </c>
      <c r="H436" s="3" t="s">
        <v>1869</v>
      </c>
      <c r="I436" s="3" t="s">
        <v>106</v>
      </c>
      <c r="J436" s="3" t="s">
        <v>107</v>
      </c>
      <c r="K436" s="3" t="s">
        <v>33</v>
      </c>
      <c r="L436" s="3" t="s">
        <v>175</v>
      </c>
      <c r="M436" s="3">
        <v>12</v>
      </c>
      <c r="N436" s="3">
        <v>8500</v>
      </c>
      <c r="O436" s="3">
        <v>10</v>
      </c>
      <c r="P436" s="3">
        <v>91800</v>
      </c>
      <c r="Q436" s="3">
        <v>3</v>
      </c>
      <c r="R436" s="3" t="s">
        <v>80</v>
      </c>
      <c r="S436" s="3" t="s">
        <v>36</v>
      </c>
      <c r="T436" s="3" t="s">
        <v>333</v>
      </c>
      <c r="U436" s="5" t="s">
        <v>1870</v>
      </c>
      <c r="V436" s="3" t="s">
        <v>39</v>
      </c>
      <c r="W436" t="str">
        <f t="shared" si="6"/>
        <v>Gold</v>
      </c>
    </row>
    <row r="437" spans="1:23" ht="14.25" customHeight="1">
      <c r="A437" s="6" t="s">
        <v>1871</v>
      </c>
      <c r="B437" s="6" t="s">
        <v>24</v>
      </c>
      <c r="C437" s="6" t="s">
        <v>119</v>
      </c>
      <c r="D437" s="6" t="s">
        <v>540</v>
      </c>
      <c r="E437" s="6" t="s">
        <v>1115</v>
      </c>
      <c r="F437" s="6" t="s">
        <v>28</v>
      </c>
      <c r="G437" s="6" t="s">
        <v>29</v>
      </c>
      <c r="H437" s="6" t="s">
        <v>1872</v>
      </c>
      <c r="I437" s="6" t="s">
        <v>139</v>
      </c>
      <c r="J437" s="6" t="s">
        <v>107</v>
      </c>
      <c r="K437" s="6" t="s">
        <v>123</v>
      </c>
      <c r="L437" s="6" t="s">
        <v>124</v>
      </c>
      <c r="M437" s="6">
        <v>1</v>
      </c>
      <c r="N437" s="6">
        <v>60</v>
      </c>
      <c r="O437" s="6">
        <v>20</v>
      </c>
      <c r="P437" s="6">
        <v>48</v>
      </c>
      <c r="Q437" s="6">
        <v>2</v>
      </c>
      <c r="R437" s="6" t="s">
        <v>80</v>
      </c>
      <c r="S437" s="6" t="s">
        <v>152</v>
      </c>
      <c r="T437" s="6" t="s">
        <v>51</v>
      </c>
      <c r="U437" s="7" t="s">
        <v>1873</v>
      </c>
      <c r="V437" s="6" t="s">
        <v>39</v>
      </c>
      <c r="W437" t="str">
        <f t="shared" si="6"/>
        <v>Blacklisted</v>
      </c>
    </row>
    <row r="438" spans="1:23" ht="14.25" customHeight="1">
      <c r="A438" s="3" t="s">
        <v>1874</v>
      </c>
      <c r="B438" s="3" t="s">
        <v>128</v>
      </c>
      <c r="C438" s="3" t="s">
        <v>119</v>
      </c>
      <c r="D438" s="3" t="s">
        <v>508</v>
      </c>
      <c r="E438" s="3" t="s">
        <v>536</v>
      </c>
      <c r="F438" s="3" t="s">
        <v>201</v>
      </c>
      <c r="G438" s="3" t="s">
        <v>77</v>
      </c>
      <c r="H438" s="3" t="s">
        <v>1875</v>
      </c>
      <c r="I438" s="3" t="s">
        <v>31</v>
      </c>
      <c r="J438" s="3" t="s">
        <v>32</v>
      </c>
      <c r="K438" s="3" t="s">
        <v>123</v>
      </c>
      <c r="L438" s="3" t="s">
        <v>124</v>
      </c>
      <c r="M438" s="3">
        <v>3</v>
      </c>
      <c r="N438" s="3">
        <v>60</v>
      </c>
      <c r="O438" s="3">
        <v>15</v>
      </c>
      <c r="P438" s="3">
        <v>153</v>
      </c>
      <c r="Q438" s="3">
        <v>4</v>
      </c>
      <c r="R438" s="3" t="s">
        <v>80</v>
      </c>
      <c r="S438" s="3" t="s">
        <v>36</v>
      </c>
      <c r="T438" s="3" t="s">
        <v>133</v>
      </c>
      <c r="U438" s="5" t="s">
        <v>1876</v>
      </c>
      <c r="V438" s="3" t="s">
        <v>39</v>
      </c>
      <c r="W438" t="str">
        <f t="shared" si="6"/>
        <v>Silver</v>
      </c>
    </row>
    <row r="439" spans="1:23" ht="14.25" customHeight="1">
      <c r="A439" s="6" t="s">
        <v>1877</v>
      </c>
      <c r="B439" s="6" t="s">
        <v>101</v>
      </c>
      <c r="C439" s="6" t="s">
        <v>185</v>
      </c>
      <c r="D439" s="6" t="s">
        <v>569</v>
      </c>
      <c r="E439" s="6" t="s">
        <v>120</v>
      </c>
      <c r="F439" s="6" t="s">
        <v>104</v>
      </c>
      <c r="G439" s="6" t="s">
        <v>29</v>
      </c>
      <c r="H439" s="6" t="s">
        <v>1878</v>
      </c>
      <c r="I439" s="6" t="s">
        <v>295</v>
      </c>
      <c r="J439" s="6" t="s">
        <v>296</v>
      </c>
      <c r="K439" s="6" t="s">
        <v>47</v>
      </c>
      <c r="L439" s="6" t="s">
        <v>190</v>
      </c>
      <c r="M439" s="6">
        <v>10</v>
      </c>
      <c r="N439" s="6">
        <v>700</v>
      </c>
      <c r="O439" s="6">
        <v>15</v>
      </c>
      <c r="P439" s="6">
        <v>5950</v>
      </c>
      <c r="Q439" s="6">
        <v>3</v>
      </c>
      <c r="R439" s="6" t="s">
        <v>49</v>
      </c>
      <c r="S439" s="6" t="s">
        <v>36</v>
      </c>
      <c r="T439" s="6" t="s">
        <v>145</v>
      </c>
      <c r="U439" s="7" t="s">
        <v>1879</v>
      </c>
      <c r="V439" s="6" t="s">
        <v>65</v>
      </c>
      <c r="W439" t="str">
        <f t="shared" si="6"/>
        <v>Blacklisted</v>
      </c>
    </row>
    <row r="440" spans="1:23" ht="14.25" customHeight="1">
      <c r="A440" s="3" t="s">
        <v>1880</v>
      </c>
      <c r="B440" s="3" t="s">
        <v>84</v>
      </c>
      <c r="C440" s="3" t="s">
        <v>223</v>
      </c>
      <c r="D440" s="3" t="s">
        <v>1881</v>
      </c>
      <c r="E440" s="3" t="s">
        <v>1882</v>
      </c>
      <c r="F440" s="3" t="s">
        <v>181</v>
      </c>
      <c r="G440" s="3" t="s">
        <v>77</v>
      </c>
      <c r="H440" s="3" t="s">
        <v>1883</v>
      </c>
      <c r="I440" s="3" t="s">
        <v>139</v>
      </c>
      <c r="J440" s="3" t="s">
        <v>107</v>
      </c>
      <c r="K440" s="3" t="s">
        <v>123</v>
      </c>
      <c r="L440" s="3" t="s">
        <v>228</v>
      </c>
      <c r="M440" s="3">
        <v>2</v>
      </c>
      <c r="N440" s="3">
        <v>20</v>
      </c>
      <c r="O440" s="3">
        <v>10</v>
      </c>
      <c r="P440" s="3">
        <v>36</v>
      </c>
      <c r="Q440" s="3">
        <v>2</v>
      </c>
      <c r="R440" s="3" t="s">
        <v>89</v>
      </c>
      <c r="S440" s="3" t="s">
        <v>62</v>
      </c>
      <c r="T440" s="3" t="s">
        <v>90</v>
      </c>
      <c r="U440" s="5" t="s">
        <v>1884</v>
      </c>
      <c r="V440" s="3" t="s">
        <v>39</v>
      </c>
      <c r="W440" t="str">
        <f t="shared" si="6"/>
        <v>Blacklisted</v>
      </c>
    </row>
    <row r="441" spans="1:23" ht="14.25" customHeight="1">
      <c r="A441" s="6" t="s">
        <v>1885</v>
      </c>
      <c r="B441" s="6" t="s">
        <v>84</v>
      </c>
      <c r="C441" s="6" t="s">
        <v>223</v>
      </c>
      <c r="D441" s="6" t="s">
        <v>1886</v>
      </c>
      <c r="E441" s="6" t="s">
        <v>1200</v>
      </c>
      <c r="F441" s="6" t="s">
        <v>181</v>
      </c>
      <c r="G441" s="6" t="s">
        <v>77</v>
      </c>
      <c r="H441" s="6" t="s">
        <v>1887</v>
      </c>
      <c r="I441" s="6" t="s">
        <v>45</v>
      </c>
      <c r="J441" s="6" t="s">
        <v>46</v>
      </c>
      <c r="K441" s="6" t="s">
        <v>123</v>
      </c>
      <c r="L441" s="6" t="s">
        <v>228</v>
      </c>
      <c r="M441" s="6">
        <v>14</v>
      </c>
      <c r="N441" s="6">
        <v>20</v>
      </c>
      <c r="O441" s="6">
        <v>20</v>
      </c>
      <c r="P441" s="6">
        <v>224</v>
      </c>
      <c r="Q441" s="6">
        <v>5</v>
      </c>
      <c r="R441" s="6" t="s">
        <v>35</v>
      </c>
      <c r="S441" s="6" t="s">
        <v>152</v>
      </c>
      <c r="T441" s="6" t="s">
        <v>90</v>
      </c>
      <c r="U441" s="7" t="s">
        <v>1888</v>
      </c>
      <c r="V441" s="6" t="s">
        <v>65</v>
      </c>
      <c r="W441" t="str">
        <f t="shared" si="6"/>
        <v>Blacklisted</v>
      </c>
    </row>
    <row r="442" spans="1:23" ht="14.25" customHeight="1">
      <c r="A442" s="3" t="s">
        <v>1889</v>
      </c>
      <c r="B442" s="3" t="s">
        <v>328</v>
      </c>
      <c r="C442" s="3" t="s">
        <v>93</v>
      </c>
      <c r="D442" s="3" t="s">
        <v>1714</v>
      </c>
      <c r="E442" s="3" t="s">
        <v>194</v>
      </c>
      <c r="F442" s="3" t="s">
        <v>395</v>
      </c>
      <c r="G442" s="3" t="s">
        <v>77</v>
      </c>
      <c r="H442" s="3" t="s">
        <v>1890</v>
      </c>
      <c r="I442" s="3" t="s">
        <v>139</v>
      </c>
      <c r="J442" s="3" t="s">
        <v>107</v>
      </c>
      <c r="K442" s="3" t="s">
        <v>33</v>
      </c>
      <c r="L442" s="3" t="s">
        <v>98</v>
      </c>
      <c r="M442" s="3">
        <v>4</v>
      </c>
      <c r="N442" s="3">
        <v>3500</v>
      </c>
      <c r="O442" s="3">
        <v>0</v>
      </c>
      <c r="P442" s="3">
        <v>14000</v>
      </c>
      <c r="Q442" s="3">
        <v>2</v>
      </c>
      <c r="R442" s="3" t="s">
        <v>89</v>
      </c>
      <c r="S442" s="3" t="s">
        <v>36</v>
      </c>
      <c r="T442" s="3" t="s">
        <v>333</v>
      </c>
      <c r="U442" s="5" t="s">
        <v>1891</v>
      </c>
      <c r="V442" s="3" t="s">
        <v>70</v>
      </c>
      <c r="W442" t="str">
        <f t="shared" si="6"/>
        <v>Blacklisted</v>
      </c>
    </row>
    <row r="443" spans="1:23" ht="14.25" customHeight="1">
      <c r="A443" s="6" t="s">
        <v>1892</v>
      </c>
      <c r="B443" s="6" t="s">
        <v>84</v>
      </c>
      <c r="C443" s="6" t="s">
        <v>93</v>
      </c>
      <c r="D443" s="6" t="s">
        <v>319</v>
      </c>
      <c r="E443" s="6" t="s">
        <v>1120</v>
      </c>
      <c r="F443" s="6" t="s">
        <v>181</v>
      </c>
      <c r="G443" s="6" t="s">
        <v>77</v>
      </c>
      <c r="H443" s="6" t="s">
        <v>1893</v>
      </c>
      <c r="I443" s="6" t="s">
        <v>213</v>
      </c>
      <c r="J443" s="6" t="s">
        <v>46</v>
      </c>
      <c r="K443" s="6" t="s">
        <v>33</v>
      </c>
      <c r="L443" s="6" t="s">
        <v>98</v>
      </c>
      <c r="M443" s="6">
        <v>9</v>
      </c>
      <c r="N443" s="6">
        <v>3500</v>
      </c>
      <c r="O443" s="6">
        <v>5</v>
      </c>
      <c r="P443" s="6">
        <v>29925</v>
      </c>
      <c r="Q443" s="6">
        <v>3</v>
      </c>
      <c r="R443" s="6" t="s">
        <v>80</v>
      </c>
      <c r="S443" s="6" t="s">
        <v>62</v>
      </c>
      <c r="T443" s="6" t="s">
        <v>90</v>
      </c>
      <c r="U443" s="7" t="s">
        <v>1894</v>
      </c>
      <c r="V443" s="6" t="s">
        <v>39</v>
      </c>
      <c r="W443" t="str">
        <f t="shared" si="6"/>
        <v>Silver</v>
      </c>
    </row>
    <row r="444" spans="1:23" ht="14.25" customHeight="1">
      <c r="A444" s="3" t="s">
        <v>1895</v>
      </c>
      <c r="B444" s="3" t="s">
        <v>128</v>
      </c>
      <c r="C444" s="3" t="s">
        <v>119</v>
      </c>
      <c r="D444" s="3" t="s">
        <v>684</v>
      </c>
      <c r="E444" s="3" t="s">
        <v>1466</v>
      </c>
      <c r="F444" s="3" t="s">
        <v>201</v>
      </c>
      <c r="G444" s="3" t="s">
        <v>77</v>
      </c>
      <c r="H444" s="3" t="s">
        <v>1896</v>
      </c>
      <c r="I444" s="3" t="s">
        <v>106</v>
      </c>
      <c r="J444" s="3" t="s">
        <v>107</v>
      </c>
      <c r="K444" s="3" t="s">
        <v>123</v>
      </c>
      <c r="L444" s="3" t="s">
        <v>124</v>
      </c>
      <c r="M444" s="3">
        <v>9</v>
      </c>
      <c r="N444" s="3">
        <v>60</v>
      </c>
      <c r="O444" s="3">
        <v>0</v>
      </c>
      <c r="P444" s="3">
        <v>540</v>
      </c>
      <c r="Q444" s="3">
        <v>3</v>
      </c>
      <c r="R444" s="3" t="s">
        <v>89</v>
      </c>
      <c r="S444" s="3" t="s">
        <v>36</v>
      </c>
      <c r="T444" s="3" t="s">
        <v>133</v>
      </c>
      <c r="U444" s="5" t="s">
        <v>1897</v>
      </c>
      <c r="V444" s="3" t="s">
        <v>65</v>
      </c>
      <c r="W444" t="str">
        <f t="shared" si="6"/>
        <v>Blacklisted</v>
      </c>
    </row>
    <row r="445" spans="1:23" ht="14.25" customHeight="1">
      <c r="A445" s="6" t="s">
        <v>1898</v>
      </c>
      <c r="B445" s="6" t="s">
        <v>169</v>
      </c>
      <c r="C445" s="6" t="s">
        <v>73</v>
      </c>
      <c r="D445" s="6" t="s">
        <v>1899</v>
      </c>
      <c r="E445" s="6" t="s">
        <v>1264</v>
      </c>
      <c r="F445" s="6" t="s">
        <v>362</v>
      </c>
      <c r="G445" s="6" t="s">
        <v>29</v>
      </c>
      <c r="H445" s="6" t="s">
        <v>1900</v>
      </c>
      <c r="I445" s="6" t="s">
        <v>139</v>
      </c>
      <c r="J445" s="6" t="s">
        <v>107</v>
      </c>
      <c r="K445" s="6" t="s">
        <v>47</v>
      </c>
      <c r="L445" s="6" t="s">
        <v>79</v>
      </c>
      <c r="M445" s="6">
        <v>4</v>
      </c>
      <c r="N445" s="6">
        <v>1200</v>
      </c>
      <c r="O445" s="6">
        <v>0</v>
      </c>
      <c r="P445" s="6">
        <v>4800</v>
      </c>
      <c r="Q445" s="6">
        <v>1</v>
      </c>
      <c r="R445" s="6" t="s">
        <v>49</v>
      </c>
      <c r="S445" s="6" t="s">
        <v>62</v>
      </c>
      <c r="T445" s="6" t="s">
        <v>176</v>
      </c>
      <c r="U445" s="7" t="s">
        <v>1901</v>
      </c>
      <c r="V445" s="6" t="s">
        <v>39</v>
      </c>
      <c r="W445" t="str">
        <f t="shared" si="6"/>
        <v>Blacklisted</v>
      </c>
    </row>
    <row r="446" spans="1:23" ht="14.25" customHeight="1">
      <c r="A446" s="3" t="s">
        <v>1902</v>
      </c>
      <c r="B446" s="3" t="s">
        <v>54</v>
      </c>
      <c r="C446" s="3" t="s">
        <v>55</v>
      </c>
      <c r="D446" s="3" t="s">
        <v>1621</v>
      </c>
      <c r="E446" s="3" t="s">
        <v>303</v>
      </c>
      <c r="F446" s="3" t="s">
        <v>164</v>
      </c>
      <c r="G446" s="3" t="s">
        <v>29</v>
      </c>
      <c r="H446" s="3" t="s">
        <v>1903</v>
      </c>
      <c r="I446" s="3" t="s">
        <v>31</v>
      </c>
      <c r="J446" s="3" t="s">
        <v>32</v>
      </c>
      <c r="K446" s="3" t="s">
        <v>47</v>
      </c>
      <c r="L446" s="3" t="s">
        <v>61</v>
      </c>
      <c r="M446" s="3">
        <v>10</v>
      </c>
      <c r="N446" s="3">
        <v>55000</v>
      </c>
      <c r="O446" s="3">
        <v>5</v>
      </c>
      <c r="P446" s="3">
        <v>522500</v>
      </c>
      <c r="Q446" s="3">
        <v>5</v>
      </c>
      <c r="R446" s="3" t="s">
        <v>89</v>
      </c>
      <c r="S446" s="3" t="s">
        <v>116</v>
      </c>
      <c r="T446" s="3" t="s">
        <v>63</v>
      </c>
      <c r="U446" s="5" t="s">
        <v>1904</v>
      </c>
      <c r="V446" s="3" t="s">
        <v>39</v>
      </c>
      <c r="W446" t="str">
        <f t="shared" si="6"/>
        <v>Blacklisted</v>
      </c>
    </row>
    <row r="447" spans="1:23" ht="14.25" customHeight="1">
      <c r="A447" s="6" t="s">
        <v>1905</v>
      </c>
      <c r="B447" s="6" t="s">
        <v>222</v>
      </c>
      <c r="C447" s="6" t="s">
        <v>260</v>
      </c>
      <c r="D447" s="6" t="s">
        <v>1906</v>
      </c>
      <c r="E447" s="6" t="s">
        <v>882</v>
      </c>
      <c r="F447" s="6" t="s">
        <v>226</v>
      </c>
      <c r="G447" s="6" t="s">
        <v>77</v>
      </c>
      <c r="H447" s="6" t="s">
        <v>1907</v>
      </c>
      <c r="I447" s="6" t="s">
        <v>31</v>
      </c>
      <c r="J447" s="6" t="s">
        <v>32</v>
      </c>
      <c r="K447" s="6" t="s">
        <v>123</v>
      </c>
      <c r="L447" s="6" t="s">
        <v>264</v>
      </c>
      <c r="M447" s="6">
        <v>20</v>
      </c>
      <c r="N447" s="6">
        <v>45</v>
      </c>
      <c r="O447" s="6">
        <v>15</v>
      </c>
      <c r="P447" s="6">
        <v>765</v>
      </c>
      <c r="Q447" s="6">
        <v>2</v>
      </c>
      <c r="R447" s="6" t="s">
        <v>80</v>
      </c>
      <c r="S447" s="6" t="s">
        <v>36</v>
      </c>
      <c r="T447" s="6" t="s">
        <v>229</v>
      </c>
      <c r="U447" s="7" t="s">
        <v>1908</v>
      </c>
      <c r="V447" s="6" t="s">
        <v>70</v>
      </c>
      <c r="W447" t="str">
        <f t="shared" si="6"/>
        <v>Blacklisted</v>
      </c>
    </row>
    <row r="448" spans="1:23" ht="14.25" customHeight="1">
      <c r="A448" s="3" t="s">
        <v>1909</v>
      </c>
      <c r="B448" s="3" t="s">
        <v>24</v>
      </c>
      <c r="C448" s="3" t="s">
        <v>223</v>
      </c>
      <c r="D448" s="3" t="s">
        <v>315</v>
      </c>
      <c r="E448" s="3" t="s">
        <v>171</v>
      </c>
      <c r="F448" s="3" t="s">
        <v>28</v>
      </c>
      <c r="G448" s="3" t="s">
        <v>29</v>
      </c>
      <c r="H448" s="3" t="s">
        <v>1910</v>
      </c>
      <c r="I448" s="3" t="s">
        <v>106</v>
      </c>
      <c r="J448" s="3" t="s">
        <v>107</v>
      </c>
      <c r="K448" s="3" t="s">
        <v>123</v>
      </c>
      <c r="L448" s="3" t="s">
        <v>228</v>
      </c>
      <c r="M448" s="3">
        <v>9</v>
      </c>
      <c r="N448" s="3">
        <v>20</v>
      </c>
      <c r="O448" s="3">
        <v>20</v>
      </c>
      <c r="P448" s="3">
        <v>144</v>
      </c>
      <c r="Q448" s="3">
        <v>3</v>
      </c>
      <c r="R448" s="3" t="s">
        <v>80</v>
      </c>
      <c r="S448" s="3" t="s">
        <v>62</v>
      </c>
      <c r="T448" s="3" t="s">
        <v>51</v>
      </c>
      <c r="U448" s="5" t="s">
        <v>1911</v>
      </c>
      <c r="V448" s="3" t="s">
        <v>39</v>
      </c>
      <c r="W448" t="str">
        <f t="shared" si="6"/>
        <v>Silver</v>
      </c>
    </row>
    <row r="449" spans="1:23" ht="14.25" customHeight="1">
      <c r="A449" s="6" t="s">
        <v>1912</v>
      </c>
      <c r="B449" s="6" t="s">
        <v>24</v>
      </c>
      <c r="C449" s="6" t="s">
        <v>55</v>
      </c>
      <c r="D449" s="6" t="s">
        <v>1913</v>
      </c>
      <c r="E449" s="6" t="s">
        <v>911</v>
      </c>
      <c r="F449" s="6" t="s">
        <v>28</v>
      </c>
      <c r="G449" s="6" t="s">
        <v>29</v>
      </c>
      <c r="H449" s="6" t="s">
        <v>1914</v>
      </c>
      <c r="I449" s="6" t="s">
        <v>115</v>
      </c>
      <c r="J449" s="6" t="s">
        <v>107</v>
      </c>
      <c r="K449" s="6" t="s">
        <v>47</v>
      </c>
      <c r="L449" s="6" t="s">
        <v>61</v>
      </c>
      <c r="M449" s="6">
        <v>8</v>
      </c>
      <c r="N449" s="6">
        <v>55000</v>
      </c>
      <c r="O449" s="6">
        <v>0</v>
      </c>
      <c r="P449" s="6">
        <v>440000</v>
      </c>
      <c r="Q449" s="6">
        <v>4</v>
      </c>
      <c r="R449" s="6" t="s">
        <v>35</v>
      </c>
      <c r="S449" s="6" t="s">
        <v>116</v>
      </c>
      <c r="T449" s="6" t="s">
        <v>51</v>
      </c>
      <c r="U449" s="7" t="s">
        <v>1915</v>
      </c>
      <c r="V449" s="6" t="s">
        <v>39</v>
      </c>
      <c r="W449" t="str">
        <f t="shared" si="6"/>
        <v>Platinum</v>
      </c>
    </row>
    <row r="450" spans="1:23" ht="15.75" customHeight="1">
      <c r="A450" s="3" t="s">
        <v>1916</v>
      </c>
      <c r="B450" s="3" t="s">
        <v>328</v>
      </c>
      <c r="C450" s="3" t="s">
        <v>73</v>
      </c>
      <c r="D450" s="3" t="s">
        <v>1917</v>
      </c>
      <c r="E450" s="3" t="s">
        <v>1431</v>
      </c>
      <c r="F450" s="3" t="s">
        <v>395</v>
      </c>
      <c r="G450" s="3" t="s">
        <v>77</v>
      </c>
      <c r="H450" s="3" t="s">
        <v>1918</v>
      </c>
      <c r="I450" s="3" t="s">
        <v>139</v>
      </c>
      <c r="J450" s="3" t="s">
        <v>107</v>
      </c>
      <c r="K450" s="3" t="s">
        <v>47</v>
      </c>
      <c r="L450" s="3" t="s">
        <v>79</v>
      </c>
      <c r="M450" s="3">
        <v>4</v>
      </c>
      <c r="N450" s="3">
        <v>1200</v>
      </c>
      <c r="O450" s="3">
        <v>10</v>
      </c>
      <c r="P450" s="3">
        <v>4320</v>
      </c>
      <c r="Q450" s="3">
        <v>4</v>
      </c>
      <c r="R450" s="3" t="s">
        <v>89</v>
      </c>
      <c r="S450" s="3" t="s">
        <v>36</v>
      </c>
      <c r="T450" s="4" t="s">
        <v>1919</v>
      </c>
      <c r="U450" s="5" t="s">
        <v>1920</v>
      </c>
      <c r="V450" s="3" t="s">
        <v>70</v>
      </c>
      <c r="W450" t="str">
        <f t="shared" ref="W450:W513" si="7">IF(OR(Q450&lt;=2,V450="Cancelled"),"Blacklisted",IF(AND(P450&gt;=100000,Q450&gt;=4,O450&lt;=10%,V450="Completed"),"Platinum",IF(AND(P450&gt;=50000,P450&lt;100000,Q450&gt;=3,V450="Completed"),"Gold",IF(AND(P450&lt;50000,V450="Completed"),"Silver","Blacklisted"))))</f>
        <v>Blacklisted</v>
      </c>
    </row>
    <row r="451" spans="1:23" ht="14.25" customHeight="1">
      <c r="A451" s="6" t="s">
        <v>1921</v>
      </c>
      <c r="B451" s="6" t="s">
        <v>328</v>
      </c>
      <c r="C451" s="6" t="s">
        <v>170</v>
      </c>
      <c r="D451" s="6" t="s">
        <v>519</v>
      </c>
      <c r="E451" s="6" t="s">
        <v>427</v>
      </c>
      <c r="F451" s="6" t="s">
        <v>395</v>
      </c>
      <c r="G451" s="6" t="s">
        <v>77</v>
      </c>
      <c r="H451" s="6" t="s">
        <v>1922</v>
      </c>
      <c r="I451" s="6" t="s">
        <v>295</v>
      </c>
      <c r="J451" s="6" t="s">
        <v>296</v>
      </c>
      <c r="K451" s="6" t="s">
        <v>33</v>
      </c>
      <c r="L451" s="6" t="s">
        <v>175</v>
      </c>
      <c r="M451" s="6">
        <v>14</v>
      </c>
      <c r="N451" s="6">
        <v>8500</v>
      </c>
      <c r="O451" s="6">
        <v>10</v>
      </c>
      <c r="P451" s="6">
        <v>107100</v>
      </c>
      <c r="Q451" s="6">
        <v>4</v>
      </c>
      <c r="R451" s="6" t="s">
        <v>35</v>
      </c>
      <c r="S451" s="6" t="s">
        <v>36</v>
      </c>
      <c r="T451" s="6" t="s">
        <v>333</v>
      </c>
      <c r="U451" s="7" t="s">
        <v>1923</v>
      </c>
      <c r="V451" s="6" t="s">
        <v>39</v>
      </c>
      <c r="W451" t="str">
        <f t="shared" si="7"/>
        <v>Blacklisted</v>
      </c>
    </row>
    <row r="452" spans="1:23" ht="14.25" customHeight="1">
      <c r="A452" s="3" t="s">
        <v>1924</v>
      </c>
      <c r="B452" s="3" t="s">
        <v>72</v>
      </c>
      <c r="C452" s="3" t="s">
        <v>260</v>
      </c>
      <c r="D452" s="3" t="s">
        <v>684</v>
      </c>
      <c r="E452" s="3" t="s">
        <v>1925</v>
      </c>
      <c r="F452" s="3" t="s">
        <v>218</v>
      </c>
      <c r="G452" s="3" t="s">
        <v>77</v>
      </c>
      <c r="H452" s="3" t="s">
        <v>1926</v>
      </c>
      <c r="I452" s="3" t="s">
        <v>31</v>
      </c>
      <c r="J452" s="3" t="s">
        <v>32</v>
      </c>
      <c r="K452" s="3" t="s">
        <v>123</v>
      </c>
      <c r="L452" s="3" t="s">
        <v>264</v>
      </c>
      <c r="M452" s="3">
        <v>1</v>
      </c>
      <c r="N452" s="3">
        <v>45</v>
      </c>
      <c r="O452" s="3">
        <v>0</v>
      </c>
      <c r="P452" s="3">
        <v>45</v>
      </c>
      <c r="Q452" s="3">
        <v>3</v>
      </c>
      <c r="R452" s="3" t="s">
        <v>89</v>
      </c>
      <c r="S452" s="3" t="s">
        <v>152</v>
      </c>
      <c r="T452" s="3" t="s">
        <v>81</v>
      </c>
      <c r="U452" s="5" t="s">
        <v>1927</v>
      </c>
      <c r="V452" s="3" t="s">
        <v>70</v>
      </c>
      <c r="W452" t="str">
        <f t="shared" si="7"/>
        <v>Blacklisted</v>
      </c>
    </row>
    <row r="453" spans="1:23" ht="14.25" customHeight="1">
      <c r="A453" s="6" t="s">
        <v>1928</v>
      </c>
      <c r="B453" s="6" t="s">
        <v>72</v>
      </c>
      <c r="C453" s="6" t="s">
        <v>55</v>
      </c>
      <c r="D453" s="6" t="s">
        <v>902</v>
      </c>
      <c r="E453" s="6" t="s">
        <v>1070</v>
      </c>
      <c r="F453" s="6" t="s">
        <v>218</v>
      </c>
      <c r="G453" s="6" t="s">
        <v>77</v>
      </c>
      <c r="H453" s="6" t="s">
        <v>1929</v>
      </c>
      <c r="I453" s="6" t="s">
        <v>45</v>
      </c>
      <c r="J453" s="6" t="s">
        <v>46</v>
      </c>
      <c r="K453" s="6" t="s">
        <v>47</v>
      </c>
      <c r="L453" s="6" t="s">
        <v>61</v>
      </c>
      <c r="M453" s="6">
        <v>16</v>
      </c>
      <c r="N453" s="6">
        <v>55000</v>
      </c>
      <c r="O453" s="6">
        <v>15</v>
      </c>
      <c r="P453" s="6">
        <v>748000</v>
      </c>
      <c r="Q453" s="6">
        <v>1</v>
      </c>
      <c r="R453" s="6" t="s">
        <v>80</v>
      </c>
      <c r="S453" s="6" t="s">
        <v>152</v>
      </c>
      <c r="T453" s="6" t="s">
        <v>81</v>
      </c>
      <c r="U453" s="7" t="s">
        <v>1930</v>
      </c>
      <c r="V453" s="6" t="s">
        <v>70</v>
      </c>
      <c r="W453" t="str">
        <f t="shared" si="7"/>
        <v>Blacklisted</v>
      </c>
    </row>
    <row r="454" spans="1:23" ht="14.25" customHeight="1">
      <c r="A454" s="3" t="s">
        <v>1931</v>
      </c>
      <c r="B454" s="3" t="s">
        <v>54</v>
      </c>
      <c r="C454" s="3" t="s">
        <v>185</v>
      </c>
      <c r="D454" s="3" t="s">
        <v>1932</v>
      </c>
      <c r="E454" s="3" t="s">
        <v>1933</v>
      </c>
      <c r="F454" s="3" t="s">
        <v>164</v>
      </c>
      <c r="G454" s="3" t="s">
        <v>29</v>
      </c>
      <c r="H454" s="3" t="s">
        <v>1934</v>
      </c>
      <c r="I454" s="3" t="s">
        <v>139</v>
      </c>
      <c r="J454" s="3" t="s">
        <v>107</v>
      </c>
      <c r="K454" s="3" t="s">
        <v>47</v>
      </c>
      <c r="L454" s="3" t="s">
        <v>190</v>
      </c>
      <c r="M454" s="3">
        <v>8</v>
      </c>
      <c r="N454" s="3">
        <v>700</v>
      </c>
      <c r="O454" s="3">
        <v>0</v>
      </c>
      <c r="P454" s="3">
        <v>5600</v>
      </c>
      <c r="Q454" s="3">
        <v>3</v>
      </c>
      <c r="R454" s="3" t="s">
        <v>35</v>
      </c>
      <c r="S454" s="3" t="s">
        <v>50</v>
      </c>
      <c r="T454" s="3" t="s">
        <v>63</v>
      </c>
      <c r="U454" s="5" t="s">
        <v>1935</v>
      </c>
      <c r="V454" s="3" t="s">
        <v>39</v>
      </c>
      <c r="W454" t="str">
        <f t="shared" si="7"/>
        <v>Silver</v>
      </c>
    </row>
    <row r="455" spans="1:23" ht="14.25" customHeight="1">
      <c r="A455" s="6" t="s">
        <v>1936</v>
      </c>
      <c r="B455" s="6" t="s">
        <v>252</v>
      </c>
      <c r="C455" s="6" t="s">
        <v>73</v>
      </c>
      <c r="D455" s="6" t="s">
        <v>67</v>
      </c>
      <c r="E455" s="6" t="s">
        <v>1937</v>
      </c>
      <c r="F455" s="6" t="s">
        <v>255</v>
      </c>
      <c r="G455" s="6" t="s">
        <v>29</v>
      </c>
      <c r="H455" s="6" t="s">
        <v>1938</v>
      </c>
      <c r="I455" s="6" t="s">
        <v>139</v>
      </c>
      <c r="J455" s="6" t="s">
        <v>107</v>
      </c>
      <c r="K455" s="6" t="s">
        <v>47</v>
      </c>
      <c r="L455" s="6" t="s">
        <v>79</v>
      </c>
      <c r="M455" s="6">
        <v>3</v>
      </c>
      <c r="N455" s="6">
        <v>1200</v>
      </c>
      <c r="O455" s="6">
        <v>0</v>
      </c>
      <c r="P455" s="6">
        <v>3600</v>
      </c>
      <c r="Q455" s="6">
        <v>1</v>
      </c>
      <c r="R455" s="6" t="s">
        <v>80</v>
      </c>
      <c r="S455" s="6" t="s">
        <v>50</v>
      </c>
      <c r="T455" s="6" t="s">
        <v>257</v>
      </c>
      <c r="U455" s="7" t="s">
        <v>1939</v>
      </c>
      <c r="V455" s="6" t="s">
        <v>70</v>
      </c>
      <c r="W455" t="str">
        <f t="shared" si="7"/>
        <v>Blacklisted</v>
      </c>
    </row>
    <row r="456" spans="1:23" ht="14.25" customHeight="1">
      <c r="A456" s="3" t="s">
        <v>1940</v>
      </c>
      <c r="B456" s="3" t="s">
        <v>72</v>
      </c>
      <c r="C456" s="3" t="s">
        <v>93</v>
      </c>
      <c r="D456" s="3" t="s">
        <v>989</v>
      </c>
      <c r="E456" s="3" t="s">
        <v>388</v>
      </c>
      <c r="F456" s="3" t="s">
        <v>218</v>
      </c>
      <c r="G456" s="3" t="s">
        <v>77</v>
      </c>
      <c r="H456" s="3" t="s">
        <v>1941</v>
      </c>
      <c r="I456" s="3" t="s">
        <v>295</v>
      </c>
      <c r="J456" s="3" t="s">
        <v>296</v>
      </c>
      <c r="K456" s="3" t="s">
        <v>33</v>
      </c>
      <c r="L456" s="3" t="s">
        <v>98</v>
      </c>
      <c r="M456" s="3">
        <v>7</v>
      </c>
      <c r="N456" s="3">
        <v>3500</v>
      </c>
      <c r="O456" s="3">
        <v>15</v>
      </c>
      <c r="P456" s="3">
        <v>20825</v>
      </c>
      <c r="Q456" s="3">
        <v>4</v>
      </c>
      <c r="R456" s="3" t="s">
        <v>80</v>
      </c>
      <c r="S456" s="3" t="s">
        <v>62</v>
      </c>
      <c r="T456" s="3" t="s">
        <v>81</v>
      </c>
      <c r="U456" s="5" t="s">
        <v>1942</v>
      </c>
      <c r="V456" s="3" t="s">
        <v>65</v>
      </c>
      <c r="W456" t="str">
        <f t="shared" si="7"/>
        <v>Blacklisted</v>
      </c>
    </row>
    <row r="457" spans="1:23" ht="14.25" customHeight="1">
      <c r="A457" s="6" t="s">
        <v>1943</v>
      </c>
      <c r="B457" s="6" t="s">
        <v>54</v>
      </c>
      <c r="C457" s="6" t="s">
        <v>55</v>
      </c>
      <c r="D457" s="6" t="s">
        <v>1933</v>
      </c>
      <c r="E457" s="6" t="s">
        <v>741</v>
      </c>
      <c r="F457" s="6" t="s">
        <v>164</v>
      </c>
      <c r="G457" s="6" t="s">
        <v>29</v>
      </c>
      <c r="H457" s="6" t="s">
        <v>1944</v>
      </c>
      <c r="I457" s="6" t="s">
        <v>115</v>
      </c>
      <c r="J457" s="6" t="s">
        <v>107</v>
      </c>
      <c r="K457" s="6" t="s">
        <v>47</v>
      </c>
      <c r="L457" s="6" t="s">
        <v>61</v>
      </c>
      <c r="M457" s="6">
        <v>9</v>
      </c>
      <c r="N457" s="6">
        <v>55000</v>
      </c>
      <c r="O457" s="6">
        <v>15</v>
      </c>
      <c r="P457" s="6">
        <v>420750</v>
      </c>
      <c r="Q457" s="6">
        <v>3</v>
      </c>
      <c r="R457" s="6" t="s">
        <v>89</v>
      </c>
      <c r="S457" s="6" t="s">
        <v>36</v>
      </c>
      <c r="T457" s="6" t="s">
        <v>63</v>
      </c>
      <c r="U457" s="7" t="s">
        <v>1945</v>
      </c>
      <c r="V457" s="6" t="s">
        <v>70</v>
      </c>
      <c r="W457" t="str">
        <f t="shared" si="7"/>
        <v>Blacklisted</v>
      </c>
    </row>
    <row r="458" spans="1:23" ht="14.25" customHeight="1">
      <c r="A458" s="3" t="s">
        <v>1946</v>
      </c>
      <c r="B458" s="3" t="s">
        <v>328</v>
      </c>
      <c r="C458" s="3" t="s">
        <v>41</v>
      </c>
      <c r="D458" s="3" t="s">
        <v>186</v>
      </c>
      <c r="E458" s="3" t="s">
        <v>919</v>
      </c>
      <c r="F458" s="3" t="s">
        <v>395</v>
      </c>
      <c r="G458" s="3" t="s">
        <v>77</v>
      </c>
      <c r="H458" s="3" t="s">
        <v>1947</v>
      </c>
      <c r="I458" s="3" t="s">
        <v>60</v>
      </c>
      <c r="J458" s="3" t="s">
        <v>32</v>
      </c>
      <c r="K458" s="3" t="s">
        <v>47</v>
      </c>
      <c r="L458" s="3" t="s">
        <v>48</v>
      </c>
      <c r="M458" s="3">
        <v>12</v>
      </c>
      <c r="N458" s="3">
        <v>12000</v>
      </c>
      <c r="O458" s="3">
        <v>0</v>
      </c>
      <c r="P458" s="3">
        <v>144000</v>
      </c>
      <c r="Q458" s="3">
        <v>3</v>
      </c>
      <c r="R458" s="3" t="s">
        <v>80</v>
      </c>
      <c r="S458" s="3" t="s">
        <v>152</v>
      </c>
      <c r="T458" s="3" t="s">
        <v>333</v>
      </c>
      <c r="U458" s="5" t="s">
        <v>1948</v>
      </c>
      <c r="V458" s="3" t="s">
        <v>70</v>
      </c>
      <c r="W458" t="str">
        <f t="shared" si="7"/>
        <v>Blacklisted</v>
      </c>
    </row>
    <row r="459" spans="1:23" ht="14.25" customHeight="1">
      <c r="A459" s="6" t="s">
        <v>1949</v>
      </c>
      <c r="B459" s="6" t="s">
        <v>101</v>
      </c>
      <c r="C459" s="6" t="s">
        <v>119</v>
      </c>
      <c r="D459" s="6" t="s">
        <v>43</v>
      </c>
      <c r="E459" s="6" t="s">
        <v>598</v>
      </c>
      <c r="F459" s="6" t="s">
        <v>104</v>
      </c>
      <c r="G459" s="6" t="s">
        <v>29</v>
      </c>
      <c r="H459" s="6" t="s">
        <v>1950</v>
      </c>
      <c r="I459" s="6" t="s">
        <v>139</v>
      </c>
      <c r="J459" s="6" t="s">
        <v>107</v>
      </c>
      <c r="K459" s="6" t="s">
        <v>123</v>
      </c>
      <c r="L459" s="6" t="s">
        <v>124</v>
      </c>
      <c r="M459" s="6">
        <v>7</v>
      </c>
      <c r="N459" s="6">
        <v>60</v>
      </c>
      <c r="O459" s="6">
        <v>10</v>
      </c>
      <c r="P459" s="6">
        <v>378</v>
      </c>
      <c r="Q459" s="6">
        <v>4</v>
      </c>
      <c r="R459" s="6" t="s">
        <v>35</v>
      </c>
      <c r="S459" s="6" t="s">
        <v>50</v>
      </c>
      <c r="T459" s="6" t="s">
        <v>145</v>
      </c>
      <c r="U459" s="7" t="s">
        <v>1951</v>
      </c>
      <c r="V459" s="6" t="s">
        <v>70</v>
      </c>
      <c r="W459" t="str">
        <f t="shared" si="7"/>
        <v>Blacklisted</v>
      </c>
    </row>
    <row r="460" spans="1:23" ht="14.25" customHeight="1">
      <c r="A460" s="3" t="s">
        <v>1952</v>
      </c>
      <c r="B460" s="3" t="s">
        <v>222</v>
      </c>
      <c r="C460" s="3" t="s">
        <v>25</v>
      </c>
      <c r="D460" s="3" t="s">
        <v>378</v>
      </c>
      <c r="E460" s="3" t="s">
        <v>675</v>
      </c>
      <c r="F460" s="3" t="s">
        <v>226</v>
      </c>
      <c r="G460" s="3" t="s">
        <v>77</v>
      </c>
      <c r="H460" s="3" t="s">
        <v>1953</v>
      </c>
      <c r="I460" s="3" t="s">
        <v>106</v>
      </c>
      <c r="J460" s="3" t="s">
        <v>107</v>
      </c>
      <c r="K460" s="3" t="s">
        <v>33</v>
      </c>
      <c r="L460" s="3" t="s">
        <v>34</v>
      </c>
      <c r="M460" s="3">
        <v>17</v>
      </c>
      <c r="N460" s="3">
        <v>2200</v>
      </c>
      <c r="O460" s="3">
        <v>15</v>
      </c>
      <c r="P460" s="3">
        <v>31790</v>
      </c>
      <c r="Q460" s="3">
        <v>3</v>
      </c>
      <c r="R460" s="3" t="s">
        <v>89</v>
      </c>
      <c r="S460" s="3" t="s">
        <v>152</v>
      </c>
      <c r="T460" s="3" t="s">
        <v>229</v>
      </c>
      <c r="U460" s="5" t="s">
        <v>1954</v>
      </c>
      <c r="V460" s="3" t="s">
        <v>65</v>
      </c>
      <c r="W460" t="str">
        <f t="shared" si="7"/>
        <v>Blacklisted</v>
      </c>
    </row>
    <row r="461" spans="1:23" ht="14.25" customHeight="1">
      <c r="A461" s="6" t="s">
        <v>1955</v>
      </c>
      <c r="B461" s="6" t="s">
        <v>328</v>
      </c>
      <c r="C461" s="6" t="s">
        <v>185</v>
      </c>
      <c r="D461" s="6" t="s">
        <v>352</v>
      </c>
      <c r="E461" s="6" t="s">
        <v>1538</v>
      </c>
      <c r="F461" s="6" t="s">
        <v>395</v>
      </c>
      <c r="G461" s="6" t="s">
        <v>77</v>
      </c>
      <c r="H461" s="6" t="s">
        <v>1956</v>
      </c>
      <c r="I461" s="6" t="s">
        <v>60</v>
      </c>
      <c r="J461" s="6" t="s">
        <v>32</v>
      </c>
      <c r="K461" s="6" t="s">
        <v>47</v>
      </c>
      <c r="L461" s="6" t="s">
        <v>190</v>
      </c>
      <c r="M461" s="6">
        <v>17</v>
      </c>
      <c r="N461" s="6">
        <v>700</v>
      </c>
      <c r="O461" s="6">
        <v>10</v>
      </c>
      <c r="P461" s="6">
        <v>10710</v>
      </c>
      <c r="Q461" s="6">
        <v>2</v>
      </c>
      <c r="R461" s="6" t="s">
        <v>35</v>
      </c>
      <c r="S461" s="6" t="s">
        <v>62</v>
      </c>
      <c r="T461" s="6" t="s">
        <v>333</v>
      </c>
      <c r="U461" s="7" t="s">
        <v>1957</v>
      </c>
      <c r="V461" s="6" t="s">
        <v>65</v>
      </c>
      <c r="W461" t="str">
        <f t="shared" si="7"/>
        <v>Blacklisted</v>
      </c>
    </row>
    <row r="462" spans="1:23" ht="14.25" customHeight="1">
      <c r="A462" s="3" t="s">
        <v>1958</v>
      </c>
      <c r="B462" s="3" t="s">
        <v>328</v>
      </c>
      <c r="C462" s="3" t="s">
        <v>55</v>
      </c>
      <c r="D462" s="3" t="s">
        <v>1959</v>
      </c>
      <c r="E462" s="3" t="s">
        <v>1189</v>
      </c>
      <c r="F462" s="3" t="s">
        <v>395</v>
      </c>
      <c r="G462" s="3" t="s">
        <v>77</v>
      </c>
      <c r="H462" s="3" t="s">
        <v>1960</v>
      </c>
      <c r="I462" s="3" t="s">
        <v>45</v>
      </c>
      <c r="J462" s="3" t="s">
        <v>46</v>
      </c>
      <c r="K462" s="3" t="s">
        <v>47</v>
      </c>
      <c r="L462" s="3" t="s">
        <v>61</v>
      </c>
      <c r="M462" s="3">
        <v>19</v>
      </c>
      <c r="N462" s="3">
        <v>55000</v>
      </c>
      <c r="O462" s="3">
        <v>20</v>
      </c>
      <c r="P462" s="3">
        <v>836000</v>
      </c>
      <c r="Q462" s="3">
        <v>5</v>
      </c>
      <c r="R462" s="3" t="s">
        <v>49</v>
      </c>
      <c r="S462" s="3" t="s">
        <v>62</v>
      </c>
      <c r="T462" s="3" t="s">
        <v>333</v>
      </c>
      <c r="U462" s="5" t="s">
        <v>1961</v>
      </c>
      <c r="V462" s="3" t="s">
        <v>39</v>
      </c>
      <c r="W462" t="str">
        <f t="shared" si="7"/>
        <v>Blacklisted</v>
      </c>
    </row>
    <row r="463" spans="1:23" ht="15.75" customHeight="1">
      <c r="A463" s="6" t="s">
        <v>1962</v>
      </c>
      <c r="B463" s="6" t="s">
        <v>128</v>
      </c>
      <c r="C463" s="6" t="s">
        <v>119</v>
      </c>
      <c r="D463" s="6" t="s">
        <v>1173</v>
      </c>
      <c r="E463" s="6" t="s">
        <v>129</v>
      </c>
      <c r="F463" s="6" t="s">
        <v>201</v>
      </c>
      <c r="G463" s="6" t="s">
        <v>77</v>
      </c>
      <c r="H463" s="6" t="s">
        <v>1963</v>
      </c>
      <c r="I463" s="6" t="s">
        <v>45</v>
      </c>
      <c r="J463" s="6" t="s">
        <v>46</v>
      </c>
      <c r="K463" s="6" t="s">
        <v>123</v>
      </c>
      <c r="L463" s="6" t="s">
        <v>124</v>
      </c>
      <c r="M463" s="6">
        <v>1</v>
      </c>
      <c r="N463" s="6">
        <v>60</v>
      </c>
      <c r="O463" s="6">
        <v>10</v>
      </c>
      <c r="P463" s="6">
        <v>54</v>
      </c>
      <c r="Q463" s="6">
        <v>4</v>
      </c>
      <c r="R463" s="6" t="s">
        <v>49</v>
      </c>
      <c r="S463" s="6"/>
      <c r="T463" s="8" t="s">
        <v>1964</v>
      </c>
      <c r="U463" s="7" t="s">
        <v>1965</v>
      </c>
      <c r="V463" s="6" t="s">
        <v>70</v>
      </c>
      <c r="W463" t="str">
        <f t="shared" si="7"/>
        <v>Blacklisted</v>
      </c>
    </row>
    <row r="464" spans="1:23" ht="14.25" customHeight="1">
      <c r="A464" s="3" t="s">
        <v>1966</v>
      </c>
      <c r="B464" s="3" t="s">
        <v>72</v>
      </c>
      <c r="C464" s="3" t="s">
        <v>93</v>
      </c>
      <c r="D464" s="3" t="s">
        <v>1143</v>
      </c>
      <c r="E464" s="3" t="s">
        <v>555</v>
      </c>
      <c r="F464" s="3" t="s">
        <v>218</v>
      </c>
      <c r="G464" s="3" t="s">
        <v>77</v>
      </c>
      <c r="H464" s="3" t="s">
        <v>1967</v>
      </c>
      <c r="I464" s="3" t="s">
        <v>31</v>
      </c>
      <c r="J464" s="3" t="s">
        <v>32</v>
      </c>
      <c r="K464" s="3" t="s">
        <v>33</v>
      </c>
      <c r="L464" s="3" t="s">
        <v>98</v>
      </c>
      <c r="M464" s="3">
        <v>16</v>
      </c>
      <c r="N464" s="3">
        <v>3500</v>
      </c>
      <c r="O464" s="3">
        <v>0</v>
      </c>
      <c r="P464" s="3">
        <v>56000</v>
      </c>
      <c r="Q464" s="3">
        <v>4</v>
      </c>
      <c r="R464" s="3" t="s">
        <v>49</v>
      </c>
      <c r="S464" s="3" t="s">
        <v>36</v>
      </c>
      <c r="T464" s="3" t="s">
        <v>81</v>
      </c>
      <c r="U464" s="5" t="s">
        <v>1968</v>
      </c>
      <c r="V464" s="3" t="s">
        <v>65</v>
      </c>
      <c r="W464" t="str">
        <f t="shared" si="7"/>
        <v>Blacklisted</v>
      </c>
    </row>
    <row r="465" spans="1:23" ht="14.25" customHeight="1">
      <c r="A465" s="6" t="s">
        <v>1969</v>
      </c>
      <c r="B465" s="6" t="s">
        <v>128</v>
      </c>
      <c r="C465" s="6" t="s">
        <v>223</v>
      </c>
      <c r="D465" s="6" t="s">
        <v>958</v>
      </c>
      <c r="E465" s="6" t="s">
        <v>767</v>
      </c>
      <c r="F465" s="6" t="s">
        <v>201</v>
      </c>
      <c r="G465" s="6" t="s">
        <v>77</v>
      </c>
      <c r="H465" s="6" t="s">
        <v>1296</v>
      </c>
      <c r="I465" s="6" t="s">
        <v>115</v>
      </c>
      <c r="J465" s="6" t="s">
        <v>107</v>
      </c>
      <c r="K465" s="6" t="s">
        <v>123</v>
      </c>
      <c r="L465" s="6" t="s">
        <v>228</v>
      </c>
      <c r="M465" s="6">
        <v>14</v>
      </c>
      <c r="N465" s="6">
        <v>20</v>
      </c>
      <c r="O465" s="6">
        <v>10</v>
      </c>
      <c r="P465" s="6">
        <v>252</v>
      </c>
      <c r="Q465" s="6">
        <v>1</v>
      </c>
      <c r="R465" s="6" t="s">
        <v>49</v>
      </c>
      <c r="S465" s="6" t="s">
        <v>62</v>
      </c>
      <c r="T465" s="6" t="s">
        <v>133</v>
      </c>
      <c r="U465" s="7" t="s">
        <v>1970</v>
      </c>
      <c r="V465" s="6" t="s">
        <v>65</v>
      </c>
      <c r="W465" t="str">
        <f t="shared" si="7"/>
        <v>Blacklisted</v>
      </c>
    </row>
    <row r="466" spans="1:23" ht="14.25" customHeight="1">
      <c r="A466" s="3" t="s">
        <v>1971</v>
      </c>
      <c r="B466" s="3" t="s">
        <v>72</v>
      </c>
      <c r="C466" s="3" t="s">
        <v>25</v>
      </c>
      <c r="D466" s="3" t="s">
        <v>474</v>
      </c>
      <c r="E466" s="3" t="s">
        <v>455</v>
      </c>
      <c r="F466" s="3" t="s">
        <v>218</v>
      </c>
      <c r="G466" s="3" t="s">
        <v>77</v>
      </c>
      <c r="H466" s="3" t="s">
        <v>1972</v>
      </c>
      <c r="I466" s="3" t="s">
        <v>60</v>
      </c>
      <c r="J466" s="3" t="s">
        <v>32</v>
      </c>
      <c r="K466" s="3" t="s">
        <v>33</v>
      </c>
      <c r="L466" s="3" t="s">
        <v>34</v>
      </c>
      <c r="M466" s="3">
        <v>11</v>
      </c>
      <c r="N466" s="3">
        <v>2200</v>
      </c>
      <c r="O466" s="3">
        <v>15</v>
      </c>
      <c r="P466" s="3">
        <v>20570</v>
      </c>
      <c r="Q466" s="3">
        <v>4</v>
      </c>
      <c r="R466" s="3" t="s">
        <v>49</v>
      </c>
      <c r="S466" s="3" t="s">
        <v>50</v>
      </c>
      <c r="T466" s="3" t="s">
        <v>81</v>
      </c>
      <c r="U466" s="5" t="s">
        <v>1973</v>
      </c>
      <c r="V466" s="3" t="s">
        <v>70</v>
      </c>
      <c r="W466" t="str">
        <f t="shared" si="7"/>
        <v>Blacklisted</v>
      </c>
    </row>
    <row r="467" spans="1:23" ht="14.25" customHeight="1">
      <c r="A467" s="6" t="s">
        <v>1974</v>
      </c>
      <c r="B467" s="6" t="s">
        <v>84</v>
      </c>
      <c r="C467" s="6" t="s">
        <v>55</v>
      </c>
      <c r="D467" s="6" t="s">
        <v>757</v>
      </c>
      <c r="E467" s="6" t="s">
        <v>1283</v>
      </c>
      <c r="F467" s="6" t="s">
        <v>181</v>
      </c>
      <c r="G467" s="6" t="s">
        <v>77</v>
      </c>
      <c r="H467" s="6" t="s">
        <v>1975</v>
      </c>
      <c r="I467" s="6" t="s">
        <v>213</v>
      </c>
      <c r="J467" s="6" t="s">
        <v>46</v>
      </c>
      <c r="K467" s="6" t="s">
        <v>47</v>
      </c>
      <c r="L467" s="6" t="s">
        <v>61</v>
      </c>
      <c r="M467" s="6">
        <v>2</v>
      </c>
      <c r="N467" s="6">
        <v>55000</v>
      </c>
      <c r="O467" s="6">
        <v>0</v>
      </c>
      <c r="P467" s="6">
        <v>110000</v>
      </c>
      <c r="Q467" s="6">
        <v>4</v>
      </c>
      <c r="R467" s="6" t="s">
        <v>49</v>
      </c>
      <c r="S467" s="6" t="s">
        <v>50</v>
      </c>
      <c r="T467" s="6" t="s">
        <v>90</v>
      </c>
      <c r="U467" s="7" t="s">
        <v>1976</v>
      </c>
      <c r="V467" s="6" t="s">
        <v>70</v>
      </c>
      <c r="W467" t="str">
        <f t="shared" si="7"/>
        <v>Blacklisted</v>
      </c>
    </row>
    <row r="468" spans="1:23" ht="14.25" customHeight="1">
      <c r="A468" s="3" t="s">
        <v>1977</v>
      </c>
      <c r="B468" s="3" t="s">
        <v>54</v>
      </c>
      <c r="C468" s="3" t="s">
        <v>25</v>
      </c>
      <c r="D468" s="3" t="s">
        <v>513</v>
      </c>
      <c r="E468" s="3" t="s">
        <v>514</v>
      </c>
      <c r="F468" s="3" t="s">
        <v>164</v>
      </c>
      <c r="G468" s="3" t="s">
        <v>29</v>
      </c>
      <c r="H468" s="3" t="s">
        <v>1978</v>
      </c>
      <c r="I468" s="3" t="s">
        <v>115</v>
      </c>
      <c r="J468" s="3" t="s">
        <v>107</v>
      </c>
      <c r="K468" s="3" t="s">
        <v>33</v>
      </c>
      <c r="L468" s="3" t="s">
        <v>34</v>
      </c>
      <c r="M468" s="3">
        <v>7</v>
      </c>
      <c r="N468" s="3">
        <v>2200</v>
      </c>
      <c r="O468" s="3">
        <v>5</v>
      </c>
      <c r="P468" s="3">
        <v>14630</v>
      </c>
      <c r="Q468" s="3">
        <v>4</v>
      </c>
      <c r="R468" s="3" t="s">
        <v>80</v>
      </c>
      <c r="S468" s="3" t="s">
        <v>116</v>
      </c>
      <c r="T468" s="3" t="s">
        <v>63</v>
      </c>
      <c r="U468" s="5" t="s">
        <v>1979</v>
      </c>
      <c r="V468" s="3" t="s">
        <v>70</v>
      </c>
      <c r="W468" t="str">
        <f t="shared" si="7"/>
        <v>Blacklisted</v>
      </c>
    </row>
    <row r="469" spans="1:23" ht="14.25" customHeight="1">
      <c r="A469" s="6" t="s">
        <v>1980</v>
      </c>
      <c r="B469" s="6" t="s">
        <v>24</v>
      </c>
      <c r="C469" s="6" t="s">
        <v>260</v>
      </c>
      <c r="D469" s="6" t="s">
        <v>1508</v>
      </c>
      <c r="E469" s="6" t="s">
        <v>578</v>
      </c>
      <c r="F469" s="6" t="s">
        <v>28</v>
      </c>
      <c r="G469" s="6" t="s">
        <v>29</v>
      </c>
      <c r="H469" s="6" t="s">
        <v>1981</v>
      </c>
      <c r="I469" s="6" t="s">
        <v>139</v>
      </c>
      <c r="J469" s="6" t="s">
        <v>107</v>
      </c>
      <c r="K469" s="6" t="s">
        <v>123</v>
      </c>
      <c r="L469" s="6" t="s">
        <v>264</v>
      </c>
      <c r="M469" s="6">
        <v>11</v>
      </c>
      <c r="N469" s="6">
        <v>45</v>
      </c>
      <c r="O469" s="6">
        <v>15</v>
      </c>
      <c r="P469" s="6">
        <v>420.75</v>
      </c>
      <c r="Q469" s="6">
        <v>4</v>
      </c>
      <c r="R469" s="6" t="s">
        <v>80</v>
      </c>
      <c r="S469" s="6" t="s">
        <v>62</v>
      </c>
      <c r="T469" s="6" t="s">
        <v>51</v>
      </c>
      <c r="U469" s="7" t="s">
        <v>1982</v>
      </c>
      <c r="V469" s="6" t="s">
        <v>65</v>
      </c>
      <c r="W469" t="str">
        <f t="shared" si="7"/>
        <v>Blacklisted</v>
      </c>
    </row>
    <row r="470" spans="1:23" ht="14.25" customHeight="1">
      <c r="A470" s="3" t="s">
        <v>1983</v>
      </c>
      <c r="B470" s="3" t="s">
        <v>101</v>
      </c>
      <c r="C470" s="3" t="s">
        <v>119</v>
      </c>
      <c r="D470" s="3" t="s">
        <v>1115</v>
      </c>
      <c r="E470" s="3" t="s">
        <v>211</v>
      </c>
      <c r="F470" s="3" t="s">
        <v>104</v>
      </c>
      <c r="G470" s="3" t="s">
        <v>29</v>
      </c>
      <c r="H470" s="3" t="s">
        <v>1984</v>
      </c>
      <c r="I470" s="3" t="s">
        <v>106</v>
      </c>
      <c r="J470" s="3" t="s">
        <v>107</v>
      </c>
      <c r="K470" s="3" t="s">
        <v>123</v>
      </c>
      <c r="L470" s="3" t="s">
        <v>124</v>
      </c>
      <c r="M470" s="3">
        <v>16</v>
      </c>
      <c r="N470" s="3">
        <v>60</v>
      </c>
      <c r="O470" s="3">
        <v>5</v>
      </c>
      <c r="P470" s="3">
        <v>912</v>
      </c>
      <c r="Q470" s="3">
        <v>2</v>
      </c>
      <c r="R470" s="3" t="s">
        <v>35</v>
      </c>
      <c r="S470" s="3" t="s">
        <v>116</v>
      </c>
      <c r="T470" s="3" t="s">
        <v>145</v>
      </c>
      <c r="U470" s="5" t="s">
        <v>1985</v>
      </c>
      <c r="V470" s="3" t="s">
        <v>70</v>
      </c>
      <c r="W470" t="str">
        <f t="shared" si="7"/>
        <v>Blacklisted</v>
      </c>
    </row>
    <row r="471" spans="1:23" ht="14.25" customHeight="1">
      <c r="A471" s="6" t="s">
        <v>1986</v>
      </c>
      <c r="B471" s="6" t="s">
        <v>328</v>
      </c>
      <c r="C471" s="6" t="s">
        <v>55</v>
      </c>
      <c r="D471" s="6" t="s">
        <v>1103</v>
      </c>
      <c r="E471" s="6" t="s">
        <v>865</v>
      </c>
      <c r="F471" s="6" t="s">
        <v>395</v>
      </c>
      <c r="G471" s="6" t="s">
        <v>77</v>
      </c>
      <c r="H471" s="6" t="s">
        <v>1987</v>
      </c>
      <c r="I471" s="6" t="s">
        <v>115</v>
      </c>
      <c r="J471" s="6" t="s">
        <v>107</v>
      </c>
      <c r="K471" s="6" t="s">
        <v>47</v>
      </c>
      <c r="L471" s="6" t="s">
        <v>61</v>
      </c>
      <c r="M471" s="6">
        <v>18</v>
      </c>
      <c r="N471" s="6">
        <v>55000</v>
      </c>
      <c r="O471" s="6">
        <v>0</v>
      </c>
      <c r="P471" s="6">
        <v>990000</v>
      </c>
      <c r="Q471" s="6">
        <v>5</v>
      </c>
      <c r="R471" s="6" t="s">
        <v>49</v>
      </c>
      <c r="S471" s="6" t="s">
        <v>50</v>
      </c>
      <c r="T471" s="6" t="s">
        <v>333</v>
      </c>
      <c r="U471" s="7" t="s">
        <v>1988</v>
      </c>
      <c r="V471" s="6" t="s">
        <v>65</v>
      </c>
      <c r="W471" t="str">
        <f t="shared" si="7"/>
        <v>Blacklisted</v>
      </c>
    </row>
    <row r="472" spans="1:23" ht="14.25" customHeight="1">
      <c r="A472" s="3" t="s">
        <v>1989</v>
      </c>
      <c r="B472" s="3" t="s">
        <v>24</v>
      </c>
      <c r="C472" s="3" t="s">
        <v>73</v>
      </c>
      <c r="D472" s="3" t="s">
        <v>1990</v>
      </c>
      <c r="E472" s="3" t="s">
        <v>1881</v>
      </c>
      <c r="F472" s="3" t="s">
        <v>28</v>
      </c>
      <c r="G472" s="3" t="s">
        <v>29</v>
      </c>
      <c r="H472" s="3" t="s">
        <v>1991</v>
      </c>
      <c r="I472" s="3" t="s">
        <v>60</v>
      </c>
      <c r="J472" s="3" t="s">
        <v>32</v>
      </c>
      <c r="K472" s="3" t="s">
        <v>47</v>
      </c>
      <c r="L472" s="3" t="s">
        <v>79</v>
      </c>
      <c r="M472" s="3">
        <v>17</v>
      </c>
      <c r="N472" s="3">
        <v>1200</v>
      </c>
      <c r="O472" s="3">
        <v>5</v>
      </c>
      <c r="P472" s="3">
        <v>19380</v>
      </c>
      <c r="Q472" s="3">
        <v>1</v>
      </c>
      <c r="R472" s="3" t="s">
        <v>49</v>
      </c>
      <c r="S472" s="3" t="s">
        <v>36</v>
      </c>
      <c r="T472" s="3" t="s">
        <v>51</v>
      </c>
      <c r="U472" s="5" t="s">
        <v>1992</v>
      </c>
      <c r="V472" s="3" t="s">
        <v>65</v>
      </c>
      <c r="W472" t="str">
        <f t="shared" si="7"/>
        <v>Blacklisted</v>
      </c>
    </row>
    <row r="473" spans="1:23" ht="14.25" customHeight="1">
      <c r="A473" s="6" t="s">
        <v>1993</v>
      </c>
      <c r="B473" s="6" t="s">
        <v>54</v>
      </c>
      <c r="C473" s="6" t="s">
        <v>55</v>
      </c>
      <c r="D473" s="6" t="s">
        <v>42</v>
      </c>
      <c r="E473" s="6" t="s">
        <v>200</v>
      </c>
      <c r="F473" s="6" t="s">
        <v>164</v>
      </c>
      <c r="G473" s="6" t="s">
        <v>29</v>
      </c>
      <c r="H473" s="6" t="s">
        <v>1994</v>
      </c>
      <c r="I473" s="6" t="s">
        <v>115</v>
      </c>
      <c r="J473" s="6" t="s">
        <v>107</v>
      </c>
      <c r="K473" s="6" t="s">
        <v>47</v>
      </c>
      <c r="L473" s="6" t="s">
        <v>61</v>
      </c>
      <c r="M473" s="6">
        <v>11</v>
      </c>
      <c r="N473" s="6">
        <v>55000</v>
      </c>
      <c r="O473" s="6">
        <v>0</v>
      </c>
      <c r="P473" s="6">
        <v>605000</v>
      </c>
      <c r="Q473" s="6">
        <v>2</v>
      </c>
      <c r="R473" s="6" t="s">
        <v>35</v>
      </c>
      <c r="S473" s="6" t="s">
        <v>62</v>
      </c>
      <c r="T473" s="6" t="s">
        <v>63</v>
      </c>
      <c r="U473" s="7" t="s">
        <v>1995</v>
      </c>
      <c r="V473" s="6" t="s">
        <v>65</v>
      </c>
      <c r="W473" t="str">
        <f t="shared" si="7"/>
        <v>Blacklisted</v>
      </c>
    </row>
    <row r="474" spans="1:23" ht="14.25" customHeight="1">
      <c r="A474" s="3" t="s">
        <v>1996</v>
      </c>
      <c r="B474" s="3" t="s">
        <v>252</v>
      </c>
      <c r="C474" s="3" t="s">
        <v>185</v>
      </c>
      <c r="D474" s="3" t="s">
        <v>237</v>
      </c>
      <c r="E474" s="3" t="s">
        <v>679</v>
      </c>
      <c r="F474" s="3" t="s">
        <v>255</v>
      </c>
      <c r="G474" s="3" t="s">
        <v>29</v>
      </c>
      <c r="H474" s="3" t="s">
        <v>1997</v>
      </c>
      <c r="I474" s="3" t="s">
        <v>45</v>
      </c>
      <c r="J474" s="3" t="s">
        <v>46</v>
      </c>
      <c r="K474" s="3" t="s">
        <v>47</v>
      </c>
      <c r="L474" s="3" t="s">
        <v>190</v>
      </c>
      <c r="M474" s="3">
        <v>20</v>
      </c>
      <c r="N474" s="3">
        <v>700</v>
      </c>
      <c r="O474" s="3">
        <v>20</v>
      </c>
      <c r="P474" s="3">
        <v>11200</v>
      </c>
      <c r="Q474" s="3">
        <v>5</v>
      </c>
      <c r="R474" s="3" t="s">
        <v>49</v>
      </c>
      <c r="S474" s="3" t="s">
        <v>62</v>
      </c>
      <c r="T474" s="3" t="s">
        <v>257</v>
      </c>
      <c r="U474" s="5" t="s">
        <v>1998</v>
      </c>
      <c r="V474" s="3" t="s">
        <v>39</v>
      </c>
      <c r="W474" t="str">
        <f t="shared" si="7"/>
        <v>Silver</v>
      </c>
    </row>
    <row r="475" spans="1:23" ht="14.25" customHeight="1">
      <c r="A475" s="6" t="s">
        <v>1999</v>
      </c>
      <c r="B475" s="6" t="s">
        <v>72</v>
      </c>
      <c r="C475" s="6" t="s">
        <v>223</v>
      </c>
      <c r="D475" s="6" t="s">
        <v>485</v>
      </c>
      <c r="E475" s="6" t="s">
        <v>323</v>
      </c>
      <c r="F475" s="6" t="s">
        <v>218</v>
      </c>
      <c r="G475" s="6" t="s">
        <v>77</v>
      </c>
      <c r="H475" s="6" t="s">
        <v>2000</v>
      </c>
      <c r="I475" s="6" t="s">
        <v>45</v>
      </c>
      <c r="J475" s="6" t="s">
        <v>46</v>
      </c>
      <c r="K475" s="6" t="s">
        <v>123</v>
      </c>
      <c r="L475" s="6" t="s">
        <v>228</v>
      </c>
      <c r="M475" s="6">
        <v>5</v>
      </c>
      <c r="N475" s="6">
        <v>20</v>
      </c>
      <c r="O475" s="6">
        <v>5</v>
      </c>
      <c r="P475" s="6">
        <v>95</v>
      </c>
      <c r="Q475" s="6">
        <v>4</v>
      </c>
      <c r="R475" s="6" t="s">
        <v>35</v>
      </c>
      <c r="S475" s="6" t="s">
        <v>50</v>
      </c>
      <c r="T475" s="6" t="s">
        <v>81</v>
      </c>
      <c r="U475" s="7" t="s">
        <v>2001</v>
      </c>
      <c r="V475" s="6" t="s">
        <v>70</v>
      </c>
      <c r="W475" t="str">
        <f t="shared" si="7"/>
        <v>Blacklisted</v>
      </c>
    </row>
    <row r="476" spans="1:23" ht="14.25" customHeight="1">
      <c r="A476" s="3" t="s">
        <v>2002</v>
      </c>
      <c r="B476" s="3" t="s">
        <v>328</v>
      </c>
      <c r="C476" s="3" t="s">
        <v>55</v>
      </c>
      <c r="D476" s="3" t="s">
        <v>766</v>
      </c>
      <c r="E476" s="3" t="s">
        <v>1374</v>
      </c>
      <c r="F476" s="3" t="s">
        <v>395</v>
      </c>
      <c r="G476" s="3" t="s">
        <v>77</v>
      </c>
      <c r="H476" s="3" t="s">
        <v>2003</v>
      </c>
      <c r="I476" s="3" t="s">
        <v>106</v>
      </c>
      <c r="J476" s="3" t="s">
        <v>107</v>
      </c>
      <c r="K476" s="3" t="s">
        <v>47</v>
      </c>
      <c r="L476" s="3" t="s">
        <v>61</v>
      </c>
      <c r="M476" s="3">
        <v>13</v>
      </c>
      <c r="N476" s="3">
        <v>55000</v>
      </c>
      <c r="O476" s="3">
        <v>5</v>
      </c>
      <c r="P476" s="3">
        <v>679250</v>
      </c>
      <c r="Q476" s="3">
        <v>1</v>
      </c>
      <c r="R476" s="3" t="s">
        <v>49</v>
      </c>
      <c r="S476" s="3" t="s">
        <v>50</v>
      </c>
      <c r="T476" s="3" t="s">
        <v>333</v>
      </c>
      <c r="U476" s="5" t="s">
        <v>2004</v>
      </c>
      <c r="V476" s="3" t="s">
        <v>65</v>
      </c>
      <c r="W476" t="str">
        <f t="shared" si="7"/>
        <v>Blacklisted</v>
      </c>
    </row>
    <row r="477" spans="1:23" ht="14.25" customHeight="1">
      <c r="A477" s="6" t="s">
        <v>2005</v>
      </c>
      <c r="B477" s="6" t="s">
        <v>128</v>
      </c>
      <c r="C477" s="6" t="s">
        <v>55</v>
      </c>
      <c r="D477" s="6" t="s">
        <v>103</v>
      </c>
      <c r="E477" s="6" t="s">
        <v>1115</v>
      </c>
      <c r="F477" s="6" t="s">
        <v>201</v>
      </c>
      <c r="G477" s="6" t="s">
        <v>77</v>
      </c>
      <c r="H477" s="6" t="s">
        <v>2006</v>
      </c>
      <c r="I477" s="6" t="s">
        <v>295</v>
      </c>
      <c r="J477" s="6" t="s">
        <v>296</v>
      </c>
      <c r="K477" s="6" t="s">
        <v>47</v>
      </c>
      <c r="L477" s="6" t="s">
        <v>61</v>
      </c>
      <c r="M477" s="6">
        <v>12</v>
      </c>
      <c r="N477" s="6">
        <v>55000</v>
      </c>
      <c r="O477" s="6">
        <v>5</v>
      </c>
      <c r="P477" s="6">
        <v>627000</v>
      </c>
      <c r="Q477" s="6">
        <v>1</v>
      </c>
      <c r="R477" s="6" t="s">
        <v>49</v>
      </c>
      <c r="S477" s="6" t="s">
        <v>116</v>
      </c>
      <c r="T477" s="6" t="s">
        <v>133</v>
      </c>
      <c r="U477" s="7" t="s">
        <v>2007</v>
      </c>
      <c r="V477" s="6" t="s">
        <v>70</v>
      </c>
      <c r="W477" t="str">
        <f t="shared" si="7"/>
        <v>Blacklisted</v>
      </c>
    </row>
    <row r="478" spans="1:23" ht="14.25" customHeight="1">
      <c r="A478" s="3" t="s">
        <v>2008</v>
      </c>
      <c r="B478" s="3" t="s">
        <v>54</v>
      </c>
      <c r="C478" s="3" t="s">
        <v>260</v>
      </c>
      <c r="D478" s="3" t="s">
        <v>762</v>
      </c>
      <c r="E478" s="3" t="s">
        <v>1706</v>
      </c>
      <c r="F478" s="3" t="s">
        <v>164</v>
      </c>
      <c r="G478" s="3" t="s">
        <v>29</v>
      </c>
      <c r="H478" s="3" t="s">
        <v>2009</v>
      </c>
      <c r="I478" s="3" t="s">
        <v>106</v>
      </c>
      <c r="J478" s="3" t="s">
        <v>107</v>
      </c>
      <c r="K478" s="3" t="s">
        <v>123</v>
      </c>
      <c r="L478" s="3" t="s">
        <v>264</v>
      </c>
      <c r="M478" s="3">
        <v>16</v>
      </c>
      <c r="N478" s="3">
        <v>45</v>
      </c>
      <c r="O478" s="3">
        <v>20</v>
      </c>
      <c r="P478" s="3">
        <v>576</v>
      </c>
      <c r="Q478" s="3">
        <v>2</v>
      </c>
      <c r="R478" s="3" t="s">
        <v>35</v>
      </c>
      <c r="S478" s="3" t="s">
        <v>50</v>
      </c>
      <c r="T478" s="3" t="s">
        <v>63</v>
      </c>
      <c r="U478" s="5" t="s">
        <v>2010</v>
      </c>
      <c r="V478" s="3" t="s">
        <v>65</v>
      </c>
      <c r="W478" t="str">
        <f t="shared" si="7"/>
        <v>Blacklisted</v>
      </c>
    </row>
    <row r="479" spans="1:23" ht="15.75" customHeight="1">
      <c r="A479" s="6" t="s">
        <v>2011</v>
      </c>
      <c r="B479" s="6" t="s">
        <v>24</v>
      </c>
      <c r="C479" s="6" t="s">
        <v>73</v>
      </c>
      <c r="D479" s="6" t="s">
        <v>26</v>
      </c>
      <c r="E479" s="6" t="s">
        <v>74</v>
      </c>
      <c r="F479" s="6" t="s">
        <v>28</v>
      </c>
      <c r="G479" s="6" t="s">
        <v>29</v>
      </c>
      <c r="H479" s="6" t="s">
        <v>2012</v>
      </c>
      <c r="I479" s="6" t="s">
        <v>60</v>
      </c>
      <c r="J479" s="6" t="s">
        <v>32</v>
      </c>
      <c r="K479" s="6" t="s">
        <v>47</v>
      </c>
      <c r="L479" s="6" t="s">
        <v>79</v>
      </c>
      <c r="M479" s="6">
        <v>5</v>
      </c>
      <c r="N479" s="6">
        <v>1200</v>
      </c>
      <c r="O479" s="6">
        <v>10</v>
      </c>
      <c r="P479" s="6">
        <v>5400</v>
      </c>
      <c r="Q479" s="6">
        <v>1</v>
      </c>
      <c r="R479" s="6" t="s">
        <v>35</v>
      </c>
      <c r="S479" s="6"/>
      <c r="T479" s="8" t="s">
        <v>2013</v>
      </c>
      <c r="U479" s="7" t="s">
        <v>2014</v>
      </c>
      <c r="V479" s="6" t="s">
        <v>39</v>
      </c>
      <c r="W479" t="str">
        <f t="shared" si="7"/>
        <v>Blacklisted</v>
      </c>
    </row>
    <row r="480" spans="1:23" ht="14.25" customHeight="1">
      <c r="A480" s="3" t="s">
        <v>2015</v>
      </c>
      <c r="B480" s="3" t="s">
        <v>169</v>
      </c>
      <c r="C480" s="3" t="s">
        <v>260</v>
      </c>
      <c r="D480" s="3" t="s">
        <v>283</v>
      </c>
      <c r="E480" s="3" t="s">
        <v>703</v>
      </c>
      <c r="F480" s="3" t="s">
        <v>2016</v>
      </c>
      <c r="G480" s="3" t="s">
        <v>29</v>
      </c>
      <c r="H480" s="3" t="s">
        <v>2017</v>
      </c>
      <c r="I480" s="3" t="s">
        <v>295</v>
      </c>
      <c r="J480" s="3" t="s">
        <v>296</v>
      </c>
      <c r="K480" s="3" t="s">
        <v>123</v>
      </c>
      <c r="L480" s="3" t="s">
        <v>264</v>
      </c>
      <c r="M480" s="3">
        <v>2</v>
      </c>
      <c r="N480" s="3">
        <v>45</v>
      </c>
      <c r="O480" s="3">
        <v>10</v>
      </c>
      <c r="P480" s="3">
        <v>81</v>
      </c>
      <c r="Q480" s="3">
        <v>4</v>
      </c>
      <c r="R480" s="3" t="s">
        <v>89</v>
      </c>
      <c r="S480" s="3" t="s">
        <v>50</v>
      </c>
      <c r="T480" s="3" t="s">
        <v>176</v>
      </c>
      <c r="U480" s="5" t="s">
        <v>2018</v>
      </c>
      <c r="V480" s="3" t="s">
        <v>65</v>
      </c>
      <c r="W480" t="str">
        <f t="shared" si="7"/>
        <v>Blacklisted</v>
      </c>
    </row>
    <row r="481" spans="1:23" ht="14.25" customHeight="1">
      <c r="A481" s="6" t="s">
        <v>2019</v>
      </c>
      <c r="B481" s="6" t="s">
        <v>128</v>
      </c>
      <c r="C481" s="6" t="s">
        <v>41</v>
      </c>
      <c r="D481" s="6" t="s">
        <v>86</v>
      </c>
      <c r="E481" s="6" t="s">
        <v>588</v>
      </c>
      <c r="F481" s="6" t="s">
        <v>201</v>
      </c>
      <c r="G481" s="6" t="s">
        <v>77</v>
      </c>
      <c r="H481" s="6" t="s">
        <v>2020</v>
      </c>
      <c r="I481" s="6" t="s">
        <v>139</v>
      </c>
      <c r="J481" s="6" t="s">
        <v>107</v>
      </c>
      <c r="K481" s="6" t="s">
        <v>47</v>
      </c>
      <c r="L481" s="6" t="s">
        <v>48</v>
      </c>
      <c r="M481" s="6">
        <v>3</v>
      </c>
      <c r="N481" s="6">
        <v>12000</v>
      </c>
      <c r="O481" s="6">
        <v>0</v>
      </c>
      <c r="P481" s="6">
        <v>36000</v>
      </c>
      <c r="Q481" s="6">
        <v>2</v>
      </c>
      <c r="R481" s="6" t="s">
        <v>89</v>
      </c>
      <c r="S481" s="6" t="s">
        <v>152</v>
      </c>
      <c r="T481" s="6" t="s">
        <v>133</v>
      </c>
      <c r="U481" s="7" t="s">
        <v>2021</v>
      </c>
      <c r="V481" s="6" t="s">
        <v>65</v>
      </c>
      <c r="W481" t="str">
        <f t="shared" si="7"/>
        <v>Blacklisted</v>
      </c>
    </row>
    <row r="482" spans="1:23" ht="14.25" customHeight="1">
      <c r="A482" s="3" t="s">
        <v>2022</v>
      </c>
      <c r="B482" s="3" t="s">
        <v>24</v>
      </c>
      <c r="C482" s="3" t="s">
        <v>41</v>
      </c>
      <c r="D482" s="3" t="s">
        <v>2023</v>
      </c>
      <c r="E482" s="3" t="s">
        <v>1864</v>
      </c>
      <c r="F482" s="3" t="s">
        <v>96</v>
      </c>
      <c r="G482" s="3" t="s">
        <v>29</v>
      </c>
      <c r="H482" s="3" t="s">
        <v>2024</v>
      </c>
      <c r="I482" s="3" t="s">
        <v>60</v>
      </c>
      <c r="J482" s="3" t="s">
        <v>32</v>
      </c>
      <c r="K482" s="3" t="s">
        <v>47</v>
      </c>
      <c r="L482" s="3" t="s">
        <v>48</v>
      </c>
      <c r="M482" s="3">
        <v>3</v>
      </c>
      <c r="N482" s="3">
        <v>12000</v>
      </c>
      <c r="O482" s="3">
        <v>20</v>
      </c>
      <c r="P482" s="3">
        <v>28800</v>
      </c>
      <c r="Q482" s="3">
        <v>3</v>
      </c>
      <c r="R482" s="3" t="s">
        <v>89</v>
      </c>
      <c r="S482" s="3" t="s">
        <v>116</v>
      </c>
      <c r="T482" s="3" t="s">
        <v>51</v>
      </c>
      <c r="U482" s="5" t="s">
        <v>2025</v>
      </c>
      <c r="V482" s="3" t="s">
        <v>39</v>
      </c>
      <c r="W482" t="str">
        <f t="shared" si="7"/>
        <v>Silver</v>
      </c>
    </row>
    <row r="483" spans="1:23" ht="14.25" customHeight="1">
      <c r="A483" s="6" t="s">
        <v>2026</v>
      </c>
      <c r="B483" s="6" t="s">
        <v>128</v>
      </c>
      <c r="C483" s="6" t="s">
        <v>170</v>
      </c>
      <c r="D483" s="6" t="s">
        <v>893</v>
      </c>
      <c r="E483" s="6" t="s">
        <v>162</v>
      </c>
      <c r="F483" s="6" t="s">
        <v>201</v>
      </c>
      <c r="G483" s="6" t="s">
        <v>77</v>
      </c>
      <c r="H483" s="6" t="s">
        <v>2027</v>
      </c>
      <c r="I483" s="6" t="s">
        <v>295</v>
      </c>
      <c r="J483" s="6" t="s">
        <v>296</v>
      </c>
      <c r="K483" s="6" t="s">
        <v>33</v>
      </c>
      <c r="L483" s="6" t="s">
        <v>175</v>
      </c>
      <c r="M483" s="6">
        <v>9</v>
      </c>
      <c r="N483" s="6">
        <v>8500</v>
      </c>
      <c r="O483" s="6">
        <v>15</v>
      </c>
      <c r="P483" s="6">
        <v>65025</v>
      </c>
      <c r="Q483" s="6">
        <v>5</v>
      </c>
      <c r="R483" s="6" t="s">
        <v>35</v>
      </c>
      <c r="S483" s="6" t="s">
        <v>50</v>
      </c>
      <c r="T483" s="6" t="s">
        <v>133</v>
      </c>
      <c r="U483" s="7" t="s">
        <v>2028</v>
      </c>
      <c r="V483" s="6" t="s">
        <v>65</v>
      </c>
      <c r="W483" t="str">
        <f t="shared" si="7"/>
        <v>Blacklisted</v>
      </c>
    </row>
    <row r="484" spans="1:23" ht="14.25" customHeight="1">
      <c r="A484" s="3" t="s">
        <v>2029</v>
      </c>
      <c r="B484" s="3" t="s">
        <v>72</v>
      </c>
      <c r="C484" s="3" t="s">
        <v>185</v>
      </c>
      <c r="D484" s="3" t="s">
        <v>262</v>
      </c>
      <c r="E484" s="3" t="s">
        <v>882</v>
      </c>
      <c r="F484" s="3" t="s">
        <v>2030</v>
      </c>
      <c r="G484" s="3" t="s">
        <v>77</v>
      </c>
      <c r="H484" s="3" t="s">
        <v>2031</v>
      </c>
      <c r="I484" s="3" t="s">
        <v>295</v>
      </c>
      <c r="J484" s="3" t="s">
        <v>296</v>
      </c>
      <c r="K484" s="3" t="s">
        <v>47</v>
      </c>
      <c r="L484" s="3" t="s">
        <v>190</v>
      </c>
      <c r="M484" s="3">
        <v>17</v>
      </c>
      <c r="N484" s="3">
        <v>700</v>
      </c>
      <c r="O484" s="3">
        <v>0</v>
      </c>
      <c r="P484" s="3">
        <v>11900</v>
      </c>
      <c r="Q484" s="3">
        <v>2</v>
      </c>
      <c r="R484" s="3" t="s">
        <v>35</v>
      </c>
      <c r="S484" s="3" t="s">
        <v>62</v>
      </c>
      <c r="T484" s="3" t="s">
        <v>81</v>
      </c>
      <c r="U484" s="5" t="s">
        <v>2032</v>
      </c>
      <c r="V484" s="3" t="s">
        <v>70</v>
      </c>
      <c r="W484" t="str">
        <f t="shared" si="7"/>
        <v>Blacklisted</v>
      </c>
    </row>
    <row r="485" spans="1:23" ht="14.25" customHeight="1">
      <c r="A485" s="6" t="s">
        <v>2033</v>
      </c>
      <c r="B485" s="6" t="s">
        <v>24</v>
      </c>
      <c r="C485" s="6" t="s">
        <v>185</v>
      </c>
      <c r="D485" s="6" t="s">
        <v>1250</v>
      </c>
      <c r="E485" s="6" t="s">
        <v>1573</v>
      </c>
      <c r="F485" s="6" t="s">
        <v>28</v>
      </c>
      <c r="G485" s="6" t="s">
        <v>29</v>
      </c>
      <c r="H485" s="6" t="s">
        <v>2034</v>
      </c>
      <c r="I485" s="6" t="s">
        <v>31</v>
      </c>
      <c r="J485" s="6" t="s">
        <v>32</v>
      </c>
      <c r="K485" s="6" t="s">
        <v>47</v>
      </c>
      <c r="L485" s="6" t="s">
        <v>190</v>
      </c>
      <c r="M485" s="6">
        <v>20</v>
      </c>
      <c r="N485" s="6">
        <v>700</v>
      </c>
      <c r="O485" s="6">
        <v>5</v>
      </c>
      <c r="P485" s="6">
        <v>13300</v>
      </c>
      <c r="Q485" s="6">
        <v>2</v>
      </c>
      <c r="R485" s="6" t="s">
        <v>89</v>
      </c>
      <c r="S485" s="6" t="s">
        <v>36</v>
      </c>
      <c r="T485" s="6" t="s">
        <v>51</v>
      </c>
      <c r="U485" s="7" t="s">
        <v>2035</v>
      </c>
      <c r="V485" s="6" t="s">
        <v>39</v>
      </c>
      <c r="W485" t="str">
        <f t="shared" si="7"/>
        <v>Blacklisted</v>
      </c>
    </row>
    <row r="486" spans="1:23" ht="14.25" customHeight="1">
      <c r="A486" s="3" t="s">
        <v>2036</v>
      </c>
      <c r="B486" s="3" t="s">
        <v>328</v>
      </c>
      <c r="C486" s="3" t="s">
        <v>73</v>
      </c>
      <c r="D486" s="3" t="s">
        <v>555</v>
      </c>
      <c r="E486" s="3" t="s">
        <v>66</v>
      </c>
      <c r="F486" s="3" t="s">
        <v>2037</v>
      </c>
      <c r="G486" s="3" t="s">
        <v>77</v>
      </c>
      <c r="H486" s="3" t="s">
        <v>2038</v>
      </c>
      <c r="I486" s="3" t="s">
        <v>139</v>
      </c>
      <c r="J486" s="3" t="s">
        <v>107</v>
      </c>
      <c r="K486" s="3" t="s">
        <v>47</v>
      </c>
      <c r="L486" s="3" t="s">
        <v>79</v>
      </c>
      <c r="M486" s="3">
        <v>13</v>
      </c>
      <c r="N486" s="3">
        <v>1200</v>
      </c>
      <c r="O486" s="3">
        <v>20</v>
      </c>
      <c r="P486" s="3">
        <v>12480</v>
      </c>
      <c r="Q486" s="3">
        <v>5</v>
      </c>
      <c r="R486" s="3" t="s">
        <v>80</v>
      </c>
      <c r="S486" s="3" t="s">
        <v>116</v>
      </c>
      <c r="T486" s="3" t="s">
        <v>333</v>
      </c>
      <c r="U486" s="5" t="s">
        <v>2039</v>
      </c>
      <c r="V486" s="3" t="s">
        <v>39</v>
      </c>
      <c r="W486" t="str">
        <f t="shared" si="7"/>
        <v>Silver</v>
      </c>
    </row>
    <row r="487" spans="1:23" ht="14.25" customHeight="1">
      <c r="A487" s="6" t="s">
        <v>2040</v>
      </c>
      <c r="B487" s="6" t="s">
        <v>101</v>
      </c>
      <c r="C487" s="6" t="s">
        <v>55</v>
      </c>
      <c r="D487" s="6" t="s">
        <v>2041</v>
      </c>
      <c r="E487" s="6" t="s">
        <v>1933</v>
      </c>
      <c r="F487" s="6" t="s">
        <v>104</v>
      </c>
      <c r="G487" s="6" t="s">
        <v>29</v>
      </c>
      <c r="H487" s="6" t="s">
        <v>1083</v>
      </c>
      <c r="I487" s="6" t="s">
        <v>213</v>
      </c>
      <c r="J487" s="6" t="s">
        <v>46</v>
      </c>
      <c r="K487" s="6" t="s">
        <v>47</v>
      </c>
      <c r="L487" s="6" t="s">
        <v>61</v>
      </c>
      <c r="M487" s="6">
        <v>20</v>
      </c>
      <c r="N487" s="6">
        <v>55000</v>
      </c>
      <c r="O487" s="6">
        <v>10</v>
      </c>
      <c r="P487" s="6">
        <v>990000</v>
      </c>
      <c r="Q487" s="6">
        <v>1</v>
      </c>
      <c r="R487" s="6" t="s">
        <v>89</v>
      </c>
      <c r="S487" s="6" t="s">
        <v>36</v>
      </c>
      <c r="T487" s="6" t="s">
        <v>145</v>
      </c>
      <c r="U487" s="7" t="s">
        <v>2042</v>
      </c>
      <c r="V487" s="6" t="s">
        <v>65</v>
      </c>
      <c r="W487" t="str">
        <f t="shared" si="7"/>
        <v>Blacklisted</v>
      </c>
    </row>
    <row r="488" spans="1:23" ht="14.25" customHeight="1">
      <c r="A488" s="3" t="s">
        <v>2043</v>
      </c>
      <c r="B488" s="3" t="s">
        <v>252</v>
      </c>
      <c r="C488" s="3" t="s">
        <v>73</v>
      </c>
      <c r="D488" s="3" t="s">
        <v>532</v>
      </c>
      <c r="E488" s="3" t="s">
        <v>292</v>
      </c>
      <c r="F488" s="3" t="s">
        <v>255</v>
      </c>
      <c r="G488" s="3" t="s">
        <v>29</v>
      </c>
      <c r="H488" s="3" t="s">
        <v>2044</v>
      </c>
      <c r="I488" s="3" t="s">
        <v>295</v>
      </c>
      <c r="J488" s="3" t="s">
        <v>296</v>
      </c>
      <c r="K488" s="3" t="s">
        <v>47</v>
      </c>
      <c r="L488" s="3" t="s">
        <v>79</v>
      </c>
      <c r="M488" s="3">
        <v>8</v>
      </c>
      <c r="N488" s="3">
        <v>1200</v>
      </c>
      <c r="O488" s="3">
        <v>0</v>
      </c>
      <c r="P488" s="3">
        <v>9600</v>
      </c>
      <c r="Q488" s="3">
        <v>2</v>
      </c>
      <c r="R488" s="3" t="s">
        <v>49</v>
      </c>
      <c r="S488" s="3" t="s">
        <v>152</v>
      </c>
      <c r="T488" s="3" t="s">
        <v>257</v>
      </c>
      <c r="U488" s="5" t="s">
        <v>2045</v>
      </c>
      <c r="V488" s="3" t="s">
        <v>39</v>
      </c>
      <c r="W488" t="str">
        <f t="shared" si="7"/>
        <v>Blacklisted</v>
      </c>
    </row>
    <row r="489" spans="1:23" ht="15.75" customHeight="1">
      <c r="A489" s="6" t="s">
        <v>2046</v>
      </c>
      <c r="B489" s="6" t="s">
        <v>54</v>
      </c>
      <c r="C489" s="6" t="s">
        <v>223</v>
      </c>
      <c r="D489" s="6" t="s">
        <v>2047</v>
      </c>
      <c r="E489" s="6" t="s">
        <v>1239</v>
      </c>
      <c r="F489" s="6" t="s">
        <v>164</v>
      </c>
      <c r="G489" s="6" t="s">
        <v>29</v>
      </c>
      <c r="H489" s="6" t="s">
        <v>2048</v>
      </c>
      <c r="I489" s="6" t="s">
        <v>295</v>
      </c>
      <c r="J489" s="6" t="s">
        <v>296</v>
      </c>
      <c r="K489" s="6" t="s">
        <v>123</v>
      </c>
      <c r="L489" s="6" t="s">
        <v>228</v>
      </c>
      <c r="M489" s="6">
        <v>18</v>
      </c>
      <c r="N489" s="6">
        <v>20</v>
      </c>
      <c r="O489" s="6">
        <v>10</v>
      </c>
      <c r="P489" s="6">
        <v>324</v>
      </c>
      <c r="Q489" s="6">
        <v>5</v>
      </c>
      <c r="R489" s="6" t="s">
        <v>80</v>
      </c>
      <c r="S489" s="6"/>
      <c r="T489" s="8" t="s">
        <v>2049</v>
      </c>
      <c r="U489" s="7" t="s">
        <v>2050</v>
      </c>
      <c r="V489" s="6" t="s">
        <v>65</v>
      </c>
      <c r="W489" t="str">
        <f t="shared" si="7"/>
        <v>Blacklisted</v>
      </c>
    </row>
    <row r="490" spans="1:23" ht="14.25" customHeight="1">
      <c r="A490" s="3" t="s">
        <v>2051</v>
      </c>
      <c r="B490" s="3" t="s">
        <v>169</v>
      </c>
      <c r="C490" s="3" t="s">
        <v>41</v>
      </c>
      <c r="D490" s="3" t="s">
        <v>2052</v>
      </c>
      <c r="E490" s="3" t="s">
        <v>273</v>
      </c>
      <c r="F490" s="3" t="s">
        <v>362</v>
      </c>
      <c r="G490" s="3" t="s">
        <v>29</v>
      </c>
      <c r="H490" s="3" t="s">
        <v>2053</v>
      </c>
      <c r="I490" s="3" t="s">
        <v>115</v>
      </c>
      <c r="J490" s="3" t="s">
        <v>107</v>
      </c>
      <c r="K490" s="3" t="s">
        <v>47</v>
      </c>
      <c r="L490" s="3" t="s">
        <v>48</v>
      </c>
      <c r="M490" s="3">
        <v>11</v>
      </c>
      <c r="N490" s="3">
        <v>12000</v>
      </c>
      <c r="O490" s="3">
        <v>10</v>
      </c>
      <c r="P490" s="3">
        <v>118800</v>
      </c>
      <c r="Q490" s="3">
        <v>1</v>
      </c>
      <c r="R490" s="3" t="s">
        <v>80</v>
      </c>
      <c r="S490" s="3" t="s">
        <v>50</v>
      </c>
      <c r="T490" s="3" t="s">
        <v>176</v>
      </c>
      <c r="U490" s="5" t="s">
        <v>2054</v>
      </c>
      <c r="V490" s="3" t="s">
        <v>70</v>
      </c>
      <c r="W490" t="str">
        <f t="shared" si="7"/>
        <v>Blacklisted</v>
      </c>
    </row>
    <row r="491" spans="1:23" ht="14.25" customHeight="1">
      <c r="A491" s="6" t="s">
        <v>2055</v>
      </c>
      <c r="B491" s="6" t="s">
        <v>328</v>
      </c>
      <c r="C491" s="6" t="s">
        <v>170</v>
      </c>
      <c r="D491" s="6" t="s">
        <v>143</v>
      </c>
      <c r="E491" s="6" t="s">
        <v>1379</v>
      </c>
      <c r="F491" s="6" t="s">
        <v>395</v>
      </c>
      <c r="G491" s="6" t="s">
        <v>77</v>
      </c>
      <c r="H491" s="6" t="s">
        <v>2056</v>
      </c>
      <c r="I491" s="6" t="s">
        <v>31</v>
      </c>
      <c r="J491" s="6" t="s">
        <v>32</v>
      </c>
      <c r="K491" s="6" t="s">
        <v>33</v>
      </c>
      <c r="L491" s="6" t="s">
        <v>175</v>
      </c>
      <c r="M491" s="6">
        <v>2</v>
      </c>
      <c r="N491" s="6">
        <v>8500</v>
      </c>
      <c r="O491" s="6">
        <v>5</v>
      </c>
      <c r="P491" s="6">
        <v>16150</v>
      </c>
      <c r="Q491" s="6">
        <v>1</v>
      </c>
      <c r="R491" s="6" t="s">
        <v>80</v>
      </c>
      <c r="S491" s="6" t="s">
        <v>62</v>
      </c>
      <c r="T491" s="6" t="s">
        <v>333</v>
      </c>
      <c r="U491" s="7" t="s">
        <v>2057</v>
      </c>
      <c r="V491" s="6" t="s">
        <v>39</v>
      </c>
      <c r="W491" t="str">
        <f t="shared" si="7"/>
        <v>Blacklisted</v>
      </c>
    </row>
    <row r="492" spans="1:23" ht="14.25" customHeight="1">
      <c r="A492" s="3" t="s">
        <v>2058</v>
      </c>
      <c r="B492" s="3" t="s">
        <v>101</v>
      </c>
      <c r="C492" s="3" t="s">
        <v>25</v>
      </c>
      <c r="D492" s="3" t="s">
        <v>329</v>
      </c>
      <c r="E492" s="3" t="s">
        <v>1508</v>
      </c>
      <c r="F492" s="3" t="s">
        <v>2059</v>
      </c>
      <c r="G492" s="3" t="s">
        <v>29</v>
      </c>
      <c r="H492" s="3" t="s">
        <v>2060</v>
      </c>
      <c r="I492" s="3" t="s">
        <v>115</v>
      </c>
      <c r="J492" s="3" t="s">
        <v>107</v>
      </c>
      <c r="K492" s="3" t="s">
        <v>33</v>
      </c>
      <c r="L492" s="3" t="s">
        <v>34</v>
      </c>
      <c r="M492" s="3">
        <v>7</v>
      </c>
      <c r="N492" s="3">
        <v>2200</v>
      </c>
      <c r="O492" s="3">
        <v>0</v>
      </c>
      <c r="P492" s="3">
        <v>15400</v>
      </c>
      <c r="Q492" s="3">
        <v>5</v>
      </c>
      <c r="R492" s="3" t="s">
        <v>49</v>
      </c>
      <c r="S492" s="3" t="s">
        <v>36</v>
      </c>
      <c r="T492" s="3" t="s">
        <v>145</v>
      </c>
      <c r="U492" s="5" t="s">
        <v>2061</v>
      </c>
      <c r="V492" s="3" t="s">
        <v>65</v>
      </c>
      <c r="W492" t="str">
        <f t="shared" si="7"/>
        <v>Blacklisted</v>
      </c>
    </row>
    <row r="493" spans="1:23" ht="14.25" customHeight="1">
      <c r="A493" s="6" t="s">
        <v>2062</v>
      </c>
      <c r="B493" s="6" t="s">
        <v>84</v>
      </c>
      <c r="C493" s="6" t="s">
        <v>170</v>
      </c>
      <c r="D493" s="6" t="s">
        <v>1917</v>
      </c>
      <c r="E493" s="6" t="s">
        <v>1099</v>
      </c>
      <c r="F493" s="6" t="s">
        <v>181</v>
      </c>
      <c r="G493" s="6" t="s">
        <v>77</v>
      </c>
      <c r="H493" s="6" t="s">
        <v>2063</v>
      </c>
      <c r="I493" s="6" t="s">
        <v>45</v>
      </c>
      <c r="J493" s="6" t="s">
        <v>46</v>
      </c>
      <c r="K493" s="6" t="s">
        <v>33</v>
      </c>
      <c r="L493" s="6" t="s">
        <v>175</v>
      </c>
      <c r="M493" s="6">
        <v>20</v>
      </c>
      <c r="N493" s="6">
        <v>8500</v>
      </c>
      <c r="O493" s="6">
        <v>0</v>
      </c>
      <c r="P493" s="6">
        <v>170000</v>
      </c>
      <c r="Q493" s="6">
        <v>3</v>
      </c>
      <c r="R493" s="6" t="s">
        <v>49</v>
      </c>
      <c r="S493" s="6" t="s">
        <v>50</v>
      </c>
      <c r="T493" s="6" t="s">
        <v>90</v>
      </c>
      <c r="U493" s="7" t="s">
        <v>2064</v>
      </c>
      <c r="V493" s="6" t="s">
        <v>39</v>
      </c>
      <c r="W493" t="str">
        <f t="shared" si="7"/>
        <v>Blacklisted</v>
      </c>
    </row>
    <row r="494" spans="1:23" ht="14.25" customHeight="1">
      <c r="A494" s="3" t="s">
        <v>2065</v>
      </c>
      <c r="B494" s="3" t="s">
        <v>128</v>
      </c>
      <c r="C494" s="3" t="s">
        <v>73</v>
      </c>
      <c r="D494" s="3" t="s">
        <v>1107</v>
      </c>
      <c r="E494" s="3" t="s">
        <v>840</v>
      </c>
      <c r="F494" s="3" t="s">
        <v>2066</v>
      </c>
      <c r="G494" s="3" t="s">
        <v>77</v>
      </c>
      <c r="H494" s="3" t="s">
        <v>2067</v>
      </c>
      <c r="I494" s="3" t="s">
        <v>31</v>
      </c>
      <c r="J494" s="3" t="s">
        <v>32</v>
      </c>
      <c r="K494" s="3" t="s">
        <v>47</v>
      </c>
      <c r="L494" s="3" t="s">
        <v>79</v>
      </c>
      <c r="M494" s="3">
        <v>11</v>
      </c>
      <c r="N494" s="3">
        <v>1200</v>
      </c>
      <c r="O494" s="3">
        <v>5</v>
      </c>
      <c r="P494" s="3">
        <v>12540</v>
      </c>
      <c r="Q494" s="3">
        <v>2</v>
      </c>
      <c r="R494" s="3" t="s">
        <v>35</v>
      </c>
      <c r="S494" s="3" t="s">
        <v>36</v>
      </c>
      <c r="T494" s="3" t="s">
        <v>133</v>
      </c>
      <c r="U494" s="5" t="s">
        <v>2068</v>
      </c>
      <c r="V494" s="3" t="s">
        <v>65</v>
      </c>
      <c r="W494" t="str">
        <f t="shared" si="7"/>
        <v>Blacklisted</v>
      </c>
    </row>
    <row r="495" spans="1:23" ht="14.25" customHeight="1">
      <c r="A495" s="6" t="s">
        <v>2069</v>
      </c>
      <c r="B495" s="6" t="s">
        <v>84</v>
      </c>
      <c r="C495" s="6" t="s">
        <v>185</v>
      </c>
      <c r="D495" s="6" t="s">
        <v>840</v>
      </c>
      <c r="E495" s="6" t="s">
        <v>757</v>
      </c>
      <c r="F495" s="6" t="s">
        <v>181</v>
      </c>
      <c r="G495" s="6" t="s">
        <v>77</v>
      </c>
      <c r="H495" s="6" t="s">
        <v>2070</v>
      </c>
      <c r="I495" s="6" t="s">
        <v>139</v>
      </c>
      <c r="J495" s="6" t="s">
        <v>107</v>
      </c>
      <c r="K495" s="6" t="s">
        <v>47</v>
      </c>
      <c r="L495" s="6" t="s">
        <v>190</v>
      </c>
      <c r="M495" s="6">
        <v>14</v>
      </c>
      <c r="N495" s="6">
        <v>700</v>
      </c>
      <c r="O495" s="6">
        <v>0</v>
      </c>
      <c r="P495" s="6">
        <v>9800</v>
      </c>
      <c r="Q495" s="6">
        <v>2</v>
      </c>
      <c r="R495" s="6" t="s">
        <v>80</v>
      </c>
      <c r="S495" s="6" t="s">
        <v>152</v>
      </c>
      <c r="T495" s="6" t="s">
        <v>90</v>
      </c>
      <c r="U495" s="7" t="s">
        <v>2071</v>
      </c>
      <c r="V495" s="6" t="s">
        <v>70</v>
      </c>
      <c r="W495" t="str">
        <f t="shared" si="7"/>
        <v>Blacklisted</v>
      </c>
    </row>
    <row r="496" spans="1:23" ht="14.25" customHeight="1">
      <c r="A496" s="3" t="s">
        <v>2072</v>
      </c>
      <c r="B496" s="3" t="s">
        <v>72</v>
      </c>
      <c r="C496" s="3" t="s">
        <v>73</v>
      </c>
      <c r="D496" s="3" t="s">
        <v>794</v>
      </c>
      <c r="E496" s="3" t="s">
        <v>1651</v>
      </c>
      <c r="F496" s="3" t="s">
        <v>218</v>
      </c>
      <c r="G496" s="3" t="s">
        <v>77</v>
      </c>
      <c r="H496" s="3" t="s">
        <v>2073</v>
      </c>
      <c r="I496" s="3" t="s">
        <v>115</v>
      </c>
      <c r="J496" s="3" t="s">
        <v>107</v>
      </c>
      <c r="K496" s="3" t="s">
        <v>47</v>
      </c>
      <c r="L496" s="3" t="s">
        <v>79</v>
      </c>
      <c r="M496" s="3">
        <v>16</v>
      </c>
      <c r="N496" s="3">
        <v>1200</v>
      </c>
      <c r="O496" s="3">
        <v>15</v>
      </c>
      <c r="P496" s="3">
        <v>16320</v>
      </c>
      <c r="Q496" s="3">
        <v>4</v>
      </c>
      <c r="R496" s="3" t="s">
        <v>35</v>
      </c>
      <c r="S496" s="3" t="s">
        <v>152</v>
      </c>
      <c r="T496" s="3" t="s">
        <v>81</v>
      </c>
      <c r="U496" s="5" t="s">
        <v>2074</v>
      </c>
      <c r="V496" s="3" t="s">
        <v>65</v>
      </c>
      <c r="W496" t="str">
        <f t="shared" si="7"/>
        <v>Blacklisted</v>
      </c>
    </row>
    <row r="497" spans="1:23" ht="14.25" customHeight="1">
      <c r="A497" s="6" t="s">
        <v>2075</v>
      </c>
      <c r="B497" s="6" t="s">
        <v>169</v>
      </c>
      <c r="C497" s="6" t="s">
        <v>25</v>
      </c>
      <c r="D497" s="6" t="s">
        <v>494</v>
      </c>
      <c r="E497" s="6" t="s">
        <v>1933</v>
      </c>
      <c r="F497" s="6" t="s">
        <v>2076</v>
      </c>
      <c r="G497" s="6" t="s">
        <v>29</v>
      </c>
      <c r="H497" s="6" t="s">
        <v>2077</v>
      </c>
      <c r="I497" s="6" t="s">
        <v>213</v>
      </c>
      <c r="J497" s="6" t="s">
        <v>46</v>
      </c>
      <c r="K497" s="6" t="s">
        <v>33</v>
      </c>
      <c r="L497" s="6" t="s">
        <v>34</v>
      </c>
      <c r="M497" s="6">
        <v>20</v>
      </c>
      <c r="N497" s="6">
        <v>2200</v>
      </c>
      <c r="O497" s="6">
        <v>0</v>
      </c>
      <c r="P497" s="6">
        <v>44000</v>
      </c>
      <c r="Q497" s="6">
        <v>5</v>
      </c>
      <c r="R497" s="6" t="s">
        <v>35</v>
      </c>
      <c r="S497" s="6" t="s">
        <v>36</v>
      </c>
      <c r="T497" s="6" t="s">
        <v>176</v>
      </c>
      <c r="U497" s="7" t="s">
        <v>2078</v>
      </c>
      <c r="V497" s="6" t="s">
        <v>70</v>
      </c>
      <c r="W497" t="str">
        <f t="shared" si="7"/>
        <v>Blacklisted</v>
      </c>
    </row>
    <row r="498" spans="1:23" ht="14.25" customHeight="1">
      <c r="A498" s="3" t="s">
        <v>2079</v>
      </c>
      <c r="B498" s="3" t="s">
        <v>84</v>
      </c>
      <c r="C498" s="3" t="s">
        <v>41</v>
      </c>
      <c r="D498" s="3" t="s">
        <v>2052</v>
      </c>
      <c r="E498" s="3" t="s">
        <v>273</v>
      </c>
      <c r="F498" s="3" t="s">
        <v>181</v>
      </c>
      <c r="G498" s="3" t="s">
        <v>77</v>
      </c>
      <c r="H498" s="3" t="s">
        <v>2080</v>
      </c>
      <c r="I498" s="3" t="s">
        <v>213</v>
      </c>
      <c r="J498" s="3" t="s">
        <v>46</v>
      </c>
      <c r="K498" s="3" t="s">
        <v>47</v>
      </c>
      <c r="L498" s="3" t="s">
        <v>48</v>
      </c>
      <c r="M498" s="3">
        <v>12</v>
      </c>
      <c r="N498" s="3">
        <v>12000</v>
      </c>
      <c r="O498" s="3">
        <v>15</v>
      </c>
      <c r="P498" s="3">
        <v>122400</v>
      </c>
      <c r="Q498" s="3">
        <v>5</v>
      </c>
      <c r="R498" s="3" t="s">
        <v>35</v>
      </c>
      <c r="S498" s="3" t="s">
        <v>152</v>
      </c>
      <c r="T498" s="3" t="s">
        <v>90</v>
      </c>
      <c r="U498" s="5" t="s">
        <v>2081</v>
      </c>
      <c r="V498" s="3" t="s">
        <v>39</v>
      </c>
      <c r="W498" t="str">
        <f t="shared" si="7"/>
        <v>Blacklisted</v>
      </c>
    </row>
    <row r="499" spans="1:23" ht="14.25" customHeight="1">
      <c r="A499" s="6" t="s">
        <v>2082</v>
      </c>
      <c r="B499" s="6" t="s">
        <v>222</v>
      </c>
      <c r="C499" s="6" t="s">
        <v>73</v>
      </c>
      <c r="D499" s="6" t="s">
        <v>611</v>
      </c>
      <c r="E499" s="6" t="s">
        <v>612</v>
      </c>
      <c r="F499" s="6" t="s">
        <v>226</v>
      </c>
      <c r="G499" s="6" t="s">
        <v>77</v>
      </c>
      <c r="H499" s="6" t="s">
        <v>2083</v>
      </c>
      <c r="I499" s="6" t="s">
        <v>45</v>
      </c>
      <c r="J499" s="6" t="s">
        <v>46</v>
      </c>
      <c r="K499" s="6" t="s">
        <v>47</v>
      </c>
      <c r="L499" s="6" t="s">
        <v>79</v>
      </c>
      <c r="M499" s="6">
        <v>3</v>
      </c>
      <c r="N499" s="6">
        <v>1200</v>
      </c>
      <c r="O499" s="6">
        <v>20</v>
      </c>
      <c r="P499" s="6">
        <v>2880</v>
      </c>
      <c r="Q499" s="6">
        <v>2</v>
      </c>
      <c r="R499" s="6" t="s">
        <v>49</v>
      </c>
      <c r="S499" s="6" t="s">
        <v>116</v>
      </c>
      <c r="T499" s="6" t="s">
        <v>908</v>
      </c>
      <c r="U499" s="7" t="s">
        <v>2084</v>
      </c>
      <c r="V499" s="6" t="s">
        <v>65</v>
      </c>
      <c r="W499" t="str">
        <f t="shared" si="7"/>
        <v>Blacklisted</v>
      </c>
    </row>
    <row r="500" spans="1:23" ht="14.25" customHeight="1">
      <c r="A500" s="3" t="s">
        <v>2085</v>
      </c>
      <c r="B500" s="3" t="s">
        <v>101</v>
      </c>
      <c r="C500" s="3" t="s">
        <v>55</v>
      </c>
      <c r="D500" s="3" t="s">
        <v>277</v>
      </c>
      <c r="E500" s="3" t="s">
        <v>2086</v>
      </c>
      <c r="F500" s="3" t="s">
        <v>104</v>
      </c>
      <c r="G500" s="3" t="s">
        <v>29</v>
      </c>
      <c r="H500" s="3" t="s">
        <v>2087</v>
      </c>
      <c r="I500" s="3" t="s">
        <v>106</v>
      </c>
      <c r="J500" s="3" t="s">
        <v>107</v>
      </c>
      <c r="K500" s="3" t="s">
        <v>47</v>
      </c>
      <c r="L500" s="3" t="s">
        <v>2088</v>
      </c>
      <c r="M500" s="3">
        <v>6</v>
      </c>
      <c r="N500" s="3">
        <v>55000</v>
      </c>
      <c r="O500" s="3">
        <v>20</v>
      </c>
      <c r="P500" s="3">
        <v>264000</v>
      </c>
      <c r="Q500" s="3">
        <v>3</v>
      </c>
      <c r="R500" s="3" t="s">
        <v>35</v>
      </c>
      <c r="S500" s="3" t="s">
        <v>152</v>
      </c>
      <c r="T500" s="3" t="s">
        <v>145</v>
      </c>
      <c r="U500" s="5" t="s">
        <v>2089</v>
      </c>
      <c r="V500" s="3" t="s">
        <v>39</v>
      </c>
      <c r="W500" t="str">
        <f t="shared" si="7"/>
        <v>Blacklisted</v>
      </c>
    </row>
    <row r="501" spans="1:23" ht="14.25" customHeight="1">
      <c r="A501" s="6" t="s">
        <v>2090</v>
      </c>
      <c r="B501" s="6" t="s">
        <v>101</v>
      </c>
      <c r="C501" s="6" t="s">
        <v>93</v>
      </c>
      <c r="D501" s="6" t="s">
        <v>2091</v>
      </c>
      <c r="E501" s="6" t="s">
        <v>130</v>
      </c>
      <c r="F501" s="6" t="s">
        <v>104</v>
      </c>
      <c r="G501" s="6" t="s">
        <v>29</v>
      </c>
      <c r="H501" s="6" t="s">
        <v>2092</v>
      </c>
      <c r="I501" s="6" t="s">
        <v>60</v>
      </c>
      <c r="J501" s="6" t="s">
        <v>32</v>
      </c>
      <c r="K501" s="6" t="s">
        <v>33</v>
      </c>
      <c r="L501" s="6" t="s">
        <v>98</v>
      </c>
      <c r="M501" s="6">
        <v>20</v>
      </c>
      <c r="N501" s="6">
        <v>3500</v>
      </c>
      <c r="O501" s="6">
        <v>0</v>
      </c>
      <c r="P501" s="6">
        <v>70000</v>
      </c>
      <c r="Q501" s="6">
        <v>1</v>
      </c>
      <c r="R501" s="6" t="s">
        <v>49</v>
      </c>
      <c r="S501" s="6" t="s">
        <v>152</v>
      </c>
      <c r="T501" s="6" t="s">
        <v>145</v>
      </c>
      <c r="U501" s="7" t="s">
        <v>2093</v>
      </c>
      <c r="V501" s="6" t="s">
        <v>65</v>
      </c>
      <c r="W501" t="str">
        <f t="shared" si="7"/>
        <v>Blacklisted</v>
      </c>
    </row>
  </sheetData>
  <autoFilter ref="A1:V501" xr:uid="{00000000-0009-0000-0000-000000000000}"/>
  <hyperlinks>
    <hyperlink ref="T2" r:id="rId1" xr:uid="{00000000-0004-0000-0000-000000000000}"/>
    <hyperlink ref="T5" r:id="rId2" xr:uid="{00000000-0004-0000-0000-000001000000}"/>
    <hyperlink ref="T9" r:id="rId3" xr:uid="{00000000-0004-0000-0000-000002000000}"/>
    <hyperlink ref="T11" r:id="rId4" xr:uid="{00000000-0004-0000-0000-000003000000}"/>
    <hyperlink ref="T15" r:id="rId5" xr:uid="{00000000-0004-0000-0000-000004000000}"/>
    <hyperlink ref="T16" r:id="rId6" xr:uid="{00000000-0004-0000-0000-000005000000}"/>
    <hyperlink ref="T20" r:id="rId7" xr:uid="{00000000-0004-0000-0000-000006000000}"/>
    <hyperlink ref="T61" r:id="rId8" xr:uid="{00000000-0004-0000-0000-000007000000}"/>
    <hyperlink ref="T72" r:id="rId9" xr:uid="{00000000-0004-0000-0000-000008000000}"/>
    <hyperlink ref="T294" r:id="rId10" xr:uid="{00000000-0004-0000-0000-000009000000}"/>
    <hyperlink ref="T450" r:id="rId11" xr:uid="{00000000-0004-0000-0000-00000A000000}"/>
    <hyperlink ref="T463" r:id="rId12" xr:uid="{00000000-0004-0000-0000-00000B000000}"/>
    <hyperlink ref="T479" r:id="rId13" xr:uid="{00000000-0004-0000-0000-00000C000000}"/>
    <hyperlink ref="T489" r:id="rId14" xr:uid="{00000000-0004-0000-0000-00000D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pane ySplit="1" topLeftCell="A2" activePane="bottomLeft" state="frozen"/>
      <selection pane="bottomLeft" activeCell="E20" sqref="E20"/>
    </sheetView>
  </sheetViews>
  <sheetFormatPr defaultColWidth="8.5546875" defaultRowHeight="14.25" customHeight="1"/>
  <cols>
    <col min="1" max="1" width="12" customWidth="1"/>
    <col min="2" max="2" width="14" customWidth="1"/>
    <col min="3" max="3" width="17" customWidth="1"/>
    <col min="4" max="4" width="16" customWidth="1"/>
    <col min="5" max="5" width="12" customWidth="1"/>
    <col min="6" max="6" width="17" customWidth="1"/>
  </cols>
  <sheetData>
    <row r="1" spans="1:6" ht="14.25" customHeight="1">
      <c r="A1" s="28" t="s">
        <v>2</v>
      </c>
      <c r="B1" s="28" t="s">
        <v>11</v>
      </c>
      <c r="C1" s="28" t="s">
        <v>10</v>
      </c>
      <c r="D1" s="28" t="s">
        <v>2094</v>
      </c>
      <c r="E1" s="28" t="s">
        <v>2095</v>
      </c>
      <c r="F1" s="28" t="s">
        <v>2096</v>
      </c>
    </row>
    <row r="2" spans="1:6" ht="14.25" customHeight="1">
      <c r="A2" s="29" t="s">
        <v>55</v>
      </c>
      <c r="B2" s="29" t="s">
        <v>61</v>
      </c>
      <c r="C2" s="29" t="s">
        <v>47</v>
      </c>
      <c r="D2" s="29" t="s">
        <v>2097</v>
      </c>
      <c r="E2" s="29">
        <v>41250</v>
      </c>
      <c r="F2" s="29">
        <v>12</v>
      </c>
    </row>
    <row r="3" spans="1:6" ht="14.25" customHeight="1">
      <c r="A3" s="29" t="s">
        <v>185</v>
      </c>
      <c r="B3" s="29" t="s">
        <v>190</v>
      </c>
      <c r="C3" s="29" t="s">
        <v>47</v>
      </c>
      <c r="D3" s="29" t="s">
        <v>2097</v>
      </c>
      <c r="E3" s="29">
        <v>525</v>
      </c>
      <c r="F3" s="29">
        <v>24</v>
      </c>
    </row>
    <row r="4" spans="1:6" ht="14.25" customHeight="1">
      <c r="A4" s="29" t="s">
        <v>73</v>
      </c>
      <c r="B4" s="29" t="s">
        <v>79</v>
      </c>
      <c r="C4" s="29" t="s">
        <v>47</v>
      </c>
      <c r="D4" s="29" t="s">
        <v>2097</v>
      </c>
      <c r="E4" s="29">
        <v>900</v>
      </c>
      <c r="F4" s="29">
        <v>6</v>
      </c>
    </row>
    <row r="5" spans="1:6" ht="14.25" customHeight="1">
      <c r="A5" s="29" t="s">
        <v>41</v>
      </c>
      <c r="B5" s="29" t="s">
        <v>48</v>
      </c>
      <c r="C5" s="29" t="s">
        <v>47</v>
      </c>
      <c r="D5" s="29" t="s">
        <v>2098</v>
      </c>
      <c r="E5" s="29">
        <v>9000</v>
      </c>
      <c r="F5" s="29">
        <v>24</v>
      </c>
    </row>
    <row r="6" spans="1:6" ht="14.25" customHeight="1">
      <c r="A6" s="29" t="s">
        <v>93</v>
      </c>
      <c r="B6" s="29" t="s">
        <v>98</v>
      </c>
      <c r="C6" s="29" t="s">
        <v>33</v>
      </c>
      <c r="D6" s="29" t="s">
        <v>2098</v>
      </c>
      <c r="E6" s="29">
        <v>2625</v>
      </c>
      <c r="F6" s="29">
        <v>6</v>
      </c>
    </row>
    <row r="7" spans="1:6" ht="14.25" customHeight="1">
      <c r="A7" s="29" t="s">
        <v>25</v>
      </c>
      <c r="B7" s="29" t="s">
        <v>34</v>
      </c>
      <c r="C7" s="29" t="s">
        <v>33</v>
      </c>
      <c r="D7" s="29" t="s">
        <v>2098</v>
      </c>
      <c r="E7" s="29">
        <v>1650</v>
      </c>
      <c r="F7" s="29">
        <v>24</v>
      </c>
    </row>
    <row r="8" spans="1:6" ht="14.25" customHeight="1">
      <c r="A8" s="29" t="s">
        <v>170</v>
      </c>
      <c r="B8" s="29" t="s">
        <v>175</v>
      </c>
      <c r="C8" s="29" t="s">
        <v>33</v>
      </c>
      <c r="D8" s="29" t="s">
        <v>2097</v>
      </c>
      <c r="E8" s="29">
        <v>6375</v>
      </c>
      <c r="F8" s="29">
        <v>24</v>
      </c>
    </row>
    <row r="9" spans="1:6" ht="14.25" customHeight="1">
      <c r="A9" s="29" t="s">
        <v>119</v>
      </c>
      <c r="B9" s="29" t="s">
        <v>124</v>
      </c>
      <c r="C9" s="29" t="s">
        <v>123</v>
      </c>
      <c r="D9" s="29" t="s">
        <v>2099</v>
      </c>
      <c r="E9" s="29">
        <v>45</v>
      </c>
      <c r="F9" s="29">
        <v>12</v>
      </c>
    </row>
    <row r="10" spans="1:6" ht="14.25" customHeight="1">
      <c r="A10" s="29" t="s">
        <v>223</v>
      </c>
      <c r="B10" s="29" t="s">
        <v>228</v>
      </c>
      <c r="C10" s="29" t="s">
        <v>123</v>
      </c>
      <c r="D10" s="29" t="s">
        <v>2100</v>
      </c>
      <c r="E10" s="29">
        <v>15</v>
      </c>
      <c r="F10" s="29">
        <v>12</v>
      </c>
    </row>
    <row r="11" spans="1:6" ht="14.25" customHeight="1">
      <c r="A11" s="29" t="s">
        <v>260</v>
      </c>
      <c r="B11" s="29" t="s">
        <v>264</v>
      </c>
      <c r="C11" s="29" t="s">
        <v>123</v>
      </c>
      <c r="D11" s="29" t="s">
        <v>2097</v>
      </c>
      <c r="E11" s="29">
        <v>33.75</v>
      </c>
      <c r="F11" s="29">
        <v>12</v>
      </c>
    </row>
  </sheetData>
  <autoFilter ref="A1:F1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pane ySplit="1" topLeftCell="A2" activePane="bottomLeft" state="frozen"/>
      <selection pane="bottomLeft" activeCell="E22" sqref="E22"/>
    </sheetView>
  </sheetViews>
  <sheetFormatPr defaultColWidth="8.5546875" defaultRowHeight="14.25" customHeight="1"/>
  <cols>
    <col min="1" max="1" width="13" customWidth="1"/>
    <col min="2" max="2" width="15" customWidth="1"/>
    <col min="3" max="4" width="12" customWidth="1"/>
  </cols>
  <sheetData>
    <row r="1" spans="1:4" ht="14.25" customHeight="1">
      <c r="A1" s="28" t="s">
        <v>1</v>
      </c>
      <c r="B1" s="28" t="s">
        <v>5</v>
      </c>
      <c r="C1" s="28" t="s">
        <v>2101</v>
      </c>
      <c r="D1" s="28" t="s">
        <v>2102</v>
      </c>
    </row>
    <row r="2" spans="1:4" ht="14.25" customHeight="1">
      <c r="A2" s="29" t="s">
        <v>328</v>
      </c>
      <c r="B2" s="29" t="s">
        <v>395</v>
      </c>
      <c r="C2" s="29" t="s">
        <v>2103</v>
      </c>
      <c r="D2" s="29" t="s">
        <v>2104</v>
      </c>
    </row>
    <row r="3" spans="1:4" ht="14.25" customHeight="1">
      <c r="A3" s="29" t="s">
        <v>101</v>
      </c>
      <c r="B3" s="29" t="s">
        <v>104</v>
      </c>
      <c r="C3" s="29" t="s">
        <v>2105</v>
      </c>
      <c r="D3" s="29" t="s">
        <v>2106</v>
      </c>
    </row>
    <row r="4" spans="1:4" ht="14.25" customHeight="1">
      <c r="A4" s="29" t="s">
        <v>128</v>
      </c>
      <c r="B4" s="29" t="s">
        <v>201</v>
      </c>
      <c r="C4" s="29" t="s">
        <v>2107</v>
      </c>
      <c r="D4" s="29" t="s">
        <v>2108</v>
      </c>
    </row>
    <row r="5" spans="1:4" ht="14.25" customHeight="1">
      <c r="A5" s="29" t="s">
        <v>169</v>
      </c>
      <c r="B5" s="29" t="s">
        <v>362</v>
      </c>
      <c r="C5" s="29" t="s">
        <v>2107</v>
      </c>
      <c r="D5" s="29" t="s">
        <v>2106</v>
      </c>
    </row>
    <row r="6" spans="1:4" ht="14.25" customHeight="1">
      <c r="A6" s="29" t="s">
        <v>222</v>
      </c>
      <c r="B6" s="29" t="s">
        <v>226</v>
      </c>
      <c r="C6" s="29" t="s">
        <v>2107</v>
      </c>
      <c r="D6" s="29" t="s">
        <v>2108</v>
      </c>
    </row>
    <row r="7" spans="1:4" ht="14.25" customHeight="1">
      <c r="A7" s="29" t="s">
        <v>252</v>
      </c>
      <c r="B7" s="29" t="s">
        <v>255</v>
      </c>
      <c r="C7" s="29" t="s">
        <v>2107</v>
      </c>
      <c r="D7" s="29" t="s">
        <v>2106</v>
      </c>
    </row>
    <row r="8" spans="1:4" ht="14.25" customHeight="1">
      <c r="A8" s="29" t="s">
        <v>84</v>
      </c>
      <c r="B8" s="29" t="s">
        <v>181</v>
      </c>
      <c r="C8" s="29" t="s">
        <v>2103</v>
      </c>
      <c r="D8" s="29" t="s">
        <v>2104</v>
      </c>
    </row>
    <row r="9" spans="1:4" ht="14.25" customHeight="1">
      <c r="A9" s="29" t="s">
        <v>24</v>
      </c>
      <c r="B9" s="29" t="s">
        <v>28</v>
      </c>
      <c r="C9" s="29" t="s">
        <v>2103</v>
      </c>
      <c r="D9" s="29" t="s">
        <v>2106</v>
      </c>
    </row>
    <row r="10" spans="1:4" ht="14.25" customHeight="1">
      <c r="A10" s="29" t="s">
        <v>72</v>
      </c>
      <c r="B10" s="29" t="s">
        <v>218</v>
      </c>
      <c r="C10" s="29" t="s">
        <v>2105</v>
      </c>
      <c r="D10" s="29" t="s">
        <v>2109</v>
      </c>
    </row>
    <row r="11" spans="1:4" ht="14.25" customHeight="1">
      <c r="A11" s="29" t="s">
        <v>54</v>
      </c>
      <c r="B11" s="29" t="s">
        <v>164</v>
      </c>
      <c r="C11" s="29" t="s">
        <v>2103</v>
      </c>
      <c r="D11" s="29" t="s">
        <v>2106</v>
      </c>
    </row>
  </sheetData>
  <autoFilter ref="A1:D11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3"/>
  <sheetViews>
    <sheetView zoomScaleNormal="100" workbookViewId="0">
      <pane ySplit="3" topLeftCell="A483" activePane="bottomLeft" state="frozen"/>
      <selection pane="bottomLeft" activeCell="H487" sqref="H487"/>
    </sheetView>
  </sheetViews>
  <sheetFormatPr defaultColWidth="8.5546875" defaultRowHeight="15" customHeight="1"/>
  <cols>
    <col min="1" max="1" width="14" customWidth="1"/>
    <col min="2" max="2" width="25" customWidth="1"/>
    <col min="3" max="3" width="27" customWidth="1"/>
    <col min="4" max="4" width="18" customWidth="1"/>
    <col min="5" max="5" width="35" customWidth="1"/>
  </cols>
  <sheetData>
    <row r="1" spans="1:5" ht="27.75" customHeight="1">
      <c r="A1" s="30" t="s">
        <v>2110</v>
      </c>
      <c r="B1" s="30"/>
      <c r="C1" s="30"/>
      <c r="D1" s="30"/>
      <c r="E1" s="30"/>
    </row>
    <row r="2" spans="1:5" ht="15" customHeight="1">
      <c r="A2" s="31"/>
      <c r="B2" s="31"/>
      <c r="C2" s="31"/>
      <c r="D2" s="31"/>
      <c r="E2" s="31"/>
    </row>
    <row r="3" spans="1:5" ht="15" customHeight="1">
      <c r="A3" s="32" t="s">
        <v>2111</v>
      </c>
      <c r="B3" s="32" t="s">
        <v>2112</v>
      </c>
      <c r="C3" s="32" t="s">
        <v>2113</v>
      </c>
      <c r="D3" s="32" t="s">
        <v>2114</v>
      </c>
      <c r="E3" s="32" t="s">
        <v>2115</v>
      </c>
    </row>
    <row r="4" spans="1:5" ht="15" customHeight="1">
      <c r="A4" s="29" t="str">
        <f>Sales_data!B2</f>
        <v>C008</v>
      </c>
      <c r="B4" s="29" t="str">
        <f>Sales_data!F2</f>
        <v>Kavya Nair</v>
      </c>
      <c r="C4" s="29" t="str">
        <f>PROPER(TRIM(Sales_data!F2))</f>
        <v>Kavya Nair</v>
      </c>
      <c r="D4" s="29" t="str">
        <f>LEFT(C4,3)&amp;RIGHT(A4,3)&amp;LEFT(Sales_data!I2,2)</f>
        <v>Kav008Hy</v>
      </c>
      <c r="E4" s="29" t="str">
        <f>IF(ISNUMBER(SEARCH("@",Sales_data!T2)),LOWER(SUBSTITUTE(Sales_data!T2," ","")),"Invalid Email")</f>
        <v>kavya.nair@company.com</v>
      </c>
    </row>
    <row r="5" spans="1:5" ht="15" customHeight="1">
      <c r="A5" s="29" t="str">
        <f>Sales_data!B3</f>
        <v>C008</v>
      </c>
      <c r="B5" s="29" t="str">
        <f>Sales_data!F3</f>
        <v>Kavya Nair</v>
      </c>
      <c r="C5" s="29" t="str">
        <f>PROPER(TRIM(Sales_data!F3))</f>
        <v>Kavya Nair</v>
      </c>
      <c r="D5" s="29" t="str">
        <f>LEFT(C5,3)&amp;RIGHT(A5,3)&amp;LEFT(Sales_data!I3,2)</f>
        <v>Kav008De</v>
      </c>
      <c r="E5" s="29" t="str">
        <f>IF(ISNUMBER(SEARCH("@",Sales_data!T3)),LOWER(SUBSTITUTE(Sales_data!T3," ","")),"Invalid Email")</f>
        <v>kavya.nair@company.com</v>
      </c>
    </row>
    <row r="6" spans="1:5" ht="15" customHeight="1">
      <c r="A6" s="29" t="str">
        <f>Sales_data!B4</f>
        <v>C010</v>
      </c>
      <c r="B6" s="29" t="str">
        <f>Sales_data!F4</f>
        <v>pooja      shah</v>
      </c>
      <c r="C6" s="29" t="str">
        <f>PROPER(TRIM(Sales_data!F4))</f>
        <v>Pooja Shah</v>
      </c>
      <c r="D6" s="29" t="str">
        <f>LEFT(C6,3)&amp;RIGHT(A6,3)&amp;LEFT(Sales_data!I4,2)</f>
        <v>Poo010Be</v>
      </c>
      <c r="E6" s="29" t="str">
        <f>IF(ISNUMBER(SEARCH("@",Sales_data!T4)),LOWER(SUBSTITUTE(Sales_data!T4," ","")),"Invalid Email")</f>
        <v>pooja.shah@company.com</v>
      </c>
    </row>
    <row r="7" spans="1:5" ht="15" customHeight="1">
      <c r="A7" s="29" t="str">
        <f>Sales_data!B5</f>
        <v>C008</v>
      </c>
      <c r="B7" s="29" t="str">
        <f>Sales_data!F5</f>
        <v>Kavya Nair</v>
      </c>
      <c r="C7" s="29" t="str">
        <f>PROPER(TRIM(Sales_data!F5))</f>
        <v>Kavya Nair</v>
      </c>
      <c r="D7" s="29" t="str">
        <f>LEFT(C7,3)&amp;RIGHT(A7,3)&amp;LEFT(Sales_data!I5,2)</f>
        <v>Kav008Be</v>
      </c>
      <c r="E7" s="29" t="str">
        <f>IF(ISNUMBER(SEARCH("@",Sales_data!T5)),LOWER(SUBSTITUTE(Sales_data!T5," ","")),"Invalid Email")</f>
        <v>kavya.nair@company.com</v>
      </c>
    </row>
    <row r="8" spans="1:5" ht="15" customHeight="1">
      <c r="A8" s="29" t="str">
        <f>Sales_data!B6</f>
        <v>C009</v>
      </c>
      <c r="B8" s="29" t="str">
        <f>Sales_data!F6</f>
        <v>Mohit     Verma</v>
      </c>
      <c r="C8" s="29" t="str">
        <f>PROPER(TRIM(Sales_data!F6))</f>
        <v>Mohit Verma</v>
      </c>
      <c r="D8" s="29" t="str">
        <f>LEFT(C8,3)&amp;RIGHT(A8,3)&amp;LEFT(Sales_data!I6,2)</f>
        <v>Moh009De</v>
      </c>
      <c r="E8" s="29" t="str">
        <f>IF(ISNUMBER(SEARCH("@",Sales_data!T6)),LOWER(SUBSTITUTE(Sales_data!T6," ","")),"Invalid Email")</f>
        <v>mohit.verma@company.com</v>
      </c>
    </row>
    <row r="9" spans="1:5" ht="15" customHeight="1">
      <c r="A9" s="29" t="str">
        <f>Sales_data!B7</f>
        <v>C007</v>
      </c>
      <c r="B9" s="29" t="str">
        <f>Sales_data!F7</f>
        <v>arjun Rao</v>
      </c>
      <c r="C9" s="29" t="str">
        <f>PROPER(TRIM(Sales_data!F7))</f>
        <v>Arjun Rao</v>
      </c>
      <c r="D9" s="29" t="str">
        <f>LEFT(C9,3)&amp;RIGHT(A9,3)&amp;LEFT(Sales_data!I7,2)</f>
        <v>Arj007Hy</v>
      </c>
      <c r="E9" s="29" t="str">
        <f>IF(ISNUMBER(SEARCH("@",Sales_data!T7)),LOWER(SUBSTITUTE(Sales_data!T7," ","")),"Invalid Email")</f>
        <v>arjun.rao@company.com</v>
      </c>
    </row>
    <row r="10" spans="1:5" ht="15" customHeight="1">
      <c r="A10" s="29" t="str">
        <f>Sales_data!B8</f>
        <v>C008</v>
      </c>
      <c r="B10" s="29" t="str">
        <f>Sales_data!F8</f>
        <v>Kavya      Nair</v>
      </c>
      <c r="C10" s="29" t="str">
        <f>PROPER(TRIM(Sales_data!F8))</f>
        <v>Kavya Nair</v>
      </c>
      <c r="D10" s="29" t="str">
        <f>LEFT(C10,3)&amp;RIGHT(A10,3)&amp;LEFT(Sales_data!I8,2)</f>
        <v>Kav008Hy</v>
      </c>
      <c r="E10" s="29" t="str">
        <f>IF(ISNUMBER(SEARCH("@",Sales_data!T8)),LOWER(SUBSTITUTE(Sales_data!T8," ","")),"Invalid Email")</f>
        <v>kavya.nair@company.com</v>
      </c>
    </row>
    <row r="11" spans="1:5" ht="15" customHeight="1">
      <c r="A11" s="29" t="str">
        <f>Sales_data!B9</f>
        <v>C002</v>
      </c>
      <c r="B11" s="29" t="str">
        <f>Sales_data!F9</f>
        <v>Priya Patel</v>
      </c>
      <c r="C11" s="29" t="str">
        <f>PROPER(TRIM(Sales_data!F9))</f>
        <v>Priya Patel</v>
      </c>
      <c r="D11" s="29" t="str">
        <f>LEFT(C11,3)&amp;RIGHT(A11,3)&amp;LEFT(Sales_data!I9,2)</f>
        <v>Pri002Mu</v>
      </c>
      <c r="E11" s="29" t="str">
        <f>IF(ISNUMBER(SEARCH("@",Sales_data!T9)),LOWER(SUBSTITUTE(Sales_data!T9," ","")),"Invalid Email")</f>
        <v>priya.patel@company.com</v>
      </c>
    </row>
    <row r="12" spans="1:5" ht="15" customHeight="1">
      <c r="A12" s="29" t="str">
        <f>Sales_data!B10</f>
        <v>C008</v>
      </c>
      <c r="B12" s="29" t="str">
        <f>Sales_data!F10</f>
        <v>kavya Nair</v>
      </c>
      <c r="C12" s="29" t="str">
        <f>PROPER(TRIM(Sales_data!F10))</f>
        <v>Kavya Nair</v>
      </c>
      <c r="D12" s="29" t="str">
        <f>LEFT(C12,3)&amp;RIGHT(A12,3)&amp;LEFT(Sales_data!I10,2)</f>
        <v>Kav008Pu</v>
      </c>
      <c r="E12" s="29" t="str">
        <f>IF(ISNUMBER(SEARCH("@",Sales_data!T10)),LOWER(SUBSTITUTE(Sales_data!T10," ","")),"Invalid Email")</f>
        <v>kavya.nair@company.com</v>
      </c>
    </row>
    <row r="13" spans="1:5" ht="15" customHeight="1">
      <c r="A13" s="29" t="str">
        <f>Sales_data!B11</f>
        <v>C002</v>
      </c>
      <c r="B13" s="29" t="str">
        <f>Sales_data!F11</f>
        <v>Priya Patel</v>
      </c>
      <c r="C13" s="29" t="str">
        <f>PROPER(TRIM(Sales_data!F11))</f>
        <v>Priya Patel</v>
      </c>
      <c r="D13" s="29" t="str">
        <f>LEFT(C13,3)&amp;RIGHT(A13,3)&amp;LEFT(Sales_data!I11,2)</f>
        <v>Pri002Mu</v>
      </c>
      <c r="E13" s="29" t="str">
        <f>IF(ISNUMBER(SEARCH("@",Sales_data!T11)),LOWER(SUBSTITUTE(Sales_data!T11," ","")),"Invalid Email")</f>
        <v>priya.patel@company.com</v>
      </c>
    </row>
    <row r="14" spans="1:5" ht="15" customHeight="1">
      <c r="A14" s="29" t="str">
        <f>Sales_data!B12</f>
        <v>C003</v>
      </c>
      <c r="B14" s="29" t="str">
        <f>Sales_data!F12</f>
        <v xml:space="preserve">               Rohit Singh</v>
      </c>
      <c r="C14" s="29" t="str">
        <f>PROPER(TRIM(Sales_data!F12))</f>
        <v>Rohit Singh</v>
      </c>
      <c r="D14" s="29" t="str">
        <f>LEFT(C14,3)&amp;RIGHT(A14,3)&amp;LEFT(Sales_data!I12,2)</f>
        <v>Roh003De</v>
      </c>
      <c r="E14" s="29" t="str">
        <f>IF(ISNUMBER(SEARCH("@",Sales_data!T12)),LOWER(SUBSTITUTE(Sales_data!T12," ","")),"Invalid Email")</f>
        <v>rohit.singh@company.com</v>
      </c>
    </row>
    <row r="15" spans="1:5" ht="15" customHeight="1">
      <c r="A15" s="29" t="str">
        <f>Sales_data!B13</f>
        <v>C008</v>
      </c>
      <c r="B15" s="29" t="str">
        <f>Sales_data!F13</f>
        <v>Kavya Nair</v>
      </c>
      <c r="C15" s="29" t="str">
        <f>PROPER(TRIM(Sales_data!F13))</f>
        <v>Kavya Nair</v>
      </c>
      <c r="D15" s="29" t="str">
        <f>LEFT(C15,3)&amp;RIGHT(A15,3)&amp;LEFT(Sales_data!I13,2)</f>
        <v>Kav008Ah</v>
      </c>
      <c r="E15" s="29" t="str">
        <f>IF(ISNUMBER(SEARCH("@",Sales_data!T13)),LOWER(SUBSTITUTE(Sales_data!T13," ","")),"Invalid Email")</f>
        <v>kavya.nair@company.com</v>
      </c>
    </row>
    <row r="16" spans="1:5" ht="15" customHeight="1">
      <c r="A16" s="29" t="str">
        <f>Sales_data!B14</f>
        <v>C002</v>
      </c>
      <c r="B16" s="29" t="str">
        <f>Sales_data!F14</f>
        <v>Priya Patel</v>
      </c>
      <c r="C16" s="29" t="str">
        <f>PROPER(TRIM(Sales_data!F14))</f>
        <v>Priya Patel</v>
      </c>
      <c r="D16" s="29" t="str">
        <f>LEFT(C16,3)&amp;RIGHT(A16,3)&amp;LEFT(Sales_data!I14,2)</f>
        <v>Pri002Pu</v>
      </c>
      <c r="E16" s="29" t="str">
        <f>IF(ISNUMBER(SEARCH("@",Sales_data!T14)),LOWER(SUBSTITUTE(Sales_data!T14," ","")),"Invalid Email")</f>
        <v>priya.patel@company.com</v>
      </c>
    </row>
    <row r="17" spans="1:5" ht="15" customHeight="1">
      <c r="A17" s="29" t="str">
        <f>Sales_data!B15</f>
        <v>C003</v>
      </c>
      <c r="B17" s="29" t="str">
        <f>Sales_data!F15</f>
        <v>rohit Singh</v>
      </c>
      <c r="C17" s="29" t="str">
        <f>PROPER(TRIM(Sales_data!F15))</f>
        <v>Rohit Singh</v>
      </c>
      <c r="D17" s="29" t="str">
        <f>LEFT(C17,3)&amp;RIGHT(A17,3)&amp;LEFT(Sales_data!I15,2)</f>
        <v>Roh003Mu</v>
      </c>
      <c r="E17" s="29" t="str">
        <f>IF(ISNUMBER(SEARCH("@",Sales_data!T15)),LOWER(SUBSTITUTE(Sales_data!T15," ","")),"Invalid Email")</f>
        <v>rohit.singh@company.com</v>
      </c>
    </row>
    <row r="18" spans="1:5" ht="15" customHeight="1">
      <c r="A18" s="29" t="str">
        <f>Sales_data!B16</f>
        <v>C008</v>
      </c>
      <c r="B18" s="29" t="str">
        <f>Sales_data!F16</f>
        <v xml:space="preserve">    Kavya nair</v>
      </c>
      <c r="C18" s="29" t="str">
        <f>PROPER(TRIM(Sales_data!F16))</f>
        <v>Kavya Nair</v>
      </c>
      <c r="D18" s="29" t="str">
        <f>LEFT(C18,3)&amp;RIGHT(A18,3)&amp;LEFT(Sales_data!I16,2)</f>
        <v>Kav008Mu</v>
      </c>
      <c r="E18" s="29" t="str">
        <f>IF(ISNUMBER(SEARCH("@",Sales_data!T16)),LOWER(SUBSTITUTE(Sales_data!T16," ","")),"Invalid Email")</f>
        <v>kavya.nair@company.com</v>
      </c>
    </row>
    <row r="19" spans="1:5" ht="15" customHeight="1">
      <c r="A19" s="29" t="str">
        <f>Sales_data!B17</f>
        <v>C010</v>
      </c>
      <c r="B19" s="29" t="str">
        <f>Sales_data!F17</f>
        <v>Pooja Shah</v>
      </c>
      <c r="C19" s="29" t="str">
        <f>PROPER(TRIM(Sales_data!F17))</f>
        <v>Pooja Shah</v>
      </c>
      <c r="D19" s="29" t="str">
        <f>LEFT(C19,3)&amp;RIGHT(A19,3)&amp;LEFT(Sales_data!I17,2)</f>
        <v>Poo010Hy</v>
      </c>
      <c r="E19" s="29" t="str">
        <f>IF(ISNUMBER(SEARCH("@",Sales_data!T17)),LOWER(SUBSTITUTE(Sales_data!T17," ","")),"Invalid Email")</f>
        <v>Invalid Email</v>
      </c>
    </row>
    <row r="20" spans="1:5" ht="15" customHeight="1">
      <c r="A20" s="29" t="str">
        <f>Sales_data!B18</f>
        <v>C004</v>
      </c>
      <c r="B20" s="29" t="str">
        <f>Sales_data!F18</f>
        <v xml:space="preserve">  Amit Sharma </v>
      </c>
      <c r="C20" s="29" t="str">
        <f>PROPER(TRIM(Sales_data!F18))</f>
        <v>Amit Sharma</v>
      </c>
      <c r="D20" s="29" t="str">
        <f>LEFT(C20,3)&amp;RIGHT(A20,3)&amp;LEFT(Sales_data!I18,2)</f>
        <v>Ami004Pu</v>
      </c>
      <c r="E20" s="29" t="str">
        <f>IF(ISNUMBER(SEARCH("@",Sales_data!T18)),LOWER(SUBSTITUTE(Sales_data!T18," ","")),"Invalid Email")</f>
        <v>anita.gupta@company.com</v>
      </c>
    </row>
    <row r="21" spans="1:5" ht="15" customHeight="1">
      <c r="A21" s="29" t="str">
        <f>Sales_data!B19</f>
        <v>C007</v>
      </c>
      <c r="B21" s="29" t="str">
        <f>Sales_data!F19</f>
        <v>Arjun Rao</v>
      </c>
      <c r="C21" s="29" t="str">
        <f>PROPER(TRIM(Sales_data!F19))</f>
        <v>Arjun Rao</v>
      </c>
      <c r="D21" s="29" t="str">
        <f>LEFT(C21,3)&amp;RIGHT(A21,3)&amp;LEFT(Sales_data!I19,2)</f>
        <v>Arj007Ah</v>
      </c>
      <c r="E21" s="29" t="str">
        <f>IF(ISNUMBER(SEARCH("@",Sales_data!T19)),LOWER(SUBSTITUTE(Sales_data!T19," ","")),"Invalid Email")</f>
        <v>arjun.rao@company.com</v>
      </c>
    </row>
    <row r="22" spans="1:5" ht="15" customHeight="1">
      <c r="A22" s="29" t="str">
        <f>Sales_data!B20</f>
        <v>C007</v>
      </c>
      <c r="B22" s="29" t="str">
        <f>Sales_data!F20</f>
        <v>arjun rao</v>
      </c>
      <c r="C22" s="29" t="str">
        <f>PROPER(TRIM(Sales_data!F20))</f>
        <v>Arjun Rao</v>
      </c>
      <c r="D22" s="29" t="str">
        <f>LEFT(C22,3)&amp;RIGHT(A22,3)&amp;LEFT(Sales_data!I20,2)</f>
        <v>Arj007Mu</v>
      </c>
      <c r="E22" s="29" t="str">
        <f>IF(ISNUMBER(SEARCH("@",Sales_data!T20)),LOWER(SUBSTITUTE(Sales_data!T20," ","")),"Invalid Email")</f>
        <v>arjun.rao@company.com</v>
      </c>
    </row>
    <row r="23" spans="1:5" ht="15" customHeight="1">
      <c r="A23" s="29" t="str">
        <f>Sales_data!B21</f>
        <v>C008</v>
      </c>
      <c r="B23" s="29" t="str">
        <f>Sales_data!F21</f>
        <v>Kavya Nair</v>
      </c>
      <c r="C23" s="29" t="str">
        <f>PROPER(TRIM(Sales_data!F21))</f>
        <v>Kavya Nair</v>
      </c>
      <c r="D23" s="29" t="str">
        <f>LEFT(C23,3)&amp;RIGHT(A23,3)&amp;LEFT(Sales_data!I21,2)</f>
        <v>Kav008Ah</v>
      </c>
      <c r="E23" s="29" t="str">
        <f>IF(ISNUMBER(SEARCH("@",Sales_data!T21)),LOWER(SUBSTITUTE(Sales_data!T21," ","")),"Invalid Email")</f>
        <v>kavya.nair@company.com</v>
      </c>
    </row>
    <row r="24" spans="1:5" ht="15" customHeight="1">
      <c r="A24" s="29" t="str">
        <f>Sales_data!B22</f>
        <v>C003</v>
      </c>
      <c r="B24" s="29" t="str">
        <f>Sales_data!F22</f>
        <v>Rohit Singh</v>
      </c>
      <c r="C24" s="29" t="str">
        <f>PROPER(TRIM(Sales_data!F22))</f>
        <v>Rohit Singh</v>
      </c>
      <c r="D24" s="29" t="str">
        <f>LEFT(C24,3)&amp;RIGHT(A24,3)&amp;LEFT(Sales_data!I22,2)</f>
        <v>Roh003De</v>
      </c>
      <c r="E24" s="29" t="str">
        <f>IF(ISNUMBER(SEARCH("@",Sales_data!T22)),LOWER(SUBSTITUTE(Sales_data!T22," ","")),"Invalid Email")</f>
        <v>rohit.singh@company.com</v>
      </c>
    </row>
    <row r="25" spans="1:5" ht="15" customHeight="1">
      <c r="A25" s="29" t="str">
        <f>Sales_data!B23</f>
        <v>C008</v>
      </c>
      <c r="B25" s="29" t="str">
        <f>Sales_data!F23</f>
        <v>kavya Nair</v>
      </c>
      <c r="C25" s="29" t="str">
        <f>PROPER(TRIM(Sales_data!F23))</f>
        <v>Kavya Nair</v>
      </c>
      <c r="D25" s="29" t="str">
        <f>LEFT(C25,3)&amp;RIGHT(A25,3)&amp;LEFT(Sales_data!I23,2)</f>
        <v>Kav008Be</v>
      </c>
      <c r="E25" s="29" t="str">
        <f>IF(ISNUMBER(SEARCH("@",Sales_data!T23)),LOWER(SUBSTITUTE(Sales_data!T23," ","")),"Invalid Email")</f>
        <v>kavya.nair@company.com</v>
      </c>
    </row>
    <row r="26" spans="1:5" ht="15" customHeight="1">
      <c r="A26" s="29" t="str">
        <f>Sales_data!B24</f>
        <v>C002</v>
      </c>
      <c r="B26" s="29" t="str">
        <f>Sales_data!F24</f>
        <v>Priya Patel</v>
      </c>
      <c r="C26" s="29" t="str">
        <f>PROPER(TRIM(Sales_data!F24))</f>
        <v>Priya Patel</v>
      </c>
      <c r="D26" s="29" t="str">
        <f>LEFT(C26,3)&amp;RIGHT(A26,3)&amp;LEFT(Sales_data!I24,2)</f>
        <v>Pri002Ja</v>
      </c>
      <c r="E26" s="29" t="str">
        <f>IF(ISNUMBER(SEARCH("@",Sales_data!T24)),LOWER(SUBSTITUTE(Sales_data!T24," ","")),"Invalid Email")</f>
        <v>priya.patel@company.com</v>
      </c>
    </row>
    <row r="27" spans="1:5" ht="15" customHeight="1">
      <c r="A27" s="29" t="str">
        <f>Sales_data!B25</f>
        <v>C009</v>
      </c>
      <c r="B27" s="29" t="str">
        <f>Sales_data!F25</f>
        <v>Mohit Verma</v>
      </c>
      <c r="C27" s="29" t="str">
        <f>PROPER(TRIM(Sales_data!F25))</f>
        <v>Mohit Verma</v>
      </c>
      <c r="D27" s="29" t="str">
        <f>LEFT(C27,3)&amp;RIGHT(A27,3)&amp;LEFT(Sales_data!I25,2)</f>
        <v>Moh009Be</v>
      </c>
      <c r="E27" s="29" t="str">
        <f>IF(ISNUMBER(SEARCH("@",Sales_data!T25)),LOWER(SUBSTITUTE(Sales_data!T25," ","")),"Invalid Email")</f>
        <v>mohit.verma@company.com</v>
      </c>
    </row>
    <row r="28" spans="1:5" ht="15" customHeight="1">
      <c r="A28" s="29" t="str">
        <f>Sales_data!B26</f>
        <v>C005</v>
      </c>
      <c r="B28" s="29" t="str">
        <f>Sales_data!F26</f>
        <v>Vikas Mehta</v>
      </c>
      <c r="C28" s="29" t="str">
        <f>PROPER(TRIM(Sales_data!F26))</f>
        <v>Vikas Mehta</v>
      </c>
      <c r="D28" s="29" t="str">
        <f>LEFT(C28,3)&amp;RIGHT(A28,3)&amp;LEFT(Sales_data!I26,2)</f>
        <v>Vik005Mu</v>
      </c>
      <c r="E28" s="29" t="str">
        <f>IF(ISNUMBER(SEARCH("@",Sales_data!T26)),LOWER(SUBSTITUTE(Sales_data!T26," ","")),"Invalid Email")</f>
        <v>vikas.mehta@company.com</v>
      </c>
    </row>
    <row r="29" spans="1:5" ht="15" customHeight="1">
      <c r="A29" s="29" t="str">
        <f>Sales_data!B27</f>
        <v>C007</v>
      </c>
      <c r="B29" s="29" t="str">
        <f>Sales_data!F27</f>
        <v>Arjun Rao</v>
      </c>
      <c r="C29" s="29" t="str">
        <f>PROPER(TRIM(Sales_data!F27))</f>
        <v>Arjun Rao</v>
      </c>
      <c r="D29" s="29" t="str">
        <f>LEFT(C29,3)&amp;RIGHT(A29,3)&amp;LEFT(Sales_data!I27,2)</f>
        <v>Arj007Mu</v>
      </c>
      <c r="E29" s="29" t="str">
        <f>IF(ISNUMBER(SEARCH("@",Sales_data!T27)),LOWER(SUBSTITUTE(Sales_data!T27," ","")),"Invalid Email")</f>
        <v>arjun.rao@company.com</v>
      </c>
    </row>
    <row r="30" spans="1:5" ht="15" customHeight="1">
      <c r="A30" s="29" t="str">
        <f>Sales_data!B28</f>
        <v>C009</v>
      </c>
      <c r="B30" s="29" t="str">
        <f>Sales_data!F28</f>
        <v>Mohit Verma</v>
      </c>
      <c r="C30" s="29" t="str">
        <f>PROPER(TRIM(Sales_data!F28))</f>
        <v>Mohit Verma</v>
      </c>
      <c r="D30" s="29" t="str">
        <f>LEFT(C30,3)&amp;RIGHT(A30,3)&amp;LEFT(Sales_data!I28,2)</f>
        <v>Moh009Ah</v>
      </c>
      <c r="E30" s="29" t="str">
        <f>IF(ISNUMBER(SEARCH("@",Sales_data!T28)),LOWER(SUBSTITUTE(Sales_data!T28," ","")),"Invalid Email")</f>
        <v>mohit.verma@company.com</v>
      </c>
    </row>
    <row r="31" spans="1:5" ht="15" customHeight="1">
      <c r="A31" s="29" t="str">
        <f>Sales_data!B29</f>
        <v>C008</v>
      </c>
      <c r="B31" s="29" t="str">
        <f>Sales_data!F29</f>
        <v>Kavya Nair</v>
      </c>
      <c r="C31" s="29" t="str">
        <f>PROPER(TRIM(Sales_data!F29))</f>
        <v>Kavya Nair</v>
      </c>
      <c r="D31" s="29" t="str">
        <f>LEFT(C31,3)&amp;RIGHT(A31,3)&amp;LEFT(Sales_data!I29,2)</f>
        <v>Kav008Ah</v>
      </c>
      <c r="E31" s="29" t="str">
        <f>IF(ISNUMBER(SEARCH("@",Sales_data!T29)),LOWER(SUBSTITUTE(Sales_data!T29," ","")),"Invalid Email")</f>
        <v>kavya.nair@company.com</v>
      </c>
    </row>
    <row r="32" spans="1:5" ht="15" customHeight="1">
      <c r="A32" s="29" t="str">
        <f>Sales_data!B30</f>
        <v>C003</v>
      </c>
      <c r="B32" s="29" t="str">
        <f>Sales_data!F30</f>
        <v>Rohit Singh</v>
      </c>
      <c r="C32" s="29" t="str">
        <f>PROPER(TRIM(Sales_data!F30))</f>
        <v>Rohit Singh</v>
      </c>
      <c r="D32" s="29" t="str">
        <f>LEFT(C32,3)&amp;RIGHT(A32,3)&amp;LEFT(Sales_data!I30,2)</f>
        <v>Roh003Pu</v>
      </c>
      <c r="E32" s="29" t="str">
        <f>IF(ISNUMBER(SEARCH("@",Sales_data!T30)),LOWER(SUBSTITUTE(Sales_data!T30," ","")),"Invalid Email")</f>
        <v>rohit.singh@company.com</v>
      </c>
    </row>
    <row r="33" spans="1:5" ht="15" customHeight="1">
      <c r="A33" s="29" t="str">
        <f>Sales_data!B31</f>
        <v>C006</v>
      </c>
      <c r="B33" s="29" t="str">
        <f>Sales_data!F31</f>
        <v>Sneha Joshi</v>
      </c>
      <c r="C33" s="29" t="str">
        <f>PROPER(TRIM(Sales_data!F31))</f>
        <v>Sneha Joshi</v>
      </c>
      <c r="D33" s="29" t="str">
        <f>LEFT(C33,3)&amp;RIGHT(A33,3)&amp;LEFT(Sales_data!I31,2)</f>
        <v>Sne006Pu</v>
      </c>
      <c r="E33" s="29" t="str">
        <f>IF(ISNUMBER(SEARCH("@",Sales_data!T31)),LOWER(SUBSTITUTE(Sales_data!T31," ","")),"Invalid Email")</f>
        <v>sneha.joshi@company.com</v>
      </c>
    </row>
    <row r="34" spans="1:5" ht="15" customHeight="1">
      <c r="A34" s="29" t="str">
        <f>Sales_data!B32</f>
        <v>C008</v>
      </c>
      <c r="B34" s="29" t="str">
        <f>Sales_data!F32</f>
        <v>Kavya Nair</v>
      </c>
      <c r="C34" s="29" t="str">
        <f>PROPER(TRIM(Sales_data!F32))</f>
        <v>Kavya Nair</v>
      </c>
      <c r="D34" s="29" t="str">
        <f>LEFT(C34,3)&amp;RIGHT(A34,3)&amp;LEFT(Sales_data!I32,2)</f>
        <v>Kav008Be</v>
      </c>
      <c r="E34" s="29" t="str">
        <f>IF(ISNUMBER(SEARCH("@",Sales_data!T32)),LOWER(SUBSTITUTE(Sales_data!T32," ","")),"Invalid Email")</f>
        <v>kavya.nair@company.com</v>
      </c>
    </row>
    <row r="35" spans="1:5" ht="15" customHeight="1">
      <c r="A35" s="29" t="str">
        <f>Sales_data!B33</f>
        <v>C002</v>
      </c>
      <c r="B35" s="29" t="str">
        <f>Sales_data!F33</f>
        <v>Priya    Patel</v>
      </c>
      <c r="C35" s="29" t="str">
        <f>PROPER(TRIM(Sales_data!F33))</f>
        <v>Priya Patel</v>
      </c>
      <c r="D35" s="29" t="str">
        <f>LEFT(C35,3)&amp;RIGHT(A35,3)&amp;LEFT(Sales_data!I33,2)</f>
        <v>Pri002Ah</v>
      </c>
      <c r="E35" s="29" t="str">
        <f>IF(ISNUMBER(SEARCH("@",Sales_data!T33)),LOWER(SUBSTITUTE(Sales_data!T33," ","")),"Invalid Email")</f>
        <v>priya.patel@company.com</v>
      </c>
    </row>
    <row r="36" spans="1:5" ht="15" customHeight="1">
      <c r="A36" s="29" t="str">
        <f>Sales_data!B34</f>
        <v>C006</v>
      </c>
      <c r="B36" s="29" t="str">
        <f>Sales_data!F34</f>
        <v>Sneha Joshi</v>
      </c>
      <c r="C36" s="29" t="str">
        <f>PROPER(TRIM(Sales_data!F34))</f>
        <v>Sneha Joshi</v>
      </c>
      <c r="D36" s="29" t="str">
        <f>LEFT(C36,3)&amp;RIGHT(A36,3)&amp;LEFT(Sales_data!I34,2)</f>
        <v>Sne006Be</v>
      </c>
      <c r="E36" s="29" t="str">
        <f>IF(ISNUMBER(SEARCH("@",Sales_data!T34)),LOWER(SUBSTITUTE(Sales_data!T34," ","")),"Invalid Email")</f>
        <v>sneha.joshi@company.com</v>
      </c>
    </row>
    <row r="37" spans="1:5" ht="15" customHeight="1">
      <c r="A37" s="29" t="str">
        <f>Sales_data!B35</f>
        <v>C007</v>
      </c>
      <c r="B37" s="29" t="str">
        <f>Sales_data!F35</f>
        <v>Arjun Rao</v>
      </c>
      <c r="C37" s="29" t="str">
        <f>PROPER(TRIM(Sales_data!F35))</f>
        <v>Arjun Rao</v>
      </c>
      <c r="D37" s="29" t="str">
        <f>LEFT(C37,3)&amp;RIGHT(A37,3)&amp;LEFT(Sales_data!I35,2)</f>
        <v>Arj007Ah</v>
      </c>
      <c r="E37" s="29" t="str">
        <f>IF(ISNUMBER(SEARCH("@",Sales_data!T35)),LOWER(SUBSTITUTE(Sales_data!T35," ","")),"Invalid Email")</f>
        <v>Invalid Email</v>
      </c>
    </row>
    <row r="38" spans="1:5" ht="15" customHeight="1">
      <c r="A38" s="29" t="str">
        <f>Sales_data!B36</f>
        <v>C003</v>
      </c>
      <c r="B38" s="29" t="str">
        <f>Sales_data!F36</f>
        <v>Rohit Singh</v>
      </c>
      <c r="C38" s="29" t="str">
        <f>PROPER(TRIM(Sales_data!F36))</f>
        <v>Rohit Singh</v>
      </c>
      <c r="D38" s="29" t="str">
        <f>LEFT(C38,3)&amp;RIGHT(A38,3)&amp;LEFT(Sales_data!I36,2)</f>
        <v>Roh003Pu</v>
      </c>
      <c r="E38" s="29" t="str">
        <f>IF(ISNUMBER(SEARCH("@",Sales_data!T36)),LOWER(SUBSTITUTE(Sales_data!T36," ","")),"Invalid Email")</f>
        <v>rohit.singh@company.com</v>
      </c>
    </row>
    <row r="39" spans="1:5" ht="15" customHeight="1">
      <c r="A39" s="29" t="str">
        <f>Sales_data!B37</f>
        <v>C003</v>
      </c>
      <c r="B39" s="29" t="str">
        <f>Sales_data!F37</f>
        <v>Rohit Singh</v>
      </c>
      <c r="C39" s="29" t="str">
        <f>PROPER(TRIM(Sales_data!F37))</f>
        <v>Rohit Singh</v>
      </c>
      <c r="D39" s="29" t="str">
        <f>LEFT(C39,3)&amp;RIGHT(A39,3)&amp;LEFT(Sales_data!I37,2)</f>
        <v>Roh003Be</v>
      </c>
      <c r="E39" s="29" t="str">
        <f>IF(ISNUMBER(SEARCH("@",Sales_data!T37)),LOWER(SUBSTITUTE(Sales_data!T37," ","")),"Invalid Email")</f>
        <v>rohit.singh@company.com</v>
      </c>
    </row>
    <row r="40" spans="1:5" ht="15" customHeight="1">
      <c r="A40" s="29" t="str">
        <f>Sales_data!B38</f>
        <v>C009</v>
      </c>
      <c r="B40" s="29" t="str">
        <f>Sales_data!F38</f>
        <v>Mohit Verma</v>
      </c>
      <c r="C40" s="29" t="str">
        <f>PROPER(TRIM(Sales_data!F38))</f>
        <v>Mohit Verma</v>
      </c>
      <c r="D40" s="29" t="str">
        <f>LEFT(C40,3)&amp;RIGHT(A40,3)&amp;LEFT(Sales_data!I38,2)</f>
        <v>Moh009Ko</v>
      </c>
      <c r="E40" s="29" t="str">
        <f>IF(ISNUMBER(SEARCH("@",Sales_data!T38)),LOWER(SUBSTITUTE(Sales_data!T38," ","")),"Invalid Email")</f>
        <v>mohit.verma@company.com</v>
      </c>
    </row>
    <row r="41" spans="1:5" ht="15" customHeight="1">
      <c r="A41" s="29" t="str">
        <f>Sales_data!B39</f>
        <v>C006</v>
      </c>
      <c r="B41" s="29" t="str">
        <f>Sales_data!F39</f>
        <v>Sneha Joshi</v>
      </c>
      <c r="C41" s="29" t="str">
        <f>PROPER(TRIM(Sales_data!F39))</f>
        <v>Sneha Joshi</v>
      </c>
      <c r="D41" s="29" t="str">
        <f>LEFT(C41,3)&amp;RIGHT(A41,3)&amp;LEFT(Sales_data!I39,2)</f>
        <v>Sne006De</v>
      </c>
      <c r="E41" s="29" t="str">
        <f>IF(ISNUMBER(SEARCH("@",Sales_data!T39)),LOWER(SUBSTITUTE(Sales_data!T39," ","")),"Invalid Email")</f>
        <v>sneha.joshi@company.com</v>
      </c>
    </row>
    <row r="42" spans="1:5" ht="15" customHeight="1">
      <c r="A42" s="29" t="str">
        <f>Sales_data!B40</f>
        <v>C008</v>
      </c>
      <c r="B42" s="29" t="str">
        <f>Sales_data!F40</f>
        <v>Kavya Nair</v>
      </c>
      <c r="C42" s="29" t="str">
        <f>PROPER(TRIM(Sales_data!F40))</f>
        <v>Kavya Nair</v>
      </c>
      <c r="D42" s="29" t="str">
        <f>LEFT(C42,3)&amp;RIGHT(A42,3)&amp;LEFT(Sales_data!I40,2)</f>
        <v>Kav008Pu</v>
      </c>
      <c r="E42" s="29" t="str">
        <f>IF(ISNUMBER(SEARCH("@",Sales_data!T40)),LOWER(SUBSTITUTE(Sales_data!T40," ","")),"Invalid Email")</f>
        <v>kavya.nair@company.com</v>
      </c>
    </row>
    <row r="43" spans="1:5" ht="15" customHeight="1">
      <c r="A43" s="29" t="str">
        <f>Sales_data!B41</f>
        <v>C010</v>
      </c>
      <c r="B43" s="29" t="str">
        <f>Sales_data!F41</f>
        <v>Pooja Shah</v>
      </c>
      <c r="C43" s="29" t="str">
        <f>PROPER(TRIM(Sales_data!F41))</f>
        <v>Pooja Shah</v>
      </c>
      <c r="D43" s="29" t="str">
        <f>LEFT(C43,3)&amp;RIGHT(A43,3)&amp;LEFT(Sales_data!I41,2)</f>
        <v>Poo010Mu</v>
      </c>
      <c r="E43" s="29" t="str">
        <f>IF(ISNUMBER(SEARCH("@",Sales_data!T41)),LOWER(SUBSTITUTE(Sales_data!T41," ","")),"Invalid Email")</f>
        <v>pooja.shah@company.com</v>
      </c>
    </row>
    <row r="44" spans="1:5" ht="15" customHeight="1">
      <c r="A44" s="29" t="str">
        <f>Sales_data!B42</f>
        <v>C007</v>
      </c>
      <c r="B44" s="29" t="str">
        <f>Sales_data!F42</f>
        <v>Arjun Rao</v>
      </c>
      <c r="C44" s="29" t="str">
        <f>PROPER(TRIM(Sales_data!F42))</f>
        <v>Arjun Rao</v>
      </c>
      <c r="D44" s="29" t="str">
        <f>LEFT(C44,3)&amp;RIGHT(A44,3)&amp;LEFT(Sales_data!I42,2)</f>
        <v>Arj007Be</v>
      </c>
      <c r="E44" s="29" t="str">
        <f>IF(ISNUMBER(SEARCH("@",Sales_data!T42)),LOWER(SUBSTITUTE(Sales_data!T42," ","")),"Invalid Email")</f>
        <v>arjun.rao@company.com</v>
      </c>
    </row>
    <row r="45" spans="1:5" ht="15" customHeight="1">
      <c r="A45" s="29" t="str">
        <f>Sales_data!B43</f>
        <v>C010</v>
      </c>
      <c r="B45" s="29" t="str">
        <f>Sales_data!F43</f>
        <v>Pooja Shah</v>
      </c>
      <c r="C45" s="29" t="str">
        <f>PROPER(TRIM(Sales_data!F43))</f>
        <v>Pooja Shah</v>
      </c>
      <c r="D45" s="29" t="str">
        <f>LEFT(C45,3)&amp;RIGHT(A45,3)&amp;LEFT(Sales_data!I43,2)</f>
        <v>Poo010Pu</v>
      </c>
      <c r="E45" s="29" t="str">
        <f>IF(ISNUMBER(SEARCH("@",Sales_data!T43)),LOWER(SUBSTITUTE(Sales_data!T43," ","")),"Invalid Email")</f>
        <v>pooja.shah@company.com</v>
      </c>
    </row>
    <row r="46" spans="1:5" ht="15" customHeight="1">
      <c r="A46" s="29" t="str">
        <f>Sales_data!B44</f>
        <v>C009</v>
      </c>
      <c r="B46" s="29" t="str">
        <f>Sales_data!F44</f>
        <v>Mohit Verma</v>
      </c>
      <c r="C46" s="29" t="str">
        <f>PROPER(TRIM(Sales_data!F44))</f>
        <v>Mohit Verma</v>
      </c>
      <c r="D46" s="29" t="str">
        <f>LEFT(C46,3)&amp;RIGHT(A46,3)&amp;LEFT(Sales_data!I44,2)</f>
        <v>Moh009Ja</v>
      </c>
      <c r="E46" s="29" t="str">
        <f>IF(ISNUMBER(SEARCH("@",Sales_data!T44)),LOWER(SUBSTITUTE(Sales_data!T44," ","")),"Invalid Email")</f>
        <v>mohit.verma@company.com</v>
      </c>
    </row>
    <row r="47" spans="1:5" ht="15" customHeight="1">
      <c r="A47" s="29" t="str">
        <f>Sales_data!B45</f>
        <v>C001</v>
      </c>
      <c r="B47" s="29" t="str">
        <f>Sales_data!F45</f>
        <v>amit Sharma</v>
      </c>
      <c r="C47" s="29" t="str">
        <f>PROPER(TRIM(Sales_data!F45))</f>
        <v>Amit Sharma</v>
      </c>
      <c r="D47" s="29" t="str">
        <f>LEFT(C47,3)&amp;RIGHT(A47,3)&amp;LEFT(Sales_data!I45,2)</f>
        <v>Ami001Pu</v>
      </c>
      <c r="E47" s="29" t="str">
        <f>IF(ISNUMBER(SEARCH("@",Sales_data!T45)),LOWER(SUBSTITUTE(Sales_data!T45," ","")),"Invalid Email")</f>
        <v>amit.sharma@company.com</v>
      </c>
    </row>
    <row r="48" spans="1:5" ht="15" customHeight="1">
      <c r="A48" s="29" t="str">
        <f>Sales_data!B46</f>
        <v>C006</v>
      </c>
      <c r="B48" s="29" t="str">
        <f>Sales_data!F46</f>
        <v>Sneha Joshi</v>
      </c>
      <c r="C48" s="29" t="str">
        <f>PROPER(TRIM(Sales_data!F46))</f>
        <v>Sneha Joshi</v>
      </c>
      <c r="D48" s="29" t="str">
        <f>LEFT(C48,3)&amp;RIGHT(A48,3)&amp;LEFT(Sales_data!I46,2)</f>
        <v>Sne006Pu</v>
      </c>
      <c r="E48" s="29" t="str">
        <f>IF(ISNUMBER(SEARCH("@",Sales_data!T46)),LOWER(SUBSTITUTE(Sales_data!T46," ","")),"Invalid Email")</f>
        <v>sneha.joshi@company.com</v>
      </c>
    </row>
    <row r="49" spans="1:5" ht="15" customHeight="1">
      <c r="A49" s="29" t="str">
        <f>Sales_data!B47</f>
        <v>C009</v>
      </c>
      <c r="B49" s="29" t="str">
        <f>Sales_data!F47</f>
        <v>Mohit Verma</v>
      </c>
      <c r="C49" s="29" t="str">
        <f>PROPER(TRIM(Sales_data!F47))</f>
        <v>Mohit Verma</v>
      </c>
      <c r="D49" s="29" t="str">
        <f>LEFT(C49,3)&amp;RIGHT(A49,3)&amp;LEFT(Sales_data!I47,2)</f>
        <v>Moh009Be</v>
      </c>
      <c r="E49" s="29" t="str">
        <f>IF(ISNUMBER(SEARCH("@",Sales_data!T47)),LOWER(SUBSTITUTE(Sales_data!T47," ","")),"Invalid Email")</f>
        <v>mohit.verma@company.com</v>
      </c>
    </row>
    <row r="50" spans="1:5" ht="15" customHeight="1">
      <c r="A50" s="29" t="str">
        <f>Sales_data!B48</f>
        <v>C006</v>
      </c>
      <c r="B50" s="29" t="str">
        <f>Sales_data!F48</f>
        <v>Sneha Joshi</v>
      </c>
      <c r="C50" s="29" t="str">
        <f>PROPER(TRIM(Sales_data!F48))</f>
        <v>Sneha Joshi</v>
      </c>
      <c r="D50" s="29" t="str">
        <f>LEFT(C50,3)&amp;RIGHT(A50,3)&amp;LEFT(Sales_data!I48,2)</f>
        <v>Sne006Pu</v>
      </c>
      <c r="E50" s="29" t="str">
        <f>IF(ISNUMBER(SEARCH("@",Sales_data!T48)),LOWER(SUBSTITUTE(Sales_data!T48," ","")),"Invalid Email")</f>
        <v>Invalid Email</v>
      </c>
    </row>
    <row r="51" spans="1:5" ht="15" customHeight="1">
      <c r="A51" s="29" t="str">
        <f>Sales_data!B49</f>
        <v>C006</v>
      </c>
      <c r="B51" s="29" t="str">
        <f>Sales_data!F49</f>
        <v>Sneha Joshi</v>
      </c>
      <c r="C51" s="29" t="str">
        <f>PROPER(TRIM(Sales_data!F49))</f>
        <v>Sneha Joshi</v>
      </c>
      <c r="D51" s="29" t="str">
        <f>LEFT(C51,3)&amp;RIGHT(A51,3)&amp;LEFT(Sales_data!I49,2)</f>
        <v>Sne006Ja</v>
      </c>
      <c r="E51" s="29" t="str">
        <f>IF(ISNUMBER(SEARCH("@",Sales_data!T49)),LOWER(SUBSTITUTE(Sales_data!T49," ","")),"Invalid Email")</f>
        <v>sneha.joshi@company.com</v>
      </c>
    </row>
    <row r="52" spans="1:5" ht="15" customHeight="1">
      <c r="A52" s="29" t="str">
        <f>Sales_data!B50</f>
        <v>C009</v>
      </c>
      <c r="B52" s="29" t="str">
        <f>Sales_data!F50</f>
        <v>Mohit Verma</v>
      </c>
      <c r="C52" s="29" t="str">
        <f>PROPER(TRIM(Sales_data!F50))</f>
        <v>Mohit Verma</v>
      </c>
      <c r="D52" s="29" t="str">
        <f>LEFT(C52,3)&amp;RIGHT(A52,3)&amp;LEFT(Sales_data!I50,2)</f>
        <v>Moh009De</v>
      </c>
      <c r="E52" s="29" t="str">
        <f>IF(ISNUMBER(SEARCH("@",Sales_data!T50)),LOWER(SUBSTITUTE(Sales_data!T50," ","")),"Invalid Email")</f>
        <v>mohit.verma@company.com</v>
      </c>
    </row>
    <row r="53" spans="1:5" ht="15" customHeight="1">
      <c r="A53" s="29" t="str">
        <f>Sales_data!B51</f>
        <v>C004</v>
      </c>
      <c r="B53" s="29" t="str">
        <f>Sales_data!F51</f>
        <v>Anita Gupta</v>
      </c>
      <c r="C53" s="29" t="str">
        <f>PROPER(TRIM(Sales_data!F51))</f>
        <v>Anita Gupta</v>
      </c>
      <c r="D53" s="29" t="str">
        <f>LEFT(C53,3)&amp;RIGHT(A53,3)&amp;LEFT(Sales_data!I51,2)</f>
        <v>Ani004Pu</v>
      </c>
      <c r="E53" s="29" t="str">
        <f>IF(ISNUMBER(SEARCH("@",Sales_data!T51)),LOWER(SUBSTITUTE(Sales_data!T51," ","")),"Invalid Email")</f>
        <v>anita.gupta@company.com</v>
      </c>
    </row>
    <row r="54" spans="1:5" ht="15" customHeight="1">
      <c r="A54" s="29" t="str">
        <f>Sales_data!B52</f>
        <v>C010</v>
      </c>
      <c r="B54" s="29" t="str">
        <f>Sales_data!F52</f>
        <v>POoja Shah</v>
      </c>
      <c r="C54" s="29" t="str">
        <f>PROPER(TRIM(Sales_data!F52))</f>
        <v>Pooja Shah</v>
      </c>
      <c r="D54" s="29" t="str">
        <f>LEFT(C54,3)&amp;RIGHT(A54,3)&amp;LEFT(Sales_data!I52,2)</f>
        <v>Poo010Be</v>
      </c>
      <c r="E54" s="29" t="str">
        <f>IF(ISNUMBER(SEARCH("@",Sales_data!T52)),LOWER(SUBSTITUTE(Sales_data!T52," ","")),"Invalid Email")</f>
        <v>pooja.shah@company.com</v>
      </c>
    </row>
    <row r="55" spans="1:5" ht="15" customHeight="1">
      <c r="A55" s="29" t="str">
        <f>Sales_data!B53</f>
        <v>C002</v>
      </c>
      <c r="B55" s="29" t="str">
        <f>Sales_data!F53</f>
        <v>Priya Patel</v>
      </c>
      <c r="C55" s="29" t="str">
        <f>PROPER(TRIM(Sales_data!F53))</f>
        <v>Priya Patel</v>
      </c>
      <c r="D55" s="29" t="str">
        <f>LEFT(C55,3)&amp;RIGHT(A55,3)&amp;LEFT(Sales_data!I53,2)</f>
        <v>Pri002Ja</v>
      </c>
      <c r="E55" s="29" t="str">
        <f>IF(ISNUMBER(SEARCH("@",Sales_data!T53)),LOWER(SUBSTITUTE(Sales_data!T53," ","")),"Invalid Email")</f>
        <v>priya.patel@company.com</v>
      </c>
    </row>
    <row r="56" spans="1:5" ht="15" customHeight="1">
      <c r="A56" s="29" t="str">
        <f>Sales_data!B54</f>
        <v>C005</v>
      </c>
      <c r="B56" s="29" t="str">
        <f>Sales_data!F54</f>
        <v>Vikas Mehta</v>
      </c>
      <c r="C56" s="29" t="str">
        <f>PROPER(TRIM(Sales_data!F54))</f>
        <v>Vikas Mehta</v>
      </c>
      <c r="D56" s="29" t="str">
        <f>LEFT(C56,3)&amp;RIGHT(A56,3)&amp;LEFT(Sales_data!I54,2)</f>
        <v>Vik005Ko</v>
      </c>
      <c r="E56" s="29" t="str">
        <f>IF(ISNUMBER(SEARCH("@",Sales_data!T54)),LOWER(SUBSTITUTE(Sales_data!T54," ","")),"Invalid Email")</f>
        <v>vikas.mehta@company.com</v>
      </c>
    </row>
    <row r="57" spans="1:5" ht="15" customHeight="1">
      <c r="A57" s="29" t="str">
        <f>Sales_data!B55</f>
        <v>C008</v>
      </c>
      <c r="B57" s="29" t="str">
        <f>Sales_data!F55</f>
        <v>Kavya Nair</v>
      </c>
      <c r="C57" s="29" t="str">
        <f>PROPER(TRIM(Sales_data!F55))</f>
        <v>Kavya Nair</v>
      </c>
      <c r="D57" s="29" t="str">
        <f>LEFT(C57,3)&amp;RIGHT(A57,3)&amp;LEFT(Sales_data!I55,2)</f>
        <v>Kav008Ja</v>
      </c>
      <c r="E57" s="29" t="str">
        <f>IF(ISNUMBER(SEARCH("@",Sales_data!T55)),LOWER(SUBSTITUTE(Sales_data!T55," ","")),"Invalid Email")</f>
        <v>kavya.nair@company.com</v>
      </c>
    </row>
    <row r="58" spans="1:5" ht="15" customHeight="1">
      <c r="A58" s="29" t="str">
        <f>Sales_data!B56</f>
        <v>C003</v>
      </c>
      <c r="B58" s="29" t="str">
        <f>Sales_data!F56</f>
        <v>RoHit Singh</v>
      </c>
      <c r="C58" s="29" t="str">
        <f>PROPER(TRIM(Sales_data!F56))</f>
        <v>Rohit Singh</v>
      </c>
      <c r="D58" s="29" t="str">
        <f>LEFT(C58,3)&amp;RIGHT(A58,3)&amp;LEFT(Sales_data!I56,2)</f>
        <v>Roh003Ah</v>
      </c>
      <c r="E58" s="29" t="str">
        <f>IF(ISNUMBER(SEARCH("@",Sales_data!T56)),LOWER(SUBSTITUTE(Sales_data!T56," ","")),"Invalid Email")</f>
        <v>rohit.singh@company.com</v>
      </c>
    </row>
    <row r="59" spans="1:5" ht="15" customHeight="1">
      <c r="A59" s="29" t="str">
        <f>Sales_data!B57</f>
        <v>C001</v>
      </c>
      <c r="B59" s="29" t="str">
        <f>Sales_data!F57</f>
        <v>Amit Sharma</v>
      </c>
      <c r="C59" s="29" t="str">
        <f>PROPER(TRIM(Sales_data!F57))</f>
        <v>Amit Sharma</v>
      </c>
      <c r="D59" s="29" t="str">
        <f>LEFT(C59,3)&amp;RIGHT(A59,3)&amp;LEFT(Sales_data!I57,2)</f>
        <v>Ami001Ja</v>
      </c>
      <c r="E59" s="29" t="str">
        <f>IF(ISNUMBER(SEARCH("@",Sales_data!T57)),LOWER(SUBSTITUTE(Sales_data!T57," ","")),"Invalid Email")</f>
        <v>amit.sharma@company.com</v>
      </c>
    </row>
    <row r="60" spans="1:5" ht="15" customHeight="1">
      <c r="A60" s="29" t="str">
        <f>Sales_data!B58</f>
        <v>C001</v>
      </c>
      <c r="B60" s="29" t="str">
        <f>Sales_data!F58</f>
        <v>Amit Sharma</v>
      </c>
      <c r="C60" s="29" t="str">
        <f>PROPER(TRIM(Sales_data!F58))</f>
        <v>Amit Sharma</v>
      </c>
      <c r="D60" s="29" t="str">
        <f>LEFT(C60,3)&amp;RIGHT(A60,3)&amp;LEFT(Sales_data!I58,2)</f>
        <v>Ami001Be</v>
      </c>
      <c r="E60" s="29" t="str">
        <f>IF(ISNUMBER(SEARCH("@",Sales_data!T58)),LOWER(SUBSTITUTE(Sales_data!T58," ","")),"Invalid Email")</f>
        <v>Invalid Email</v>
      </c>
    </row>
    <row r="61" spans="1:5" ht="15" customHeight="1">
      <c r="A61" s="29" t="str">
        <f>Sales_data!B59</f>
        <v>C003</v>
      </c>
      <c r="B61" s="29" t="str">
        <f>Sales_data!F59</f>
        <v>Rohit Singh</v>
      </c>
      <c r="C61" s="29" t="str">
        <f>PROPER(TRIM(Sales_data!F59))</f>
        <v>Rohit Singh</v>
      </c>
      <c r="D61" s="29" t="str">
        <f>LEFT(C61,3)&amp;RIGHT(A61,3)&amp;LEFT(Sales_data!I59,2)</f>
        <v>Roh003De</v>
      </c>
      <c r="E61" s="29" t="str">
        <f>IF(ISNUMBER(SEARCH("@",Sales_data!T59)),LOWER(SUBSTITUTE(Sales_data!T59," ","")),"Invalid Email")</f>
        <v>rohit.singh@company.com</v>
      </c>
    </row>
    <row r="62" spans="1:5" ht="15" customHeight="1">
      <c r="A62" s="29" t="str">
        <f>Sales_data!B60</f>
        <v>C007</v>
      </c>
      <c r="B62" s="29" t="str">
        <f>Sales_data!F60</f>
        <v>Arjun Rao</v>
      </c>
      <c r="C62" s="29" t="str">
        <f>PROPER(TRIM(Sales_data!F60))</f>
        <v>Arjun Rao</v>
      </c>
      <c r="D62" s="29" t="str">
        <f>LEFT(C62,3)&amp;RIGHT(A62,3)&amp;LEFT(Sales_data!I60,2)</f>
        <v>Arj007Ja</v>
      </c>
      <c r="E62" s="29" t="str">
        <f>IF(ISNUMBER(SEARCH("@",Sales_data!T60)),LOWER(SUBSTITUTE(Sales_data!T60," ","")),"Invalid Email")</f>
        <v>arjun.rao@company.com</v>
      </c>
    </row>
    <row r="63" spans="1:5" ht="15" customHeight="1">
      <c r="A63" s="29" t="str">
        <f>Sales_data!B61</f>
        <v>C005</v>
      </c>
      <c r="B63" s="29" t="str">
        <f>Sales_data!F61</f>
        <v>Vikas Mehta</v>
      </c>
      <c r="C63" s="29" t="str">
        <f>PROPER(TRIM(Sales_data!F61))</f>
        <v>Vikas Mehta</v>
      </c>
      <c r="D63" s="29" t="str">
        <f>LEFT(C63,3)&amp;RIGHT(A63,3)&amp;LEFT(Sales_data!I61,2)</f>
        <v>Vik005Ja</v>
      </c>
      <c r="E63" s="29" t="str">
        <f>IF(ISNUMBER(SEARCH("@",Sales_data!T61)),LOWER(SUBSTITUTE(Sales_data!T61," ","")),"Invalid Email")</f>
        <v>vikas.mehta@company.com</v>
      </c>
    </row>
    <row r="64" spans="1:5" ht="15" customHeight="1">
      <c r="A64" s="29" t="str">
        <f>Sales_data!B62</f>
        <v>C008</v>
      </c>
      <c r="B64" s="29" t="str">
        <f>Sales_data!F62</f>
        <v>Kavya Nair</v>
      </c>
      <c r="C64" s="29" t="str">
        <f>PROPER(TRIM(Sales_data!F62))</f>
        <v>Kavya Nair</v>
      </c>
      <c r="D64" s="29" t="str">
        <f>LEFT(C64,3)&amp;RIGHT(A64,3)&amp;LEFT(Sales_data!I62,2)</f>
        <v>Kav008De</v>
      </c>
      <c r="E64" s="29" t="str">
        <f>IF(ISNUMBER(SEARCH("@",Sales_data!T62)),LOWER(SUBSTITUTE(Sales_data!T62," ","")),"Invalid Email")</f>
        <v>kavya.nair@company.com</v>
      </c>
    </row>
    <row r="65" spans="1:5" ht="15" customHeight="1">
      <c r="A65" s="29" t="str">
        <f>Sales_data!B63</f>
        <v>C002</v>
      </c>
      <c r="B65" s="29" t="str">
        <f>Sales_data!F63</f>
        <v>Priya Patel</v>
      </c>
      <c r="C65" s="29" t="str">
        <f>PROPER(TRIM(Sales_data!F63))</f>
        <v>Priya Patel</v>
      </c>
      <c r="D65" s="29" t="str">
        <f>LEFT(C65,3)&amp;RIGHT(A65,3)&amp;LEFT(Sales_data!I63,2)</f>
        <v>Pri002Pu</v>
      </c>
      <c r="E65" s="29" t="str">
        <f>IF(ISNUMBER(SEARCH("@",Sales_data!T63)),LOWER(SUBSTITUTE(Sales_data!T63," ","")),"Invalid Email")</f>
        <v>priya.patel@company.com</v>
      </c>
    </row>
    <row r="66" spans="1:5" ht="15" customHeight="1">
      <c r="A66" s="29" t="str">
        <f>Sales_data!B64</f>
        <v>C010</v>
      </c>
      <c r="B66" s="29" t="str">
        <f>Sales_data!F64</f>
        <v>Pooja Shah</v>
      </c>
      <c r="C66" s="29" t="str">
        <f>PROPER(TRIM(Sales_data!F64))</f>
        <v>Pooja Shah</v>
      </c>
      <c r="D66" s="29" t="str">
        <f>LEFT(C66,3)&amp;RIGHT(A66,3)&amp;LEFT(Sales_data!I64,2)</f>
        <v>Poo010Mu</v>
      </c>
      <c r="E66" s="29" t="str">
        <f>IF(ISNUMBER(SEARCH("@",Sales_data!T64)),LOWER(SUBSTITUTE(Sales_data!T64," ","")),"Invalid Email")</f>
        <v>pooja.shah@company.com</v>
      </c>
    </row>
    <row r="67" spans="1:5" ht="15" customHeight="1">
      <c r="A67" s="29" t="str">
        <f>Sales_data!B65</f>
        <v>C006</v>
      </c>
      <c r="B67" s="29" t="str">
        <f>Sales_data!F65</f>
        <v>Sneha Joshi</v>
      </c>
      <c r="C67" s="29" t="str">
        <f>PROPER(TRIM(Sales_data!F65))</f>
        <v>Sneha Joshi</v>
      </c>
      <c r="D67" s="29" t="str">
        <f>LEFT(C67,3)&amp;RIGHT(A67,3)&amp;LEFT(Sales_data!I65,2)</f>
        <v>Sne006Ah</v>
      </c>
      <c r="E67" s="29" t="str">
        <f>IF(ISNUMBER(SEARCH("@",Sales_data!T65)),LOWER(SUBSTITUTE(Sales_data!T65," ","")),"Invalid Email")</f>
        <v>sneha.joshi@company.com</v>
      </c>
    </row>
    <row r="68" spans="1:5" ht="15" customHeight="1">
      <c r="A68" s="29" t="str">
        <f>Sales_data!B66</f>
        <v>C010</v>
      </c>
      <c r="B68" s="29" t="str">
        <f>Sales_data!F66</f>
        <v>Pooja Shah</v>
      </c>
      <c r="C68" s="29" t="str">
        <f>PROPER(TRIM(Sales_data!F66))</f>
        <v>Pooja Shah</v>
      </c>
      <c r="D68" s="29" t="str">
        <f>LEFT(C68,3)&amp;RIGHT(A68,3)&amp;LEFT(Sales_data!I66,2)</f>
        <v>Poo010Ko</v>
      </c>
      <c r="E68" s="29" t="str">
        <f>IF(ISNUMBER(SEARCH("@",Sales_data!T66)),LOWER(SUBSTITUTE(Sales_data!T66," ","")),"Invalid Email")</f>
        <v>pooja.shah@company.com</v>
      </c>
    </row>
    <row r="69" spans="1:5" ht="15" customHeight="1">
      <c r="A69" s="29" t="str">
        <f>Sales_data!B67</f>
        <v>C002</v>
      </c>
      <c r="B69" s="29" t="str">
        <f>Sales_data!F67</f>
        <v>Priya Patel</v>
      </c>
      <c r="C69" s="29" t="str">
        <f>PROPER(TRIM(Sales_data!F67))</f>
        <v>Priya Patel</v>
      </c>
      <c r="D69" s="29" t="str">
        <f>LEFT(C69,3)&amp;RIGHT(A69,3)&amp;LEFT(Sales_data!I67,2)</f>
        <v>Pri002Ko</v>
      </c>
      <c r="E69" s="29" t="str">
        <f>IF(ISNUMBER(SEARCH("@",Sales_data!T67)),LOWER(SUBSTITUTE(Sales_data!T67," ","")),"Invalid Email")</f>
        <v>priya.patel@company.com</v>
      </c>
    </row>
    <row r="70" spans="1:5" ht="15" customHeight="1">
      <c r="A70" s="29" t="str">
        <f>Sales_data!B68</f>
        <v>C008</v>
      </c>
      <c r="B70" s="29" t="str">
        <f>Sales_data!F68</f>
        <v>Kavya Nair</v>
      </c>
      <c r="C70" s="29" t="str">
        <f>PROPER(TRIM(Sales_data!F68))</f>
        <v>Kavya Nair</v>
      </c>
      <c r="D70" s="29" t="str">
        <f>LEFT(C70,3)&amp;RIGHT(A70,3)&amp;LEFT(Sales_data!I68,2)</f>
        <v>Kav008De</v>
      </c>
      <c r="E70" s="29" t="str">
        <f>IF(ISNUMBER(SEARCH("@",Sales_data!T68)),LOWER(SUBSTITUTE(Sales_data!T68," ","")),"Invalid Email")</f>
        <v>kavya.nair@company.com</v>
      </c>
    </row>
    <row r="71" spans="1:5" ht="15" customHeight="1">
      <c r="A71" s="29" t="str">
        <f>Sales_data!B69</f>
        <v>C006</v>
      </c>
      <c r="B71" s="29" t="str">
        <f>Sales_data!F69</f>
        <v>Sneha Joshi</v>
      </c>
      <c r="C71" s="29" t="str">
        <f>PROPER(TRIM(Sales_data!F69))</f>
        <v>Sneha Joshi</v>
      </c>
      <c r="D71" s="29" t="str">
        <f>LEFT(C71,3)&amp;RIGHT(A71,3)&amp;LEFT(Sales_data!I69,2)</f>
        <v>Sne006Hy</v>
      </c>
      <c r="E71" s="29" t="str">
        <f>IF(ISNUMBER(SEARCH("@",Sales_data!T69)),LOWER(SUBSTITUTE(Sales_data!T69," ","")),"Invalid Email")</f>
        <v>sneha.joshi@company.com</v>
      </c>
    </row>
    <row r="72" spans="1:5" ht="15" customHeight="1">
      <c r="A72" s="29" t="str">
        <f>Sales_data!B70</f>
        <v>C010</v>
      </c>
      <c r="B72" s="29" t="str">
        <f>Sales_data!F70</f>
        <v>Pooja Shah</v>
      </c>
      <c r="C72" s="29" t="str">
        <f>PROPER(TRIM(Sales_data!F70))</f>
        <v>Pooja Shah</v>
      </c>
      <c r="D72" s="29" t="str">
        <f>LEFT(C72,3)&amp;RIGHT(A72,3)&amp;LEFT(Sales_data!I70,2)</f>
        <v>Poo010Ja</v>
      </c>
      <c r="E72" s="29" t="str">
        <f>IF(ISNUMBER(SEARCH("@",Sales_data!T70)),LOWER(SUBSTITUTE(Sales_data!T70," ","")),"Invalid Email")</f>
        <v>pooja.shah@company.com</v>
      </c>
    </row>
    <row r="73" spans="1:5" ht="15" customHeight="1">
      <c r="A73" s="29" t="str">
        <f>Sales_data!B71</f>
        <v>C008</v>
      </c>
      <c r="B73" s="29" t="str">
        <f>Sales_data!F71</f>
        <v>Kavya Nair</v>
      </c>
      <c r="C73" s="29" t="str">
        <f>PROPER(TRIM(Sales_data!F71))</f>
        <v>Kavya Nair</v>
      </c>
      <c r="D73" s="29" t="str">
        <f>LEFT(C73,3)&amp;RIGHT(A73,3)&amp;LEFT(Sales_data!I71,2)</f>
        <v>Kav008Be</v>
      </c>
      <c r="E73" s="29" t="str">
        <f>IF(ISNUMBER(SEARCH("@",Sales_data!T71)),LOWER(SUBSTITUTE(Sales_data!T71," ","")),"Invalid Email")</f>
        <v>kavya.nair@company.com</v>
      </c>
    </row>
    <row r="74" spans="1:5" ht="15" customHeight="1">
      <c r="A74" s="29" t="str">
        <f>Sales_data!B72</f>
        <v>C004</v>
      </c>
      <c r="B74" s="29" t="str">
        <f>Sales_data!F72</f>
        <v>Anita Gupta</v>
      </c>
      <c r="C74" s="29" t="str">
        <f>PROPER(TRIM(Sales_data!F72))</f>
        <v>Anita Gupta</v>
      </c>
      <c r="D74" s="29" t="str">
        <f>LEFT(C74,3)&amp;RIGHT(A74,3)&amp;LEFT(Sales_data!I72,2)</f>
        <v>Ani004Mu</v>
      </c>
      <c r="E74" s="29" t="str">
        <f>IF(ISNUMBER(SEARCH("@",Sales_data!T72)),LOWER(SUBSTITUTE(Sales_data!T72," ","")),"Invalid Email")</f>
        <v>anita.gupta@company.com</v>
      </c>
    </row>
    <row r="75" spans="1:5" ht="15" customHeight="1">
      <c r="A75" s="29" t="str">
        <f>Sales_data!B73</f>
        <v>C003</v>
      </c>
      <c r="B75" s="29" t="str">
        <f>Sales_data!F73</f>
        <v>Rohit Singh</v>
      </c>
      <c r="C75" s="29" t="str">
        <f>PROPER(TRIM(Sales_data!F73))</f>
        <v>Rohit Singh</v>
      </c>
      <c r="D75" s="29" t="str">
        <f>LEFT(C75,3)&amp;RIGHT(A75,3)&amp;LEFT(Sales_data!I73,2)</f>
        <v>Roh003Be</v>
      </c>
      <c r="E75" s="29" t="str">
        <f>IF(ISNUMBER(SEARCH("@",Sales_data!T73)),LOWER(SUBSTITUTE(Sales_data!T73," ","")),"Invalid Email")</f>
        <v>rohit.singh@company.com</v>
      </c>
    </row>
    <row r="76" spans="1:5" ht="15" customHeight="1">
      <c r="A76" s="29" t="str">
        <f>Sales_data!B74</f>
        <v>C008</v>
      </c>
      <c r="B76" s="29" t="str">
        <f>Sales_data!F74</f>
        <v>Kavya Nair</v>
      </c>
      <c r="C76" s="29" t="str">
        <f>PROPER(TRIM(Sales_data!F74))</f>
        <v>Kavya Nair</v>
      </c>
      <c r="D76" s="29" t="str">
        <f>LEFT(C76,3)&amp;RIGHT(A76,3)&amp;LEFT(Sales_data!I74,2)</f>
        <v>Kav008Ja</v>
      </c>
      <c r="E76" s="29" t="str">
        <f>IF(ISNUMBER(SEARCH("@",Sales_data!T74)),LOWER(SUBSTITUTE(Sales_data!T74," ","")),"Invalid Email")</f>
        <v>kavya.nair@company.com</v>
      </c>
    </row>
    <row r="77" spans="1:5" ht="15" customHeight="1">
      <c r="A77" s="29" t="str">
        <f>Sales_data!B75</f>
        <v>C010</v>
      </c>
      <c r="B77" s="29" t="str">
        <f>Sales_data!F75</f>
        <v>Pooja Shah</v>
      </c>
      <c r="C77" s="29" t="str">
        <f>PROPER(TRIM(Sales_data!F75))</f>
        <v>Pooja Shah</v>
      </c>
      <c r="D77" s="29" t="str">
        <f>LEFT(C77,3)&amp;RIGHT(A77,3)&amp;LEFT(Sales_data!I75,2)</f>
        <v>Poo010</v>
      </c>
      <c r="E77" s="29" t="str">
        <f>IF(ISNUMBER(SEARCH("@",Sales_data!T75)),LOWER(SUBSTITUTE(Sales_data!T75," ","")),"Invalid Email")</f>
        <v>pooja.shah@company.com</v>
      </c>
    </row>
    <row r="78" spans="1:5" ht="15" customHeight="1">
      <c r="A78" s="29" t="str">
        <f>Sales_data!B76</f>
        <v>C003</v>
      </c>
      <c r="B78" s="29" t="str">
        <f>Sales_data!F76</f>
        <v>Rohit Singh</v>
      </c>
      <c r="C78" s="29" t="str">
        <f>PROPER(TRIM(Sales_data!F76))</f>
        <v>Rohit Singh</v>
      </c>
      <c r="D78" s="29" t="str">
        <f>LEFT(C78,3)&amp;RIGHT(A78,3)&amp;LEFT(Sales_data!I76,2)</f>
        <v>Roh003Pu</v>
      </c>
      <c r="E78" s="29" t="str">
        <f>IF(ISNUMBER(SEARCH("@",Sales_data!T76)),LOWER(SUBSTITUTE(Sales_data!T76," ","")),"Invalid Email")</f>
        <v>rohit.singh@company.com</v>
      </c>
    </row>
    <row r="79" spans="1:5" ht="15" customHeight="1">
      <c r="A79" s="29" t="str">
        <f>Sales_data!B77</f>
        <v>C008</v>
      </c>
      <c r="B79" s="29" t="str">
        <f>Sales_data!F77</f>
        <v>Kavya Nair</v>
      </c>
      <c r="C79" s="29" t="str">
        <f>PROPER(TRIM(Sales_data!F77))</f>
        <v>Kavya Nair</v>
      </c>
      <c r="D79" s="29" t="str">
        <f>LEFT(C79,3)&amp;RIGHT(A79,3)&amp;LEFT(Sales_data!I77,2)</f>
        <v>Kav008Be</v>
      </c>
      <c r="E79" s="29" t="str">
        <f>IF(ISNUMBER(SEARCH("@",Sales_data!T77)),LOWER(SUBSTITUTE(Sales_data!T77," ","")),"Invalid Email")</f>
        <v>kavya.nair@company.com</v>
      </c>
    </row>
    <row r="80" spans="1:5" ht="15" customHeight="1">
      <c r="A80" s="29" t="str">
        <f>Sales_data!B78</f>
        <v>C007</v>
      </c>
      <c r="B80" s="29" t="str">
        <f>Sales_data!F78</f>
        <v>Arjun Rao</v>
      </c>
      <c r="C80" s="29" t="str">
        <f>PROPER(TRIM(Sales_data!F78))</f>
        <v>Arjun Rao</v>
      </c>
      <c r="D80" s="29" t="str">
        <f>LEFT(C80,3)&amp;RIGHT(A80,3)&amp;LEFT(Sales_data!I78,2)</f>
        <v>Arj007De</v>
      </c>
      <c r="E80" s="29" t="str">
        <f>IF(ISNUMBER(SEARCH("@",Sales_data!T78)),LOWER(SUBSTITUTE(Sales_data!T78," ","")),"Invalid Email")</f>
        <v>arjun.rao@company.com</v>
      </c>
    </row>
    <row r="81" spans="1:5" ht="15" customHeight="1">
      <c r="A81" s="29" t="str">
        <f>Sales_data!B79</f>
        <v>C005</v>
      </c>
      <c r="B81" s="29" t="str">
        <f>Sales_data!F79</f>
        <v>Vikas Mehta</v>
      </c>
      <c r="C81" s="29" t="str">
        <f>PROPER(TRIM(Sales_data!F79))</f>
        <v>Vikas Mehta</v>
      </c>
      <c r="D81" s="29" t="str">
        <f>LEFT(C81,3)&amp;RIGHT(A81,3)&amp;LEFT(Sales_data!I79,2)</f>
        <v>Vik005Be</v>
      </c>
      <c r="E81" s="29" t="str">
        <f>IF(ISNUMBER(SEARCH("@",Sales_data!T79)),LOWER(SUBSTITUTE(Sales_data!T79," ","")),"Invalid Email")</f>
        <v>vikas.mehta@company.com</v>
      </c>
    </row>
    <row r="82" spans="1:5" ht="15" customHeight="1">
      <c r="A82" s="29" t="str">
        <f>Sales_data!B80</f>
        <v>C009</v>
      </c>
      <c r="B82" s="29" t="str">
        <f>Sales_data!F80</f>
        <v>Mohit Verma</v>
      </c>
      <c r="C82" s="29" t="str">
        <f>PROPER(TRIM(Sales_data!F80))</f>
        <v>Mohit Verma</v>
      </c>
      <c r="D82" s="29" t="str">
        <f>LEFT(C82,3)&amp;RIGHT(A82,3)&amp;LEFT(Sales_data!I80,2)</f>
        <v>Moh009Mu</v>
      </c>
      <c r="E82" s="29" t="str">
        <f>IF(ISNUMBER(SEARCH("@",Sales_data!T80)),LOWER(SUBSTITUTE(Sales_data!T80," ","")),"Invalid Email")</f>
        <v>mohit.verma@company.com</v>
      </c>
    </row>
    <row r="83" spans="1:5" ht="15" customHeight="1">
      <c r="A83" s="29" t="str">
        <f>Sales_data!B81</f>
        <v>C003</v>
      </c>
      <c r="B83" s="29" t="str">
        <f>Sales_data!F81</f>
        <v>Rohit Singh</v>
      </c>
      <c r="C83" s="29" t="str">
        <f>PROPER(TRIM(Sales_data!F81))</f>
        <v>Rohit Singh</v>
      </c>
      <c r="D83" s="29" t="str">
        <f>LEFT(C83,3)&amp;RIGHT(A83,3)&amp;LEFT(Sales_data!I81,2)</f>
        <v>Roh003Pu</v>
      </c>
      <c r="E83" s="29" t="str">
        <f>IF(ISNUMBER(SEARCH("@",Sales_data!T81)),LOWER(SUBSTITUTE(Sales_data!T81," ","")),"Invalid Email")</f>
        <v>rohit.singh@company.com</v>
      </c>
    </row>
    <row r="84" spans="1:5" ht="15" customHeight="1">
      <c r="A84" s="29" t="str">
        <f>Sales_data!B82</f>
        <v>C001</v>
      </c>
      <c r="B84" s="29" t="str">
        <f>Sales_data!F82</f>
        <v>Amit Sharma</v>
      </c>
      <c r="C84" s="29" t="str">
        <f>PROPER(TRIM(Sales_data!F82))</f>
        <v>Amit Sharma</v>
      </c>
      <c r="D84" s="29" t="str">
        <f>LEFT(C84,3)&amp;RIGHT(A84,3)&amp;LEFT(Sales_data!I82,2)</f>
        <v>Ami001Pu</v>
      </c>
      <c r="E84" s="29" t="str">
        <f>IF(ISNUMBER(SEARCH("@",Sales_data!T82)),LOWER(SUBSTITUTE(Sales_data!T82," ","")),"Invalid Email")</f>
        <v>amit.sharma@company.com</v>
      </c>
    </row>
    <row r="85" spans="1:5" ht="15" customHeight="1">
      <c r="A85" s="29" t="str">
        <f>Sales_data!B83</f>
        <v>C005</v>
      </c>
      <c r="B85" s="29" t="str">
        <f>Sales_data!F83</f>
        <v>Vikas Mehta</v>
      </c>
      <c r="C85" s="29" t="str">
        <f>PROPER(TRIM(Sales_data!F83))</f>
        <v>Vikas Mehta</v>
      </c>
      <c r="D85" s="29" t="str">
        <f>LEFT(C85,3)&amp;RIGHT(A85,3)&amp;LEFT(Sales_data!I83,2)</f>
        <v>Vik005Ko</v>
      </c>
      <c r="E85" s="29" t="str">
        <f>IF(ISNUMBER(SEARCH("@",Sales_data!T83)),LOWER(SUBSTITUTE(Sales_data!T83," ","")),"Invalid Email")</f>
        <v>vikas.mehta@company.com</v>
      </c>
    </row>
    <row r="86" spans="1:5" ht="15" customHeight="1">
      <c r="A86" s="29" t="str">
        <f>Sales_data!B84</f>
        <v>C003</v>
      </c>
      <c r="B86" s="29" t="str">
        <f>Sales_data!F84</f>
        <v>Rohit Singh</v>
      </c>
      <c r="C86" s="29" t="str">
        <f>PROPER(TRIM(Sales_data!F84))</f>
        <v>Rohit Singh</v>
      </c>
      <c r="D86" s="29" t="str">
        <f>LEFT(C86,3)&amp;RIGHT(A86,3)&amp;LEFT(Sales_data!I84,2)</f>
        <v>Roh003Mu</v>
      </c>
      <c r="E86" s="29" t="str">
        <f>IF(ISNUMBER(SEARCH("@",Sales_data!T84)),LOWER(SUBSTITUTE(Sales_data!T84," ","")),"Invalid Email")</f>
        <v>rohit.singh@company.com</v>
      </c>
    </row>
    <row r="87" spans="1:5" ht="15" customHeight="1">
      <c r="A87" s="29" t="str">
        <f>Sales_data!B85</f>
        <v>C003</v>
      </c>
      <c r="B87" s="29" t="str">
        <f>Sales_data!F85</f>
        <v>Rohit Singh</v>
      </c>
      <c r="C87" s="29" t="str">
        <f>PROPER(TRIM(Sales_data!F85))</f>
        <v>Rohit Singh</v>
      </c>
      <c r="D87" s="29" t="str">
        <f>LEFT(C87,3)&amp;RIGHT(A87,3)&amp;LEFT(Sales_data!I85,2)</f>
        <v>Roh003Hy</v>
      </c>
      <c r="E87" s="29" t="str">
        <f>IF(ISNUMBER(SEARCH("@",Sales_data!T85)),LOWER(SUBSTITUTE(Sales_data!T85," ","")),"Invalid Email")</f>
        <v>rohit.singh@company.com</v>
      </c>
    </row>
    <row r="88" spans="1:5" ht="15" customHeight="1">
      <c r="A88" s="29" t="str">
        <f>Sales_data!B86</f>
        <v>C008</v>
      </c>
      <c r="B88" s="29" t="str">
        <f>Sales_data!F86</f>
        <v>Kavya Nair</v>
      </c>
      <c r="C88" s="29" t="str">
        <f>PROPER(TRIM(Sales_data!F86))</f>
        <v>Kavya Nair</v>
      </c>
      <c r="D88" s="29" t="str">
        <f>LEFT(C88,3)&amp;RIGHT(A88,3)&amp;LEFT(Sales_data!I86,2)</f>
        <v>Kav008Mu</v>
      </c>
      <c r="E88" s="29" t="str">
        <f>IF(ISNUMBER(SEARCH("@",Sales_data!T86)),LOWER(SUBSTITUTE(Sales_data!T86," ","")),"Invalid Email")</f>
        <v>kavya.nair@company.com</v>
      </c>
    </row>
    <row r="89" spans="1:5" ht="15" customHeight="1">
      <c r="A89" s="29" t="str">
        <f>Sales_data!B87</f>
        <v>C007</v>
      </c>
      <c r="B89" s="29" t="str">
        <f>Sales_data!F87</f>
        <v>Arjun Rao</v>
      </c>
      <c r="C89" s="29" t="str">
        <f>PROPER(TRIM(Sales_data!F87))</f>
        <v>Arjun Rao</v>
      </c>
      <c r="D89" s="29" t="str">
        <f>LEFT(C89,3)&amp;RIGHT(A89,3)&amp;LEFT(Sales_data!I87,2)</f>
        <v>Arj007Ah</v>
      </c>
      <c r="E89" s="29" t="str">
        <f>IF(ISNUMBER(SEARCH("@",Sales_data!T87)),LOWER(SUBSTITUTE(Sales_data!T87," ","")),"Invalid Email")</f>
        <v>arjun.rao@company.com</v>
      </c>
    </row>
    <row r="90" spans="1:5" ht="15" customHeight="1">
      <c r="A90" s="29" t="str">
        <f>Sales_data!B88</f>
        <v>C006</v>
      </c>
      <c r="B90" s="29" t="str">
        <f>Sales_data!F88</f>
        <v>Sneha Joshi</v>
      </c>
      <c r="C90" s="29" t="str">
        <f>PROPER(TRIM(Sales_data!F88))</f>
        <v>Sneha Joshi</v>
      </c>
      <c r="D90" s="29" t="str">
        <f>LEFT(C90,3)&amp;RIGHT(A90,3)&amp;LEFT(Sales_data!I88,2)</f>
        <v>Sne006Pu</v>
      </c>
      <c r="E90" s="29" t="str">
        <f>IF(ISNUMBER(SEARCH("@",Sales_data!T88)),LOWER(SUBSTITUTE(Sales_data!T88," ","")),"Invalid Email")</f>
        <v>sneha.joshi@company.com</v>
      </c>
    </row>
    <row r="91" spans="1:5" ht="15" customHeight="1">
      <c r="A91" s="29" t="str">
        <f>Sales_data!B89</f>
        <v>C002</v>
      </c>
      <c r="B91" s="29" t="str">
        <f>Sales_data!F89</f>
        <v>Priya Patel</v>
      </c>
      <c r="C91" s="29" t="str">
        <f>PROPER(TRIM(Sales_data!F89))</f>
        <v>Priya Patel</v>
      </c>
      <c r="D91" s="29" t="str">
        <f>LEFT(C91,3)&amp;RIGHT(A91,3)&amp;LEFT(Sales_data!I89,2)</f>
        <v>Pri002Ah</v>
      </c>
      <c r="E91" s="29" t="str">
        <f>IF(ISNUMBER(SEARCH("@",Sales_data!T89)),LOWER(SUBSTITUTE(Sales_data!T89," ","")),"Invalid Email")</f>
        <v>priya.patel@company.com</v>
      </c>
    </row>
    <row r="92" spans="1:5" ht="15" customHeight="1">
      <c r="A92" s="29" t="str">
        <f>Sales_data!B90</f>
        <v>C001</v>
      </c>
      <c r="B92" s="29" t="str">
        <f>Sales_data!F90</f>
        <v>Amit Sharma</v>
      </c>
      <c r="C92" s="29" t="str">
        <f>PROPER(TRIM(Sales_data!F90))</f>
        <v>Amit Sharma</v>
      </c>
      <c r="D92" s="29" t="str">
        <f>LEFT(C92,3)&amp;RIGHT(A92,3)&amp;LEFT(Sales_data!I90,2)</f>
        <v>Ami001Ah</v>
      </c>
      <c r="E92" s="29" t="str">
        <f>IF(ISNUMBER(SEARCH("@",Sales_data!T90)),LOWER(SUBSTITUTE(Sales_data!T90," ","")),"Invalid Email")</f>
        <v>amit.sharma@company.com</v>
      </c>
    </row>
    <row r="93" spans="1:5" ht="15" customHeight="1">
      <c r="A93" s="29" t="str">
        <f>Sales_data!B91</f>
        <v>C008</v>
      </c>
      <c r="B93" s="29" t="str">
        <f>Sales_data!F91</f>
        <v>Kavya Nair</v>
      </c>
      <c r="C93" s="29" t="str">
        <f>PROPER(TRIM(Sales_data!F91))</f>
        <v>Kavya Nair</v>
      </c>
      <c r="D93" s="29" t="str">
        <f>LEFT(C93,3)&amp;RIGHT(A93,3)&amp;LEFT(Sales_data!I91,2)</f>
        <v>Kav008Pu</v>
      </c>
      <c r="E93" s="29" t="str">
        <f>IF(ISNUMBER(SEARCH("@",Sales_data!T91)),LOWER(SUBSTITUTE(Sales_data!T91," ","")),"Invalid Email")</f>
        <v>kavya.nair@company.com</v>
      </c>
    </row>
    <row r="94" spans="1:5" ht="15" customHeight="1">
      <c r="A94" s="29" t="str">
        <f>Sales_data!B92</f>
        <v>C010</v>
      </c>
      <c r="B94" s="29" t="str">
        <f>Sales_data!F92</f>
        <v>Pooja Shah</v>
      </c>
      <c r="C94" s="29" t="str">
        <f>PROPER(TRIM(Sales_data!F92))</f>
        <v>Pooja Shah</v>
      </c>
      <c r="D94" s="29" t="str">
        <f>LEFT(C94,3)&amp;RIGHT(A94,3)&amp;LEFT(Sales_data!I92,2)</f>
        <v>Poo010Ja</v>
      </c>
      <c r="E94" s="29" t="str">
        <f>IF(ISNUMBER(SEARCH("@",Sales_data!T92)),LOWER(SUBSTITUTE(Sales_data!T92," ","")),"Invalid Email")</f>
        <v>pooja.shah@company.com</v>
      </c>
    </row>
    <row r="95" spans="1:5" ht="15" customHeight="1">
      <c r="A95" s="29" t="str">
        <f>Sales_data!B93</f>
        <v>C010</v>
      </c>
      <c r="B95" s="29" t="str">
        <f>Sales_data!F93</f>
        <v>Pooja Shah</v>
      </c>
      <c r="C95" s="29" t="str">
        <f>PROPER(TRIM(Sales_data!F93))</f>
        <v>Pooja Shah</v>
      </c>
      <c r="D95" s="29" t="str">
        <f>LEFT(C95,3)&amp;RIGHT(A95,3)&amp;LEFT(Sales_data!I93,2)</f>
        <v>Poo010Hy</v>
      </c>
      <c r="E95" s="29" t="str">
        <f>IF(ISNUMBER(SEARCH("@",Sales_data!T93)),LOWER(SUBSTITUTE(Sales_data!T93," ","")),"Invalid Email")</f>
        <v>pooja.shah@company.com</v>
      </c>
    </row>
    <row r="96" spans="1:5" ht="15" customHeight="1">
      <c r="A96" s="29" t="str">
        <f>Sales_data!B94</f>
        <v>C008</v>
      </c>
      <c r="B96" s="29" t="str">
        <f>Sales_data!F94</f>
        <v>Kavya Nair</v>
      </c>
      <c r="C96" s="29" t="str">
        <f>PROPER(TRIM(Sales_data!F94))</f>
        <v>Kavya Nair</v>
      </c>
      <c r="D96" s="29" t="str">
        <f>LEFT(C96,3)&amp;RIGHT(A96,3)&amp;LEFT(Sales_data!I94,2)</f>
        <v>Kav008Be</v>
      </c>
      <c r="E96" s="29" t="str">
        <f>IF(ISNUMBER(SEARCH("@",Sales_data!T94)),LOWER(SUBSTITUTE(Sales_data!T94," ","")),"Invalid Email")</f>
        <v>kavya.nair@company.com</v>
      </c>
    </row>
    <row r="97" spans="1:5" ht="15" customHeight="1">
      <c r="A97" s="29" t="str">
        <f>Sales_data!B95</f>
        <v>C004</v>
      </c>
      <c r="B97" s="29" t="str">
        <f>Sales_data!F95</f>
        <v>Anita Gupta</v>
      </c>
      <c r="C97" s="29" t="str">
        <f>PROPER(TRIM(Sales_data!F95))</f>
        <v>Anita Gupta</v>
      </c>
      <c r="D97" s="29" t="str">
        <f>LEFT(C97,3)&amp;RIGHT(A97,3)&amp;LEFT(Sales_data!I95,2)</f>
        <v>Ani004De</v>
      </c>
      <c r="E97" s="29" t="str">
        <f>IF(ISNUMBER(SEARCH("@",Sales_data!T95)),LOWER(SUBSTITUTE(Sales_data!T95," ","")),"Invalid Email")</f>
        <v>anita.gupta@company.com</v>
      </c>
    </row>
    <row r="98" spans="1:5" ht="15" customHeight="1">
      <c r="A98" s="29" t="str">
        <f>Sales_data!B96</f>
        <v>C001</v>
      </c>
      <c r="B98" s="29" t="str">
        <f>Sales_data!F96</f>
        <v>Amit Sharma</v>
      </c>
      <c r="C98" s="29" t="str">
        <f>PROPER(TRIM(Sales_data!F96))</f>
        <v>Amit Sharma</v>
      </c>
      <c r="D98" s="29" t="str">
        <f>LEFT(C98,3)&amp;RIGHT(A98,3)&amp;LEFT(Sales_data!I96,2)</f>
        <v>Ami001De</v>
      </c>
      <c r="E98" s="29" t="str">
        <f>IF(ISNUMBER(SEARCH("@",Sales_data!T96)),LOWER(SUBSTITUTE(Sales_data!T96," ","")),"Invalid Email")</f>
        <v>amit.sharma@company.com</v>
      </c>
    </row>
    <row r="99" spans="1:5" ht="15" customHeight="1">
      <c r="A99" s="29" t="str">
        <f>Sales_data!B97</f>
        <v>C002</v>
      </c>
      <c r="B99" s="29" t="str">
        <f>Sales_data!F97</f>
        <v>Priya Patel</v>
      </c>
      <c r="C99" s="29" t="str">
        <f>PROPER(TRIM(Sales_data!F97))</f>
        <v>Priya Patel</v>
      </c>
      <c r="D99" s="29" t="str">
        <f>LEFT(C99,3)&amp;RIGHT(A99,3)&amp;LEFT(Sales_data!I97,2)</f>
        <v>Pri002Ko</v>
      </c>
      <c r="E99" s="29" t="str">
        <f>IF(ISNUMBER(SEARCH("@",Sales_data!T97)),LOWER(SUBSTITUTE(Sales_data!T97," ","")),"Invalid Email")</f>
        <v>priya.patel@company.com</v>
      </c>
    </row>
    <row r="100" spans="1:5" ht="15" customHeight="1">
      <c r="A100" s="29" t="str">
        <f>Sales_data!B98</f>
        <v>C006</v>
      </c>
      <c r="B100" s="29" t="str">
        <f>Sales_data!F98</f>
        <v>Sneha Joshi</v>
      </c>
      <c r="C100" s="29" t="str">
        <f>PROPER(TRIM(Sales_data!F98))</f>
        <v>Sneha Joshi</v>
      </c>
      <c r="D100" s="29" t="str">
        <f>LEFT(C100,3)&amp;RIGHT(A100,3)&amp;LEFT(Sales_data!I98,2)</f>
        <v>Sne006Ah</v>
      </c>
      <c r="E100" s="29" t="str">
        <f>IF(ISNUMBER(SEARCH("@",Sales_data!T98)),LOWER(SUBSTITUTE(Sales_data!T98," ","")),"Invalid Email")</f>
        <v>sneha.joshi@company.com</v>
      </c>
    </row>
    <row r="101" spans="1:5" ht="15" customHeight="1">
      <c r="A101" s="29" t="str">
        <f>Sales_data!B99</f>
        <v>C001</v>
      </c>
      <c r="B101" s="29" t="str">
        <f>Sales_data!F99</f>
        <v>Amit Sharma</v>
      </c>
      <c r="C101" s="29" t="str">
        <f>PROPER(TRIM(Sales_data!F99))</f>
        <v>Amit Sharma</v>
      </c>
      <c r="D101" s="29" t="str">
        <f>LEFT(C101,3)&amp;RIGHT(A101,3)&amp;LEFT(Sales_data!I99,2)</f>
        <v>Ami001Pu</v>
      </c>
      <c r="E101" s="29" t="str">
        <f>IF(ISNUMBER(SEARCH("@",Sales_data!T99)),LOWER(SUBSTITUTE(Sales_data!T99," ","")),"Invalid Email")</f>
        <v>amit.sharma@company.com</v>
      </c>
    </row>
    <row r="102" spans="1:5" ht="15" customHeight="1">
      <c r="A102" s="29" t="str">
        <f>Sales_data!B100</f>
        <v>C004</v>
      </c>
      <c r="B102" s="29" t="str">
        <f>Sales_data!F100</f>
        <v>Anita Gupta</v>
      </c>
      <c r="C102" s="29" t="str">
        <f>PROPER(TRIM(Sales_data!F100))</f>
        <v>Anita Gupta</v>
      </c>
      <c r="D102" s="29" t="str">
        <f>LEFT(C102,3)&amp;RIGHT(A102,3)&amp;LEFT(Sales_data!I100,2)</f>
        <v>Ani004De</v>
      </c>
      <c r="E102" s="29" t="str">
        <f>IF(ISNUMBER(SEARCH("@",Sales_data!T100)),LOWER(SUBSTITUTE(Sales_data!T100," ","")),"Invalid Email")</f>
        <v>anita.gupta@company.com</v>
      </c>
    </row>
    <row r="103" spans="1:5" ht="15" customHeight="1">
      <c r="A103" s="29" t="str">
        <f>Sales_data!B101</f>
        <v>C007</v>
      </c>
      <c r="B103" s="29" t="str">
        <f>Sales_data!F101</f>
        <v>Arjun Rao</v>
      </c>
      <c r="C103" s="29" t="str">
        <f>PROPER(TRIM(Sales_data!F101))</f>
        <v>Arjun Rao</v>
      </c>
      <c r="D103" s="29" t="str">
        <f>LEFT(C103,3)&amp;RIGHT(A103,3)&amp;LEFT(Sales_data!I101,2)</f>
        <v>Arj007Be</v>
      </c>
      <c r="E103" s="29" t="str">
        <f>IF(ISNUMBER(SEARCH("@",Sales_data!T101)),LOWER(SUBSTITUTE(Sales_data!T101," ","")),"Invalid Email")</f>
        <v>arjun.rao@company.com</v>
      </c>
    </row>
    <row r="104" spans="1:5" ht="15" customHeight="1">
      <c r="A104" s="29" t="str">
        <f>Sales_data!B102</f>
        <v>C003</v>
      </c>
      <c r="B104" s="29" t="str">
        <f>Sales_data!F102</f>
        <v>Rohit Singh</v>
      </c>
      <c r="C104" s="29" t="str">
        <f>PROPER(TRIM(Sales_data!F102))</f>
        <v>Rohit Singh</v>
      </c>
      <c r="D104" s="29" t="str">
        <f>LEFT(C104,3)&amp;RIGHT(A104,3)&amp;LEFT(Sales_data!I102,2)</f>
        <v>Roh003Ko</v>
      </c>
      <c r="E104" s="29" t="str">
        <f>IF(ISNUMBER(SEARCH("@",Sales_data!T102)),LOWER(SUBSTITUTE(Sales_data!T102," ","")),"Invalid Email")</f>
        <v>rohit.singh@company.com</v>
      </c>
    </row>
    <row r="105" spans="1:5" ht="15" customHeight="1">
      <c r="A105" s="29" t="str">
        <f>Sales_data!B103</f>
        <v>C001</v>
      </c>
      <c r="B105" s="29" t="str">
        <f>Sales_data!F103</f>
        <v>Amit Sharma</v>
      </c>
      <c r="C105" s="29" t="str">
        <f>PROPER(TRIM(Sales_data!F103))</f>
        <v>Amit Sharma</v>
      </c>
      <c r="D105" s="29" t="str">
        <f>LEFT(C105,3)&amp;RIGHT(A105,3)&amp;LEFT(Sales_data!I103,2)</f>
        <v>Ami001Ah</v>
      </c>
      <c r="E105" s="29" t="str">
        <f>IF(ISNUMBER(SEARCH("@",Sales_data!T103)),LOWER(SUBSTITUTE(Sales_data!T103," ","")),"Invalid Email")</f>
        <v>amit.sharma@company.com</v>
      </c>
    </row>
    <row r="106" spans="1:5" ht="15" customHeight="1">
      <c r="A106" s="29" t="str">
        <f>Sales_data!B104</f>
        <v>C001</v>
      </c>
      <c r="B106" s="29" t="str">
        <f>Sales_data!F104</f>
        <v>Amit Sharma</v>
      </c>
      <c r="C106" s="29" t="str">
        <f>PROPER(TRIM(Sales_data!F104))</f>
        <v>Amit Sharma</v>
      </c>
      <c r="D106" s="29" t="str">
        <f>LEFT(C106,3)&amp;RIGHT(A106,3)&amp;LEFT(Sales_data!I104,2)</f>
        <v>Ami001Pu</v>
      </c>
      <c r="E106" s="29" t="str">
        <f>IF(ISNUMBER(SEARCH("@",Sales_data!T104)),LOWER(SUBSTITUTE(Sales_data!T104," ","")),"Invalid Email")</f>
        <v>amit.sharma@company.com</v>
      </c>
    </row>
    <row r="107" spans="1:5" ht="15" customHeight="1">
      <c r="A107" s="29" t="str">
        <f>Sales_data!B105</f>
        <v>C006</v>
      </c>
      <c r="B107" s="29" t="str">
        <f>Sales_data!F105</f>
        <v>Sneha Joshi</v>
      </c>
      <c r="C107" s="29" t="str">
        <f>PROPER(TRIM(Sales_data!F105))</f>
        <v>Sneha Joshi</v>
      </c>
      <c r="D107" s="29" t="str">
        <f>LEFT(C107,3)&amp;RIGHT(A107,3)&amp;LEFT(Sales_data!I105,2)</f>
        <v>Sne006Be</v>
      </c>
      <c r="E107" s="29" t="str">
        <f>IF(ISNUMBER(SEARCH("@",Sales_data!T105)),LOWER(SUBSTITUTE(Sales_data!T105," ","")),"Invalid Email")</f>
        <v>sneha.joshi@company.com</v>
      </c>
    </row>
    <row r="108" spans="1:5" ht="15" customHeight="1">
      <c r="A108" s="29" t="str">
        <f>Sales_data!B106</f>
        <v>C007</v>
      </c>
      <c r="B108" s="29" t="str">
        <f>Sales_data!F106</f>
        <v>Arjun Rao</v>
      </c>
      <c r="C108" s="29" t="str">
        <f>PROPER(TRIM(Sales_data!F106))</f>
        <v>Arjun Rao</v>
      </c>
      <c r="D108" s="29" t="str">
        <f>LEFT(C108,3)&amp;RIGHT(A108,3)&amp;LEFT(Sales_data!I106,2)</f>
        <v>Arj007Mu</v>
      </c>
      <c r="E108" s="29" t="str">
        <f>IF(ISNUMBER(SEARCH("@",Sales_data!T106)),LOWER(SUBSTITUTE(Sales_data!T106," ","")),"Invalid Email")</f>
        <v>arjun.rao@company.com</v>
      </c>
    </row>
    <row r="109" spans="1:5" ht="15" customHeight="1">
      <c r="A109" s="29" t="str">
        <f>Sales_data!B107</f>
        <v>C010</v>
      </c>
      <c r="B109" s="29" t="str">
        <f>Sales_data!F107</f>
        <v>Pooja Shah</v>
      </c>
      <c r="C109" s="29" t="str">
        <f>PROPER(TRIM(Sales_data!F107))</f>
        <v>Pooja Shah</v>
      </c>
      <c r="D109" s="29" t="str">
        <f>LEFT(C109,3)&amp;RIGHT(A109,3)&amp;LEFT(Sales_data!I107,2)</f>
        <v>Poo010De</v>
      </c>
      <c r="E109" s="29" t="str">
        <f>IF(ISNUMBER(SEARCH("@",Sales_data!T107)),LOWER(SUBSTITUTE(Sales_data!T107," ","")),"Invalid Email")</f>
        <v>pooja.shah@company.com</v>
      </c>
    </row>
    <row r="110" spans="1:5" ht="15" customHeight="1">
      <c r="A110" s="29" t="str">
        <f>Sales_data!B108</f>
        <v>C002</v>
      </c>
      <c r="B110" s="29" t="str">
        <f>Sales_data!F108</f>
        <v>Priya Patel</v>
      </c>
      <c r="C110" s="29" t="str">
        <f>PROPER(TRIM(Sales_data!F108))</f>
        <v>Priya Patel</v>
      </c>
      <c r="D110" s="29" t="str">
        <f>LEFT(C110,3)&amp;RIGHT(A110,3)&amp;LEFT(Sales_data!I108,2)</f>
        <v>Pri002De</v>
      </c>
      <c r="E110" s="29" t="str">
        <f>IF(ISNUMBER(SEARCH("@",Sales_data!T108)),LOWER(SUBSTITUTE(Sales_data!T108," ","")),"Invalid Email")</f>
        <v>priya.patel@company.com</v>
      </c>
    </row>
    <row r="111" spans="1:5" ht="15" customHeight="1">
      <c r="A111" s="29" t="str">
        <f>Sales_data!B109</f>
        <v>C005</v>
      </c>
      <c r="B111" s="29" t="str">
        <f>Sales_data!F109</f>
        <v>Vikas Mehta</v>
      </c>
      <c r="C111" s="29" t="str">
        <f>PROPER(TRIM(Sales_data!F109))</f>
        <v>Vikas Mehta</v>
      </c>
      <c r="D111" s="29" t="str">
        <f>LEFT(C111,3)&amp;RIGHT(A111,3)&amp;LEFT(Sales_data!I109,2)</f>
        <v>Vik005Mu</v>
      </c>
      <c r="E111" s="29" t="str">
        <f>IF(ISNUMBER(SEARCH("@",Sales_data!T109)),LOWER(SUBSTITUTE(Sales_data!T109," ","")),"Invalid Email")</f>
        <v>vikas.mehta@company.com</v>
      </c>
    </row>
    <row r="112" spans="1:5" ht="15" customHeight="1">
      <c r="A112" s="29" t="str">
        <f>Sales_data!B110</f>
        <v>C007</v>
      </c>
      <c r="B112" s="29" t="str">
        <f>Sales_data!F110</f>
        <v>Arjun Rao</v>
      </c>
      <c r="C112" s="29" t="str">
        <f>PROPER(TRIM(Sales_data!F110))</f>
        <v>Arjun Rao</v>
      </c>
      <c r="D112" s="29" t="str">
        <f>LEFT(C112,3)&amp;RIGHT(A112,3)&amp;LEFT(Sales_data!I110,2)</f>
        <v>Arj007Ja</v>
      </c>
      <c r="E112" s="29" t="str">
        <f>IF(ISNUMBER(SEARCH("@",Sales_data!T110)),LOWER(SUBSTITUTE(Sales_data!T110," ","")),"Invalid Email")</f>
        <v>arjun.rao@company.com</v>
      </c>
    </row>
    <row r="113" spans="1:5" ht="15" customHeight="1">
      <c r="A113" s="29" t="str">
        <f>Sales_data!B111</f>
        <v>C005</v>
      </c>
      <c r="B113" s="29" t="str">
        <f>Sales_data!F111</f>
        <v>Vikas Mehta</v>
      </c>
      <c r="C113" s="29" t="str">
        <f>PROPER(TRIM(Sales_data!F111))</f>
        <v>Vikas Mehta</v>
      </c>
      <c r="D113" s="29" t="str">
        <f>LEFT(C113,3)&amp;RIGHT(A113,3)&amp;LEFT(Sales_data!I111,2)</f>
        <v>Vik005Be</v>
      </c>
      <c r="E113" s="29" t="str">
        <f>IF(ISNUMBER(SEARCH("@",Sales_data!T111)),LOWER(SUBSTITUTE(Sales_data!T111," ","")),"Invalid Email")</f>
        <v>vikas.mehta@company.com</v>
      </c>
    </row>
    <row r="114" spans="1:5" ht="15" customHeight="1">
      <c r="A114" s="29" t="str">
        <f>Sales_data!B112</f>
        <v>C003</v>
      </c>
      <c r="B114" s="29" t="str">
        <f>Sales_data!F112</f>
        <v>Rohit Singh</v>
      </c>
      <c r="C114" s="29" t="str">
        <f>PROPER(TRIM(Sales_data!F112))</f>
        <v>Rohit Singh</v>
      </c>
      <c r="D114" s="29" t="str">
        <f>LEFT(C114,3)&amp;RIGHT(A114,3)&amp;LEFT(Sales_data!I112,2)</f>
        <v>Roh003Hy</v>
      </c>
      <c r="E114" s="29" t="str">
        <f>IF(ISNUMBER(SEARCH("@",Sales_data!T112)),LOWER(SUBSTITUTE(Sales_data!T112," ","")),"Invalid Email")</f>
        <v>rohit.singh@company.com</v>
      </c>
    </row>
    <row r="115" spans="1:5" ht="15" customHeight="1">
      <c r="A115" s="29" t="str">
        <f>Sales_data!B113</f>
        <v>C003</v>
      </c>
      <c r="B115" s="29" t="str">
        <f>Sales_data!F113</f>
        <v>Rohit Singh</v>
      </c>
      <c r="C115" s="29" t="str">
        <f>PROPER(TRIM(Sales_data!F113))</f>
        <v>Rohit Singh</v>
      </c>
      <c r="D115" s="29" t="str">
        <f>LEFT(C115,3)&amp;RIGHT(A115,3)&amp;LEFT(Sales_data!I113,2)</f>
        <v>Roh003Ko</v>
      </c>
      <c r="E115" s="29" t="str">
        <f>IF(ISNUMBER(SEARCH("@",Sales_data!T113)),LOWER(SUBSTITUTE(Sales_data!T113," ","")),"Invalid Email")</f>
        <v>rohit.singh@company.com</v>
      </c>
    </row>
    <row r="116" spans="1:5" ht="15" customHeight="1">
      <c r="A116" s="29" t="str">
        <f>Sales_data!B114</f>
        <v>C010</v>
      </c>
      <c r="B116" s="29" t="str">
        <f>Sales_data!F114</f>
        <v>Pooja Shah</v>
      </c>
      <c r="C116" s="29" t="str">
        <f>PROPER(TRIM(Sales_data!F114))</f>
        <v>Pooja Shah</v>
      </c>
      <c r="D116" s="29" t="str">
        <f>LEFT(C116,3)&amp;RIGHT(A116,3)&amp;LEFT(Sales_data!I114,2)</f>
        <v>Poo010Hy</v>
      </c>
      <c r="E116" s="29" t="str">
        <f>IF(ISNUMBER(SEARCH("@",Sales_data!T114)),LOWER(SUBSTITUTE(Sales_data!T114," ","")),"Invalid Email")</f>
        <v>pooja.shah@company.com</v>
      </c>
    </row>
    <row r="117" spans="1:5" ht="15" customHeight="1">
      <c r="A117" s="29" t="str">
        <f>Sales_data!B115</f>
        <v>C005</v>
      </c>
      <c r="B117" s="29" t="str">
        <f>Sales_data!F115</f>
        <v>Vikas Mehta</v>
      </c>
      <c r="C117" s="29" t="str">
        <f>PROPER(TRIM(Sales_data!F115))</f>
        <v>Vikas Mehta</v>
      </c>
      <c r="D117" s="29" t="str">
        <f>LEFT(C117,3)&amp;RIGHT(A117,3)&amp;LEFT(Sales_data!I115,2)</f>
        <v>Vik005Pu</v>
      </c>
      <c r="E117" s="29" t="str">
        <f>IF(ISNUMBER(SEARCH("@",Sales_data!T115)),LOWER(SUBSTITUTE(Sales_data!T115," ","")),"Invalid Email")</f>
        <v>vikas.mehta@company.com</v>
      </c>
    </row>
    <row r="118" spans="1:5" ht="15" customHeight="1">
      <c r="A118" s="29" t="str">
        <f>Sales_data!B116</f>
        <v>C010</v>
      </c>
      <c r="B118" s="29" t="str">
        <f>Sales_data!F116</f>
        <v>Pooja Shah</v>
      </c>
      <c r="C118" s="29" t="str">
        <f>PROPER(TRIM(Sales_data!F116))</f>
        <v>Pooja Shah</v>
      </c>
      <c r="D118" s="29" t="str">
        <f>LEFT(C118,3)&amp;RIGHT(A118,3)&amp;LEFT(Sales_data!I116,2)</f>
        <v>Poo010Ko</v>
      </c>
      <c r="E118" s="29" t="str">
        <f>IF(ISNUMBER(SEARCH("@",Sales_data!T116)),LOWER(SUBSTITUTE(Sales_data!T116," ","")),"Invalid Email")</f>
        <v>pooja.shah@company.com</v>
      </c>
    </row>
    <row r="119" spans="1:5" ht="15" customHeight="1">
      <c r="A119" s="29" t="str">
        <f>Sales_data!B117</f>
        <v>C004</v>
      </c>
      <c r="B119" s="29" t="str">
        <f>Sales_data!F117</f>
        <v>Anita Gupta</v>
      </c>
      <c r="C119" s="29" t="str">
        <f>PROPER(TRIM(Sales_data!F117))</f>
        <v>Anita Gupta</v>
      </c>
      <c r="D119" s="29" t="str">
        <f>LEFT(C119,3)&amp;RIGHT(A119,3)&amp;LEFT(Sales_data!I117,2)</f>
        <v>Ani004De</v>
      </c>
      <c r="E119" s="29" t="str">
        <f>IF(ISNUMBER(SEARCH("@",Sales_data!T117)),LOWER(SUBSTITUTE(Sales_data!T117," ","")),"Invalid Email")</f>
        <v>anita.gupta@company.com</v>
      </c>
    </row>
    <row r="120" spans="1:5" ht="15" customHeight="1">
      <c r="A120" s="29" t="str">
        <f>Sales_data!B118</f>
        <v>C002</v>
      </c>
      <c r="B120" s="29" t="str">
        <f>Sales_data!F118</f>
        <v>Priya Patel</v>
      </c>
      <c r="C120" s="29" t="str">
        <f>PROPER(TRIM(Sales_data!F118))</f>
        <v>Priya Patel</v>
      </c>
      <c r="D120" s="29" t="str">
        <f>LEFT(C120,3)&amp;RIGHT(A120,3)&amp;LEFT(Sales_data!I118,2)</f>
        <v>Pri002Be</v>
      </c>
      <c r="E120" s="29" t="str">
        <f>IF(ISNUMBER(SEARCH("@",Sales_data!T118)),LOWER(SUBSTITUTE(Sales_data!T118," ","")),"Invalid Email")</f>
        <v>priya.patel@company.com</v>
      </c>
    </row>
    <row r="121" spans="1:5" ht="15" customHeight="1">
      <c r="A121" s="29" t="str">
        <f>Sales_data!B119</f>
        <v>C001</v>
      </c>
      <c r="B121" s="29" t="str">
        <f>Sales_data!F119</f>
        <v>Amit Sharma</v>
      </c>
      <c r="C121" s="29" t="str">
        <f>PROPER(TRIM(Sales_data!F119))</f>
        <v>Amit Sharma</v>
      </c>
      <c r="D121" s="29" t="str">
        <f>LEFT(C121,3)&amp;RIGHT(A121,3)&amp;LEFT(Sales_data!I119,2)</f>
        <v>Ami001Pu</v>
      </c>
      <c r="E121" s="29" t="str">
        <f>IF(ISNUMBER(SEARCH("@",Sales_data!T119)),LOWER(SUBSTITUTE(Sales_data!T119," ","")),"Invalid Email")</f>
        <v>amit.sharma@company.com</v>
      </c>
    </row>
    <row r="122" spans="1:5" ht="15" customHeight="1">
      <c r="A122" s="29" t="str">
        <f>Sales_data!B120</f>
        <v>C009</v>
      </c>
      <c r="B122" s="29" t="str">
        <f>Sales_data!F120</f>
        <v>Mohit Verma</v>
      </c>
      <c r="C122" s="29" t="str">
        <f>PROPER(TRIM(Sales_data!F120))</f>
        <v>Mohit Verma</v>
      </c>
      <c r="D122" s="29" t="str">
        <f>LEFT(C122,3)&amp;RIGHT(A122,3)&amp;LEFT(Sales_data!I120,2)</f>
        <v>Moh009Ah</v>
      </c>
      <c r="E122" s="29" t="str">
        <f>IF(ISNUMBER(SEARCH("@",Sales_data!T120)),LOWER(SUBSTITUTE(Sales_data!T120," ","")),"Invalid Email")</f>
        <v>mohit.verma@company.com</v>
      </c>
    </row>
    <row r="123" spans="1:5" ht="15" customHeight="1">
      <c r="A123" s="29" t="str">
        <f>Sales_data!B121</f>
        <v>C002</v>
      </c>
      <c r="B123" s="29" t="str">
        <f>Sales_data!F121</f>
        <v>Priya Patel</v>
      </c>
      <c r="C123" s="29" t="str">
        <f>PROPER(TRIM(Sales_data!F121))</f>
        <v>Priya Patel</v>
      </c>
      <c r="D123" s="29" t="str">
        <f>LEFT(C123,3)&amp;RIGHT(A123,3)&amp;LEFT(Sales_data!I121,2)</f>
        <v>Pri002Ja</v>
      </c>
      <c r="E123" s="29" t="str">
        <f>IF(ISNUMBER(SEARCH("@",Sales_data!T121)),LOWER(SUBSTITUTE(Sales_data!T121," ","")),"Invalid Email")</f>
        <v>priya.patel@company.com</v>
      </c>
    </row>
    <row r="124" spans="1:5" ht="15" customHeight="1">
      <c r="A124" s="29" t="str">
        <f>Sales_data!B122</f>
        <v>C003</v>
      </c>
      <c r="B124" s="29" t="str">
        <f>Sales_data!F122</f>
        <v>Rohit Singh</v>
      </c>
      <c r="C124" s="29" t="str">
        <f>PROPER(TRIM(Sales_data!F122))</f>
        <v>Rohit Singh</v>
      </c>
      <c r="D124" s="29" t="str">
        <f>LEFT(C124,3)&amp;RIGHT(A124,3)&amp;LEFT(Sales_data!I122,2)</f>
        <v>Roh003Pu</v>
      </c>
      <c r="E124" s="29" t="str">
        <f>IF(ISNUMBER(SEARCH("@",Sales_data!T122)),LOWER(SUBSTITUTE(Sales_data!T122," ","")),"Invalid Email")</f>
        <v>rohit.singh@company.com</v>
      </c>
    </row>
    <row r="125" spans="1:5" ht="15" customHeight="1">
      <c r="A125" s="29" t="str">
        <f>Sales_data!B123</f>
        <v>C007</v>
      </c>
      <c r="B125" s="29" t="str">
        <f>Sales_data!F123</f>
        <v>Arjun Rao</v>
      </c>
      <c r="C125" s="29" t="str">
        <f>PROPER(TRIM(Sales_data!F123))</f>
        <v>Arjun Rao</v>
      </c>
      <c r="D125" s="29" t="str">
        <f>LEFT(C125,3)&amp;RIGHT(A125,3)&amp;LEFT(Sales_data!I123,2)</f>
        <v>Arj007Be</v>
      </c>
      <c r="E125" s="29" t="str">
        <f>IF(ISNUMBER(SEARCH("@",Sales_data!T123)),LOWER(SUBSTITUTE(Sales_data!T123," ","")),"Invalid Email")</f>
        <v>arjun.rao@company.com</v>
      </c>
    </row>
    <row r="126" spans="1:5" ht="15" customHeight="1">
      <c r="A126" s="29" t="str">
        <f>Sales_data!B124</f>
        <v>C001</v>
      </c>
      <c r="B126" s="29" t="str">
        <f>Sales_data!F124</f>
        <v>Amit Sharma</v>
      </c>
      <c r="C126" s="29" t="str">
        <f>PROPER(TRIM(Sales_data!F124))</f>
        <v>Amit Sharma</v>
      </c>
      <c r="D126" s="29" t="str">
        <f>LEFT(C126,3)&amp;RIGHT(A126,3)&amp;LEFT(Sales_data!I124,2)</f>
        <v>Ami001Ja</v>
      </c>
      <c r="E126" s="29" t="str">
        <f>IF(ISNUMBER(SEARCH("@",Sales_data!T124)),LOWER(SUBSTITUTE(Sales_data!T124," ","")),"Invalid Email")</f>
        <v>amit.sharma@company.com</v>
      </c>
    </row>
    <row r="127" spans="1:5" ht="15" customHeight="1">
      <c r="A127" s="29" t="str">
        <f>Sales_data!B125</f>
        <v>C004</v>
      </c>
      <c r="B127" s="29" t="str">
        <f>Sales_data!F125</f>
        <v>Anita Gupta</v>
      </c>
      <c r="C127" s="29" t="str">
        <f>PROPER(TRIM(Sales_data!F125))</f>
        <v>Anita Gupta</v>
      </c>
      <c r="D127" s="29" t="str">
        <f>LEFT(C127,3)&amp;RIGHT(A127,3)&amp;LEFT(Sales_data!I125,2)</f>
        <v>Ani004Mu</v>
      </c>
      <c r="E127" s="29" t="str">
        <f>IF(ISNUMBER(SEARCH("@",Sales_data!T125)),LOWER(SUBSTITUTE(Sales_data!T125," ","")),"Invalid Email")</f>
        <v>anita.gupta@company.com</v>
      </c>
    </row>
    <row r="128" spans="1:5" ht="15" customHeight="1">
      <c r="A128" s="29" t="str">
        <f>Sales_data!B126</f>
        <v>C002</v>
      </c>
      <c r="B128" s="29" t="str">
        <f>Sales_data!F126</f>
        <v>Priya Patel</v>
      </c>
      <c r="C128" s="29" t="str">
        <f>PROPER(TRIM(Sales_data!F126))</f>
        <v>Priya Patel</v>
      </c>
      <c r="D128" s="29" t="str">
        <f>LEFT(C128,3)&amp;RIGHT(A128,3)&amp;LEFT(Sales_data!I126,2)</f>
        <v>Pri002De</v>
      </c>
      <c r="E128" s="29" t="str">
        <f>IF(ISNUMBER(SEARCH("@",Sales_data!T126)),LOWER(SUBSTITUTE(Sales_data!T126," ","")),"Invalid Email")</f>
        <v>priya.patel@company.com</v>
      </c>
    </row>
    <row r="129" spans="1:5" ht="15" customHeight="1">
      <c r="A129" s="29" t="str">
        <f>Sales_data!B127</f>
        <v>C004</v>
      </c>
      <c r="B129" s="29" t="str">
        <f>Sales_data!F127</f>
        <v>Anita Gupta</v>
      </c>
      <c r="C129" s="29" t="str">
        <f>PROPER(TRIM(Sales_data!F127))</f>
        <v>Anita Gupta</v>
      </c>
      <c r="D129" s="29" t="str">
        <f>LEFT(C129,3)&amp;RIGHT(A129,3)&amp;LEFT(Sales_data!I127,2)</f>
        <v>Ani004Be</v>
      </c>
      <c r="E129" s="29" t="str">
        <f>IF(ISNUMBER(SEARCH("@",Sales_data!T127)),LOWER(SUBSTITUTE(Sales_data!T127," ","")),"Invalid Email")</f>
        <v>anita.gupta@company.com</v>
      </c>
    </row>
    <row r="130" spans="1:5" ht="15" customHeight="1">
      <c r="A130" s="29" t="str">
        <f>Sales_data!B128</f>
        <v>C003</v>
      </c>
      <c r="B130" s="29" t="str">
        <f>Sales_data!F128</f>
        <v>Rohit Singh</v>
      </c>
      <c r="C130" s="29" t="str">
        <f>PROPER(TRIM(Sales_data!F128))</f>
        <v>Rohit Singh</v>
      </c>
      <c r="D130" s="29" t="str">
        <f>LEFT(C130,3)&amp;RIGHT(A130,3)&amp;LEFT(Sales_data!I128,2)</f>
        <v>Roh003Be</v>
      </c>
      <c r="E130" s="29" t="str">
        <f>IF(ISNUMBER(SEARCH("@",Sales_data!T128)),LOWER(SUBSTITUTE(Sales_data!T128," ","")),"Invalid Email")</f>
        <v>rohit.singh@company.com</v>
      </c>
    </row>
    <row r="131" spans="1:5" ht="15" customHeight="1">
      <c r="A131" s="29" t="str">
        <f>Sales_data!B129</f>
        <v>C006</v>
      </c>
      <c r="B131" s="29" t="str">
        <f>Sales_data!F129</f>
        <v>Sneha Joshi</v>
      </c>
      <c r="C131" s="29" t="str">
        <f>PROPER(TRIM(Sales_data!F129))</f>
        <v>Sneha Joshi</v>
      </c>
      <c r="D131" s="29" t="str">
        <f>LEFT(C131,3)&amp;RIGHT(A131,3)&amp;LEFT(Sales_data!I129,2)</f>
        <v>Sne006Ja</v>
      </c>
      <c r="E131" s="29" t="str">
        <f>IF(ISNUMBER(SEARCH("@",Sales_data!T129)),LOWER(SUBSTITUTE(Sales_data!T129," ","")),"Invalid Email")</f>
        <v>sneha.joshi@company.com</v>
      </c>
    </row>
    <row r="132" spans="1:5" ht="15" customHeight="1">
      <c r="A132" s="29" t="str">
        <f>Sales_data!B130</f>
        <v>C002</v>
      </c>
      <c r="B132" s="29" t="str">
        <f>Sales_data!F130</f>
        <v>Priya Patel</v>
      </c>
      <c r="C132" s="29" t="str">
        <f>PROPER(TRIM(Sales_data!F130))</f>
        <v>Priya Patel</v>
      </c>
      <c r="D132" s="29" t="str">
        <f>LEFT(C132,3)&amp;RIGHT(A132,3)&amp;LEFT(Sales_data!I130,2)</f>
        <v>Pri002Be</v>
      </c>
      <c r="E132" s="29" t="str">
        <f>IF(ISNUMBER(SEARCH("@",Sales_data!T130)),LOWER(SUBSTITUTE(Sales_data!T130," ","")),"Invalid Email")</f>
        <v>priya.patel@company.com</v>
      </c>
    </row>
    <row r="133" spans="1:5" ht="15" customHeight="1">
      <c r="A133" s="29" t="str">
        <f>Sales_data!B131</f>
        <v>C006</v>
      </c>
      <c r="B133" s="29" t="str">
        <f>Sales_data!F131</f>
        <v>Sneha Joshi</v>
      </c>
      <c r="C133" s="29" t="str">
        <f>PROPER(TRIM(Sales_data!F131))</f>
        <v>Sneha Joshi</v>
      </c>
      <c r="D133" s="29" t="str">
        <f>LEFT(C133,3)&amp;RIGHT(A133,3)&amp;LEFT(Sales_data!I131,2)</f>
        <v>Sne006Pu</v>
      </c>
      <c r="E133" s="29" t="str">
        <f>IF(ISNUMBER(SEARCH("@",Sales_data!T131)),LOWER(SUBSTITUTE(Sales_data!T131," ","")),"Invalid Email")</f>
        <v>sneha.joshi@company.com</v>
      </c>
    </row>
    <row r="134" spans="1:5" ht="15" customHeight="1">
      <c r="A134" s="29" t="str">
        <f>Sales_data!B132</f>
        <v>C004</v>
      </c>
      <c r="B134" s="29" t="str">
        <f>Sales_data!F132</f>
        <v>Anita Gupta</v>
      </c>
      <c r="C134" s="29" t="str">
        <f>PROPER(TRIM(Sales_data!F132))</f>
        <v>Anita Gupta</v>
      </c>
      <c r="D134" s="29" t="str">
        <f>LEFT(C134,3)&amp;RIGHT(A134,3)&amp;LEFT(Sales_data!I132,2)</f>
        <v>Ani004Be</v>
      </c>
      <c r="E134" s="29" t="str">
        <f>IF(ISNUMBER(SEARCH("@",Sales_data!T132)),LOWER(SUBSTITUTE(Sales_data!T132," ","")),"Invalid Email")</f>
        <v>anita.gupta@company.com</v>
      </c>
    </row>
    <row r="135" spans="1:5" ht="15" customHeight="1">
      <c r="A135" s="29" t="str">
        <f>Sales_data!B133</f>
        <v>C002</v>
      </c>
      <c r="B135" s="29" t="str">
        <f>Sales_data!F133</f>
        <v>Priya Patel</v>
      </c>
      <c r="C135" s="29" t="str">
        <f>PROPER(TRIM(Sales_data!F133))</f>
        <v>Priya Patel</v>
      </c>
      <c r="D135" s="29" t="str">
        <f>LEFT(C135,3)&amp;RIGHT(A135,3)&amp;LEFT(Sales_data!I133,2)</f>
        <v>Pri002De</v>
      </c>
      <c r="E135" s="29" t="str">
        <f>IF(ISNUMBER(SEARCH("@",Sales_data!T133)),LOWER(SUBSTITUTE(Sales_data!T133," ","")),"Invalid Email")</f>
        <v>priya.patel@company.com</v>
      </c>
    </row>
    <row r="136" spans="1:5" ht="15" customHeight="1">
      <c r="A136" s="29" t="str">
        <f>Sales_data!B134</f>
        <v>C009</v>
      </c>
      <c r="B136" s="29" t="str">
        <f>Sales_data!F134</f>
        <v>Mohit Verma</v>
      </c>
      <c r="C136" s="29" t="str">
        <f>PROPER(TRIM(Sales_data!F134))</f>
        <v>Mohit Verma</v>
      </c>
      <c r="D136" s="29" t="str">
        <f>LEFT(C136,3)&amp;RIGHT(A136,3)&amp;LEFT(Sales_data!I134,2)</f>
        <v>Moh009Pu</v>
      </c>
      <c r="E136" s="29" t="str">
        <f>IF(ISNUMBER(SEARCH("@",Sales_data!T134)),LOWER(SUBSTITUTE(Sales_data!T134," ","")),"Invalid Email")</f>
        <v>mohit.verma@company.com</v>
      </c>
    </row>
    <row r="137" spans="1:5" ht="15" customHeight="1">
      <c r="A137" s="29" t="str">
        <f>Sales_data!B135</f>
        <v>C009</v>
      </c>
      <c r="B137" s="29" t="str">
        <f>Sales_data!F135</f>
        <v>Mohit Verma</v>
      </c>
      <c r="C137" s="29" t="str">
        <f>PROPER(TRIM(Sales_data!F135))</f>
        <v>Mohit Verma</v>
      </c>
      <c r="D137" s="29" t="str">
        <f>LEFT(C137,3)&amp;RIGHT(A137,3)&amp;LEFT(Sales_data!I135,2)</f>
        <v>Moh009Hy</v>
      </c>
      <c r="E137" s="29" t="str">
        <f>IF(ISNUMBER(SEARCH("@",Sales_data!T135)),LOWER(SUBSTITUTE(Sales_data!T135," ","")),"Invalid Email")</f>
        <v>mohit.verma@company.com</v>
      </c>
    </row>
    <row r="138" spans="1:5" ht="15" customHeight="1">
      <c r="A138" s="29" t="str">
        <f>Sales_data!B136</f>
        <v>C010</v>
      </c>
      <c r="B138" s="29" t="str">
        <f>Sales_data!F136</f>
        <v>Pooja Shah</v>
      </c>
      <c r="C138" s="29" t="str">
        <f>PROPER(TRIM(Sales_data!F136))</f>
        <v>Pooja Shah</v>
      </c>
      <c r="D138" s="29" t="str">
        <f>LEFT(C138,3)&amp;RIGHT(A138,3)&amp;LEFT(Sales_data!I136,2)</f>
        <v>Poo010De</v>
      </c>
      <c r="E138" s="29" t="str">
        <f>IF(ISNUMBER(SEARCH("@",Sales_data!T136)),LOWER(SUBSTITUTE(Sales_data!T136," ","")),"Invalid Email")</f>
        <v>pooja.shah@company.com</v>
      </c>
    </row>
    <row r="139" spans="1:5" ht="15" customHeight="1">
      <c r="A139" s="29" t="str">
        <f>Sales_data!B137</f>
        <v>C009</v>
      </c>
      <c r="B139" s="29" t="str">
        <f>Sales_data!F137</f>
        <v>Mohit Verma</v>
      </c>
      <c r="C139" s="29" t="str">
        <f>PROPER(TRIM(Sales_data!F137))</f>
        <v>Mohit Verma</v>
      </c>
      <c r="D139" s="29" t="str">
        <f>LEFT(C139,3)&amp;RIGHT(A139,3)&amp;LEFT(Sales_data!I137,2)</f>
        <v>Moh009Hy</v>
      </c>
      <c r="E139" s="29" t="str">
        <f>IF(ISNUMBER(SEARCH("@",Sales_data!T137)),LOWER(SUBSTITUTE(Sales_data!T137," ","")),"Invalid Email")</f>
        <v>mohit.verma@company.com</v>
      </c>
    </row>
    <row r="140" spans="1:5" ht="15" customHeight="1">
      <c r="A140" s="29" t="str">
        <f>Sales_data!B138</f>
        <v>C008</v>
      </c>
      <c r="B140" s="29" t="str">
        <f>Sales_data!F138</f>
        <v>Kavya Nair</v>
      </c>
      <c r="C140" s="29" t="str">
        <f>PROPER(TRIM(Sales_data!F138))</f>
        <v>Kavya Nair</v>
      </c>
      <c r="D140" s="29" t="str">
        <f>LEFT(C140,3)&amp;RIGHT(A140,3)&amp;LEFT(Sales_data!I138,2)</f>
        <v>Kav008Be</v>
      </c>
      <c r="E140" s="29" t="str">
        <f>IF(ISNUMBER(SEARCH("@",Sales_data!T138)),LOWER(SUBSTITUTE(Sales_data!T138," ","")),"Invalid Email")</f>
        <v>kavya.nair@company.com</v>
      </c>
    </row>
    <row r="141" spans="1:5" ht="15" customHeight="1">
      <c r="A141" s="29" t="str">
        <f>Sales_data!B139</f>
        <v>C001</v>
      </c>
      <c r="B141" s="29" t="str">
        <f>Sales_data!F139</f>
        <v>Amit Sharma</v>
      </c>
      <c r="C141" s="29" t="str">
        <f>PROPER(TRIM(Sales_data!F139))</f>
        <v>Amit Sharma</v>
      </c>
      <c r="D141" s="29" t="str">
        <f>LEFT(C141,3)&amp;RIGHT(A141,3)&amp;LEFT(Sales_data!I139,2)</f>
        <v>Ami001Ah</v>
      </c>
      <c r="E141" s="29" t="str">
        <f>IF(ISNUMBER(SEARCH("@",Sales_data!T139)),LOWER(SUBSTITUTE(Sales_data!T139," ","")),"Invalid Email")</f>
        <v>amit.sharma@company.com</v>
      </c>
    </row>
    <row r="142" spans="1:5" ht="15" customHeight="1">
      <c r="A142" s="29" t="str">
        <f>Sales_data!B140</f>
        <v>C005</v>
      </c>
      <c r="B142" s="29" t="str">
        <f>Sales_data!F140</f>
        <v>Vikas Mehta</v>
      </c>
      <c r="C142" s="29" t="str">
        <f>PROPER(TRIM(Sales_data!F140))</f>
        <v>Vikas Mehta</v>
      </c>
      <c r="D142" s="29" t="str">
        <f>LEFT(C142,3)&amp;RIGHT(A142,3)&amp;LEFT(Sales_data!I140,2)</f>
        <v>Vik005De</v>
      </c>
      <c r="E142" s="29" t="str">
        <f>IF(ISNUMBER(SEARCH("@",Sales_data!T140)),LOWER(SUBSTITUTE(Sales_data!T140," ","")),"Invalid Email")</f>
        <v>vikas.mehta@company.com</v>
      </c>
    </row>
    <row r="143" spans="1:5" ht="15" customHeight="1">
      <c r="A143" s="29" t="str">
        <f>Sales_data!B141</f>
        <v>C007</v>
      </c>
      <c r="B143" s="29" t="str">
        <f>Sales_data!F141</f>
        <v>Arjun Rao</v>
      </c>
      <c r="C143" s="29" t="str">
        <f>PROPER(TRIM(Sales_data!F141))</f>
        <v>Arjun Rao</v>
      </c>
      <c r="D143" s="29" t="str">
        <f>LEFT(C143,3)&amp;RIGHT(A143,3)&amp;LEFT(Sales_data!I141,2)</f>
        <v>Arj007Ah</v>
      </c>
      <c r="E143" s="29" t="str">
        <f>IF(ISNUMBER(SEARCH("@",Sales_data!T141)),LOWER(SUBSTITUTE(Sales_data!T141," ","")),"Invalid Email")</f>
        <v>arjun.rao@company.com</v>
      </c>
    </row>
    <row r="144" spans="1:5" ht="15" customHeight="1">
      <c r="A144" s="29" t="str">
        <f>Sales_data!B142</f>
        <v>C010</v>
      </c>
      <c r="B144" s="29" t="str">
        <f>Sales_data!F142</f>
        <v>Pooja Shah</v>
      </c>
      <c r="C144" s="29" t="str">
        <f>PROPER(TRIM(Sales_data!F142))</f>
        <v>Pooja Shah</v>
      </c>
      <c r="D144" s="29" t="str">
        <f>LEFT(C144,3)&amp;RIGHT(A144,3)&amp;LEFT(Sales_data!I142,2)</f>
        <v>Poo010Pu</v>
      </c>
      <c r="E144" s="29" t="str">
        <f>IF(ISNUMBER(SEARCH("@",Sales_data!T142)),LOWER(SUBSTITUTE(Sales_data!T142," ","")),"Invalid Email")</f>
        <v>pooja.shah@company.com</v>
      </c>
    </row>
    <row r="145" spans="1:5" ht="15" customHeight="1">
      <c r="A145" s="29" t="str">
        <f>Sales_data!B143</f>
        <v>C007</v>
      </c>
      <c r="B145" s="29" t="str">
        <f>Sales_data!F143</f>
        <v>Arjun Rao</v>
      </c>
      <c r="C145" s="29" t="str">
        <f>PROPER(TRIM(Sales_data!F143))</f>
        <v>Arjun Rao</v>
      </c>
      <c r="D145" s="29" t="str">
        <f>LEFT(C145,3)&amp;RIGHT(A145,3)&amp;LEFT(Sales_data!I143,2)</f>
        <v>Arj007Pu</v>
      </c>
      <c r="E145" s="29" t="str">
        <f>IF(ISNUMBER(SEARCH("@",Sales_data!T143)),LOWER(SUBSTITUTE(Sales_data!T143," ","")),"Invalid Email")</f>
        <v>arjun.rao@company.com</v>
      </c>
    </row>
    <row r="146" spans="1:5" ht="15" customHeight="1">
      <c r="A146" s="29" t="str">
        <f>Sales_data!B144</f>
        <v>C007</v>
      </c>
      <c r="B146" s="29" t="str">
        <f>Sales_data!F144</f>
        <v>Arjun Rao</v>
      </c>
      <c r="C146" s="29" t="str">
        <f>PROPER(TRIM(Sales_data!F144))</f>
        <v>Arjun Rao</v>
      </c>
      <c r="D146" s="29" t="str">
        <f>LEFT(C146,3)&amp;RIGHT(A146,3)&amp;LEFT(Sales_data!I144,2)</f>
        <v>Arj007Pu</v>
      </c>
      <c r="E146" s="29" t="str">
        <f>IF(ISNUMBER(SEARCH("@",Sales_data!T144)),LOWER(SUBSTITUTE(Sales_data!T144," ","")),"Invalid Email")</f>
        <v>arjun.rao@company.com</v>
      </c>
    </row>
    <row r="147" spans="1:5" ht="15" customHeight="1">
      <c r="A147" s="29" t="str">
        <f>Sales_data!B145</f>
        <v>C005</v>
      </c>
      <c r="B147" s="29" t="str">
        <f>Sales_data!F145</f>
        <v>Vikas Mehta</v>
      </c>
      <c r="C147" s="29" t="str">
        <f>PROPER(TRIM(Sales_data!F145))</f>
        <v>Vikas Mehta</v>
      </c>
      <c r="D147" s="29" t="str">
        <f>LEFT(C147,3)&amp;RIGHT(A147,3)&amp;LEFT(Sales_data!I145,2)</f>
        <v>Vik005Hy</v>
      </c>
      <c r="E147" s="29" t="str">
        <f>IF(ISNUMBER(SEARCH("@",Sales_data!T145)),LOWER(SUBSTITUTE(Sales_data!T145," ","")),"Invalid Email")</f>
        <v>vikas.mehta@company.com</v>
      </c>
    </row>
    <row r="148" spans="1:5" ht="15" customHeight="1">
      <c r="A148" s="29" t="str">
        <f>Sales_data!B146</f>
        <v>C010</v>
      </c>
      <c r="B148" s="29" t="str">
        <f>Sales_data!F146</f>
        <v>Pooja Shah</v>
      </c>
      <c r="C148" s="29" t="str">
        <f>PROPER(TRIM(Sales_data!F146))</f>
        <v>Pooja Shah</v>
      </c>
      <c r="D148" s="29" t="str">
        <f>LEFT(C148,3)&amp;RIGHT(A148,3)&amp;LEFT(Sales_data!I146,2)</f>
        <v>Poo010Mu</v>
      </c>
      <c r="E148" s="29" t="str">
        <f>IF(ISNUMBER(SEARCH("@",Sales_data!T146)),LOWER(SUBSTITUTE(Sales_data!T146," ","")),"Invalid Email")</f>
        <v>pooja.shah@company.com</v>
      </c>
    </row>
    <row r="149" spans="1:5" ht="15" customHeight="1">
      <c r="A149" s="29" t="str">
        <f>Sales_data!B147</f>
        <v>C009</v>
      </c>
      <c r="B149" s="29" t="str">
        <f>Sales_data!F147</f>
        <v>Mohit Verma</v>
      </c>
      <c r="C149" s="29" t="str">
        <f>PROPER(TRIM(Sales_data!F147))</f>
        <v>Mohit Verma</v>
      </c>
      <c r="D149" s="29" t="str">
        <f>LEFT(C149,3)&amp;RIGHT(A149,3)&amp;LEFT(Sales_data!I147,2)</f>
        <v>Moh009De</v>
      </c>
      <c r="E149" s="29" t="str">
        <f>IF(ISNUMBER(SEARCH("@",Sales_data!T147)),LOWER(SUBSTITUTE(Sales_data!T147," ","")),"Invalid Email")</f>
        <v>mohit.verma@company.com</v>
      </c>
    </row>
    <row r="150" spans="1:5" ht="15" customHeight="1">
      <c r="A150" s="29" t="str">
        <f>Sales_data!B148</f>
        <v>C003</v>
      </c>
      <c r="B150" s="29" t="str">
        <f>Sales_data!F148</f>
        <v>Rohit Singh</v>
      </c>
      <c r="C150" s="29" t="str">
        <f>PROPER(TRIM(Sales_data!F148))</f>
        <v>Rohit Singh</v>
      </c>
      <c r="D150" s="29" t="str">
        <f>LEFT(C150,3)&amp;RIGHT(A150,3)&amp;LEFT(Sales_data!I148,2)</f>
        <v>Roh003Pu</v>
      </c>
      <c r="E150" s="29" t="str">
        <f>IF(ISNUMBER(SEARCH("@",Sales_data!T148)),LOWER(SUBSTITUTE(Sales_data!T148," ","")),"Invalid Email")</f>
        <v>rohit.singh@company.com</v>
      </c>
    </row>
    <row r="151" spans="1:5" ht="15" customHeight="1">
      <c r="A151" s="29" t="str">
        <f>Sales_data!B149</f>
        <v>C006</v>
      </c>
      <c r="B151" s="29" t="str">
        <f>Sales_data!F149</f>
        <v>Sneha Joshi</v>
      </c>
      <c r="C151" s="29" t="str">
        <f>PROPER(TRIM(Sales_data!F149))</f>
        <v>Sneha Joshi</v>
      </c>
      <c r="D151" s="29" t="str">
        <f>LEFT(C151,3)&amp;RIGHT(A151,3)&amp;LEFT(Sales_data!I149,2)</f>
        <v>Sne006Ko</v>
      </c>
      <c r="E151" s="29" t="str">
        <f>IF(ISNUMBER(SEARCH("@",Sales_data!T149)),LOWER(SUBSTITUTE(Sales_data!T149," ","")),"Invalid Email")</f>
        <v>sneha.joshi@company.com</v>
      </c>
    </row>
    <row r="152" spans="1:5" ht="15" customHeight="1">
      <c r="A152" s="29" t="str">
        <f>Sales_data!B150</f>
        <v>C002</v>
      </c>
      <c r="B152" s="29" t="str">
        <f>Sales_data!F150</f>
        <v>Priya Patel</v>
      </c>
      <c r="C152" s="29" t="str">
        <f>PROPER(TRIM(Sales_data!F150))</f>
        <v>Priya Patel</v>
      </c>
      <c r="D152" s="29" t="str">
        <f>LEFT(C152,3)&amp;RIGHT(A152,3)&amp;LEFT(Sales_data!I150,2)</f>
        <v>Pri002Ja</v>
      </c>
      <c r="E152" s="29" t="str">
        <f>IF(ISNUMBER(SEARCH("@",Sales_data!T150)),LOWER(SUBSTITUTE(Sales_data!T150," ","")),"Invalid Email")</f>
        <v>priya.patel@company.com</v>
      </c>
    </row>
    <row r="153" spans="1:5" ht="15" customHeight="1">
      <c r="A153" s="29" t="str">
        <f>Sales_data!B151</f>
        <v>C003</v>
      </c>
      <c r="B153" s="29" t="str">
        <f>Sales_data!F151</f>
        <v>Rohit Singh</v>
      </c>
      <c r="C153" s="29" t="str">
        <f>PROPER(TRIM(Sales_data!F151))</f>
        <v>Rohit Singh</v>
      </c>
      <c r="D153" s="29" t="str">
        <f>LEFT(C153,3)&amp;RIGHT(A153,3)&amp;LEFT(Sales_data!I151,2)</f>
        <v>Roh003Pu</v>
      </c>
      <c r="E153" s="29" t="str">
        <f>IF(ISNUMBER(SEARCH("@",Sales_data!T151)),LOWER(SUBSTITUTE(Sales_data!T151," ","")),"Invalid Email")</f>
        <v>rohit.singh@company.com</v>
      </c>
    </row>
    <row r="154" spans="1:5" ht="15" customHeight="1">
      <c r="A154" s="29" t="str">
        <f>Sales_data!B152</f>
        <v>C010</v>
      </c>
      <c r="B154" s="29" t="str">
        <f>Sales_data!F152</f>
        <v>Pooja Shah</v>
      </c>
      <c r="C154" s="29" t="str">
        <f>PROPER(TRIM(Sales_data!F152))</f>
        <v>Pooja Shah</v>
      </c>
      <c r="D154" s="29" t="str">
        <f>LEFT(C154,3)&amp;RIGHT(A154,3)&amp;LEFT(Sales_data!I152,2)</f>
        <v>Poo010De</v>
      </c>
      <c r="E154" s="29" t="str">
        <f>IF(ISNUMBER(SEARCH("@",Sales_data!T152)),LOWER(SUBSTITUTE(Sales_data!T152," ","")),"Invalid Email")</f>
        <v>pooja.shah@company.com</v>
      </c>
    </row>
    <row r="155" spans="1:5" ht="15" customHeight="1">
      <c r="A155" s="29" t="str">
        <f>Sales_data!B153</f>
        <v>C008</v>
      </c>
      <c r="B155" s="29" t="str">
        <f>Sales_data!F153</f>
        <v>Kavya Nair</v>
      </c>
      <c r="C155" s="29" t="str">
        <f>PROPER(TRIM(Sales_data!F153))</f>
        <v>Kavya Nair</v>
      </c>
      <c r="D155" s="29" t="str">
        <f>LEFT(C155,3)&amp;RIGHT(A155,3)&amp;LEFT(Sales_data!I153,2)</f>
        <v>Kav008Be</v>
      </c>
      <c r="E155" s="29" t="str">
        <f>IF(ISNUMBER(SEARCH("@",Sales_data!T153)),LOWER(SUBSTITUTE(Sales_data!T153," ","")),"Invalid Email")</f>
        <v>kavya.nair@company.com</v>
      </c>
    </row>
    <row r="156" spans="1:5" ht="15" customHeight="1">
      <c r="A156" s="29" t="str">
        <f>Sales_data!B154</f>
        <v>C002</v>
      </c>
      <c r="B156" s="29" t="str">
        <f>Sales_data!F154</f>
        <v>Priya Patel</v>
      </c>
      <c r="C156" s="29" t="str">
        <f>PROPER(TRIM(Sales_data!F154))</f>
        <v>Priya Patel</v>
      </c>
      <c r="D156" s="29" t="str">
        <f>LEFT(C156,3)&amp;RIGHT(A156,3)&amp;LEFT(Sales_data!I154,2)</f>
        <v>Pri002Pu</v>
      </c>
      <c r="E156" s="29" t="str">
        <f>IF(ISNUMBER(SEARCH("@",Sales_data!T154)),LOWER(SUBSTITUTE(Sales_data!T154," ","")),"Invalid Email")</f>
        <v>priya.patel@company.com</v>
      </c>
    </row>
    <row r="157" spans="1:5" ht="15" customHeight="1">
      <c r="A157" s="29" t="str">
        <f>Sales_data!B155</f>
        <v>C005</v>
      </c>
      <c r="B157" s="29" t="str">
        <f>Sales_data!F155</f>
        <v>Vikas Mehta</v>
      </c>
      <c r="C157" s="29" t="str">
        <f>PROPER(TRIM(Sales_data!F155))</f>
        <v>Vikas Mehta</v>
      </c>
      <c r="D157" s="29" t="str">
        <f>LEFT(C157,3)&amp;RIGHT(A157,3)&amp;LEFT(Sales_data!I155,2)</f>
        <v>Vik005Pu</v>
      </c>
      <c r="E157" s="29" t="str">
        <f>IF(ISNUMBER(SEARCH("@",Sales_data!T155)),LOWER(SUBSTITUTE(Sales_data!T155," ","")),"Invalid Email")</f>
        <v>vikas.mehta@company.com</v>
      </c>
    </row>
    <row r="158" spans="1:5" ht="15" customHeight="1">
      <c r="A158" s="29" t="str">
        <f>Sales_data!B156</f>
        <v>C008</v>
      </c>
      <c r="B158" s="29" t="str">
        <f>Sales_data!F156</f>
        <v>Kavya Nair</v>
      </c>
      <c r="C158" s="29" t="str">
        <f>PROPER(TRIM(Sales_data!F156))</f>
        <v>Kavya Nair</v>
      </c>
      <c r="D158" s="29" t="str">
        <f>LEFT(C158,3)&amp;RIGHT(A158,3)&amp;LEFT(Sales_data!I156,2)</f>
        <v>Kav008De</v>
      </c>
      <c r="E158" s="29" t="str">
        <f>IF(ISNUMBER(SEARCH("@",Sales_data!T156)),LOWER(SUBSTITUTE(Sales_data!T156," ","")),"Invalid Email")</f>
        <v>kavya.nair@company.com</v>
      </c>
    </row>
    <row r="159" spans="1:5" ht="15" customHeight="1">
      <c r="A159" s="29" t="str">
        <f>Sales_data!B157</f>
        <v>C010</v>
      </c>
      <c r="B159" s="29" t="str">
        <f>Sales_data!F157</f>
        <v>Pooja Shah</v>
      </c>
      <c r="C159" s="29" t="str">
        <f>PROPER(TRIM(Sales_data!F157))</f>
        <v>Pooja Shah</v>
      </c>
      <c r="D159" s="29" t="str">
        <f>LEFT(C159,3)&amp;RIGHT(A159,3)&amp;LEFT(Sales_data!I157,2)</f>
        <v>Poo010Hy</v>
      </c>
      <c r="E159" s="29" t="str">
        <f>IF(ISNUMBER(SEARCH("@",Sales_data!T157)),LOWER(SUBSTITUTE(Sales_data!T157," ","")),"Invalid Email")</f>
        <v>pooja.shah@company.com</v>
      </c>
    </row>
    <row r="160" spans="1:5" ht="15" customHeight="1">
      <c r="A160" s="29" t="str">
        <f>Sales_data!B158</f>
        <v>C005</v>
      </c>
      <c r="B160" s="29" t="str">
        <f>Sales_data!F158</f>
        <v>Vikas Mehta</v>
      </c>
      <c r="C160" s="29" t="str">
        <f>PROPER(TRIM(Sales_data!F158))</f>
        <v>Vikas Mehta</v>
      </c>
      <c r="D160" s="29" t="str">
        <f>LEFT(C160,3)&amp;RIGHT(A160,3)&amp;LEFT(Sales_data!I158,2)</f>
        <v>Vik005Ko</v>
      </c>
      <c r="E160" s="29" t="str">
        <f>IF(ISNUMBER(SEARCH("@",Sales_data!T158)),LOWER(SUBSTITUTE(Sales_data!T158," ","")),"Invalid Email")</f>
        <v>vikas.mehta@company.com</v>
      </c>
    </row>
    <row r="161" spans="1:5" ht="15" customHeight="1">
      <c r="A161" s="29" t="str">
        <f>Sales_data!B159</f>
        <v>C001</v>
      </c>
      <c r="B161" s="29" t="str">
        <f>Sales_data!F159</f>
        <v>Amit Sharma</v>
      </c>
      <c r="C161" s="29" t="str">
        <f>PROPER(TRIM(Sales_data!F159))</f>
        <v>Amit Sharma</v>
      </c>
      <c r="D161" s="29" t="str">
        <f>LEFT(C161,3)&amp;RIGHT(A161,3)&amp;LEFT(Sales_data!I159,2)</f>
        <v>Ami001Hy</v>
      </c>
      <c r="E161" s="29" t="str">
        <f>IF(ISNUMBER(SEARCH("@",Sales_data!T159)),LOWER(SUBSTITUTE(Sales_data!T159," ","")),"Invalid Email")</f>
        <v>amit.sharma@company.com</v>
      </c>
    </row>
    <row r="162" spans="1:5" ht="15" customHeight="1">
      <c r="A162" s="29" t="str">
        <f>Sales_data!B160</f>
        <v>C009</v>
      </c>
      <c r="B162" s="29" t="str">
        <f>Sales_data!F160</f>
        <v>Mohit Verma</v>
      </c>
      <c r="C162" s="29" t="str">
        <f>PROPER(TRIM(Sales_data!F160))</f>
        <v>Mohit Verma</v>
      </c>
      <c r="D162" s="29" t="str">
        <f>LEFT(C162,3)&amp;RIGHT(A162,3)&amp;LEFT(Sales_data!I160,2)</f>
        <v>Moh009De</v>
      </c>
      <c r="E162" s="29" t="str">
        <f>IF(ISNUMBER(SEARCH("@",Sales_data!T160)),LOWER(SUBSTITUTE(Sales_data!T160," ","")),"Invalid Email")</f>
        <v>mohit.verma@company.com</v>
      </c>
    </row>
    <row r="163" spans="1:5" ht="15" customHeight="1">
      <c r="A163" s="29" t="str">
        <f>Sales_data!B161</f>
        <v>C005</v>
      </c>
      <c r="B163" s="29" t="str">
        <f>Sales_data!F161</f>
        <v>Vikas Mehta</v>
      </c>
      <c r="C163" s="29" t="str">
        <f>PROPER(TRIM(Sales_data!F161))</f>
        <v>Vikas Mehta</v>
      </c>
      <c r="D163" s="29" t="str">
        <f>LEFT(C163,3)&amp;RIGHT(A163,3)&amp;LEFT(Sales_data!I161,2)</f>
        <v>Vik005Ja</v>
      </c>
      <c r="E163" s="29" t="str">
        <f>IF(ISNUMBER(SEARCH("@",Sales_data!T161)),LOWER(SUBSTITUTE(Sales_data!T161," ","")),"Invalid Email")</f>
        <v>vikas.mehta@company.com</v>
      </c>
    </row>
    <row r="164" spans="1:5" ht="15" customHeight="1">
      <c r="A164" s="29" t="str">
        <f>Sales_data!B162</f>
        <v>C001</v>
      </c>
      <c r="B164" s="29" t="str">
        <f>Sales_data!F162</f>
        <v>Amit    Sharma</v>
      </c>
      <c r="C164" s="29" t="str">
        <f>PROPER(TRIM(Sales_data!F162))</f>
        <v>Amit Sharma</v>
      </c>
      <c r="D164" s="29" t="str">
        <f>LEFT(C164,3)&amp;RIGHT(A164,3)&amp;LEFT(Sales_data!I162,2)</f>
        <v>Ami001De</v>
      </c>
      <c r="E164" s="29" t="str">
        <f>IF(ISNUMBER(SEARCH("@",Sales_data!T162)),LOWER(SUBSTITUTE(Sales_data!T162," ","")),"Invalid Email")</f>
        <v>amit.sharma@company.com</v>
      </c>
    </row>
    <row r="165" spans="1:5" ht="15" customHeight="1">
      <c r="A165" s="29" t="str">
        <f>Sales_data!B163</f>
        <v>C004</v>
      </c>
      <c r="B165" s="29" t="str">
        <f>Sales_data!F163</f>
        <v>Anita Gupta</v>
      </c>
      <c r="C165" s="29" t="str">
        <f>PROPER(TRIM(Sales_data!F163))</f>
        <v>Anita Gupta</v>
      </c>
      <c r="D165" s="29" t="str">
        <f>LEFT(C165,3)&amp;RIGHT(A165,3)&amp;LEFT(Sales_data!I163,2)</f>
        <v>Ani004Ko</v>
      </c>
      <c r="E165" s="29" t="str">
        <f>IF(ISNUMBER(SEARCH("@",Sales_data!T163)),LOWER(SUBSTITUTE(Sales_data!T163," ","")),"Invalid Email")</f>
        <v>anita.gupta@company.com</v>
      </c>
    </row>
    <row r="166" spans="1:5" ht="15" customHeight="1">
      <c r="A166" s="29" t="str">
        <f>Sales_data!B164</f>
        <v>C004</v>
      </c>
      <c r="B166" s="29" t="str">
        <f>Sales_data!F164</f>
        <v>Anita Gupta</v>
      </c>
      <c r="C166" s="29" t="str">
        <f>PROPER(TRIM(Sales_data!F164))</f>
        <v>Anita Gupta</v>
      </c>
      <c r="D166" s="29" t="str">
        <f>LEFT(C166,3)&amp;RIGHT(A166,3)&amp;LEFT(Sales_data!I164,2)</f>
        <v>Ani004Pu</v>
      </c>
      <c r="E166" s="29" t="str">
        <f>IF(ISNUMBER(SEARCH("@",Sales_data!T164)),LOWER(SUBSTITUTE(Sales_data!T164," ","")),"Invalid Email")</f>
        <v>anita.gupta@company.com</v>
      </c>
    </row>
    <row r="167" spans="1:5" ht="15" customHeight="1">
      <c r="A167" s="29" t="str">
        <f>Sales_data!B165</f>
        <v>C001</v>
      </c>
      <c r="B167" s="29" t="str">
        <f>Sales_data!F165</f>
        <v>Amit    Sharma</v>
      </c>
      <c r="C167" s="29" t="str">
        <f>PROPER(TRIM(Sales_data!F165))</f>
        <v>Amit Sharma</v>
      </c>
      <c r="D167" s="29" t="str">
        <f>LEFT(C167,3)&amp;RIGHT(A167,3)&amp;LEFT(Sales_data!I165,2)</f>
        <v>Ami001Ja</v>
      </c>
      <c r="E167" s="29" t="str">
        <f>IF(ISNUMBER(SEARCH("@",Sales_data!T165)),LOWER(SUBSTITUTE(Sales_data!T165," ","")),"Invalid Email")</f>
        <v>amit.sharma@company.com</v>
      </c>
    </row>
    <row r="168" spans="1:5" ht="15" customHeight="1">
      <c r="A168" s="29" t="str">
        <f>Sales_data!B166</f>
        <v>C004</v>
      </c>
      <c r="B168" s="29" t="str">
        <f>Sales_data!F166</f>
        <v>Anita Gupta</v>
      </c>
      <c r="C168" s="29" t="str">
        <f>PROPER(TRIM(Sales_data!F166))</f>
        <v>Anita Gupta</v>
      </c>
      <c r="D168" s="29" t="str">
        <f>LEFT(C168,3)&amp;RIGHT(A168,3)&amp;LEFT(Sales_data!I166,2)</f>
        <v>Ani004Pu</v>
      </c>
      <c r="E168" s="29" t="str">
        <f>IF(ISNUMBER(SEARCH("@",Sales_data!T166)),LOWER(SUBSTITUTE(Sales_data!T166," ","")),"Invalid Email")</f>
        <v>anita.gupta@company.com</v>
      </c>
    </row>
    <row r="169" spans="1:5" ht="15" customHeight="1">
      <c r="A169" s="29" t="str">
        <f>Sales_data!B167</f>
        <v>C004</v>
      </c>
      <c r="B169" s="29" t="str">
        <f>Sales_data!F167</f>
        <v>Anita Gupta</v>
      </c>
      <c r="C169" s="29" t="str">
        <f>PROPER(TRIM(Sales_data!F167))</f>
        <v>Anita Gupta</v>
      </c>
      <c r="D169" s="29" t="str">
        <f>LEFT(C169,3)&amp;RIGHT(A169,3)&amp;LEFT(Sales_data!I167,2)</f>
        <v>Ani004Ah</v>
      </c>
      <c r="E169" s="29" t="str">
        <f>IF(ISNUMBER(SEARCH("@",Sales_data!T167)),LOWER(SUBSTITUTE(Sales_data!T167," ","")),"Invalid Email")</f>
        <v>anita.gupta@company.com</v>
      </c>
    </row>
    <row r="170" spans="1:5" ht="15" customHeight="1">
      <c r="A170" s="29" t="str">
        <f>Sales_data!B168</f>
        <v>C003</v>
      </c>
      <c r="B170" s="29" t="str">
        <f>Sales_data!F168</f>
        <v>Rohit Singh</v>
      </c>
      <c r="C170" s="29" t="str">
        <f>PROPER(TRIM(Sales_data!F168))</f>
        <v>Rohit Singh</v>
      </c>
      <c r="D170" s="29" t="str">
        <f>LEFT(C170,3)&amp;RIGHT(A170,3)&amp;LEFT(Sales_data!I168,2)</f>
        <v>Roh003Ko</v>
      </c>
      <c r="E170" s="29" t="str">
        <f>IF(ISNUMBER(SEARCH("@",Sales_data!T168)),LOWER(SUBSTITUTE(Sales_data!T168," ","")),"Invalid Email")</f>
        <v>rohit.singh@company.com</v>
      </c>
    </row>
    <row r="171" spans="1:5" ht="15" customHeight="1">
      <c r="A171" s="29" t="str">
        <f>Sales_data!B169</f>
        <v>C001</v>
      </c>
      <c r="B171" s="29" t="str">
        <f>Sales_data!F169</f>
        <v>Amit Sharma</v>
      </c>
      <c r="C171" s="29" t="str">
        <f>PROPER(TRIM(Sales_data!F169))</f>
        <v>Amit Sharma</v>
      </c>
      <c r="D171" s="29" t="str">
        <f>LEFT(C171,3)&amp;RIGHT(A171,3)&amp;LEFT(Sales_data!I169,2)</f>
        <v>Ami001Be</v>
      </c>
      <c r="E171" s="29" t="str">
        <f>IF(ISNUMBER(SEARCH("@",Sales_data!T169)),LOWER(SUBSTITUTE(Sales_data!T169," ","")),"Invalid Email")</f>
        <v>amit.sharma@company.com</v>
      </c>
    </row>
    <row r="172" spans="1:5" ht="15" customHeight="1">
      <c r="A172" s="29" t="str">
        <f>Sales_data!B170</f>
        <v>C010</v>
      </c>
      <c r="B172" s="29" t="str">
        <f>Sales_data!F170</f>
        <v>Pooja Shah</v>
      </c>
      <c r="C172" s="29" t="str">
        <f>PROPER(TRIM(Sales_data!F170))</f>
        <v>Pooja Shah</v>
      </c>
      <c r="D172" s="29" t="str">
        <f>LEFT(C172,3)&amp;RIGHT(A172,3)&amp;LEFT(Sales_data!I170,2)</f>
        <v>Poo010Mu</v>
      </c>
      <c r="E172" s="29" t="str">
        <f>IF(ISNUMBER(SEARCH("@",Sales_data!T170)),LOWER(SUBSTITUTE(Sales_data!T170," ","")),"Invalid Email")</f>
        <v>pooja.shah@company.com</v>
      </c>
    </row>
    <row r="173" spans="1:5" ht="15" customHeight="1">
      <c r="A173" s="29" t="str">
        <f>Sales_data!B171</f>
        <v>C006</v>
      </c>
      <c r="B173" s="29" t="str">
        <f>Sales_data!F171</f>
        <v>Sneha Joshi</v>
      </c>
      <c r="C173" s="29" t="str">
        <f>PROPER(TRIM(Sales_data!F171))</f>
        <v>Sneha Joshi</v>
      </c>
      <c r="D173" s="29" t="str">
        <f>LEFT(C173,3)&amp;RIGHT(A173,3)&amp;LEFT(Sales_data!I171,2)</f>
        <v>Sne006Hy</v>
      </c>
      <c r="E173" s="29" t="str">
        <f>IF(ISNUMBER(SEARCH("@",Sales_data!T171)),LOWER(SUBSTITUTE(Sales_data!T171," ","")),"Invalid Email")</f>
        <v>sneha.joshi@company.com</v>
      </c>
    </row>
    <row r="174" spans="1:5" ht="15" customHeight="1">
      <c r="A174" s="29" t="str">
        <f>Sales_data!B172</f>
        <v>C003</v>
      </c>
      <c r="B174" s="29" t="str">
        <f>Sales_data!F172</f>
        <v>Rohit Singh</v>
      </c>
      <c r="C174" s="29" t="str">
        <f>PROPER(TRIM(Sales_data!F172))</f>
        <v>Rohit Singh</v>
      </c>
      <c r="D174" s="29" t="str">
        <f>LEFT(C174,3)&amp;RIGHT(A174,3)&amp;LEFT(Sales_data!I172,2)</f>
        <v>Roh003Ah</v>
      </c>
      <c r="E174" s="29" t="str">
        <f>IF(ISNUMBER(SEARCH("@",Sales_data!T172)),LOWER(SUBSTITUTE(Sales_data!T172," ","")),"Invalid Email")</f>
        <v>rohit.singh@company.com</v>
      </c>
    </row>
    <row r="175" spans="1:5" ht="15" customHeight="1">
      <c r="A175" s="29" t="str">
        <f>Sales_data!B173</f>
        <v>C005</v>
      </c>
      <c r="B175" s="29" t="str">
        <f>Sales_data!F173</f>
        <v>Vikas Mehta</v>
      </c>
      <c r="C175" s="29" t="str">
        <f>PROPER(TRIM(Sales_data!F173))</f>
        <v>Vikas Mehta</v>
      </c>
      <c r="D175" s="29" t="str">
        <f>LEFT(C175,3)&amp;RIGHT(A175,3)&amp;LEFT(Sales_data!I173,2)</f>
        <v>Vik005Ah</v>
      </c>
      <c r="E175" s="29" t="str">
        <f>IF(ISNUMBER(SEARCH("@",Sales_data!T173)),LOWER(SUBSTITUTE(Sales_data!T173," ","")),"Invalid Email")</f>
        <v>vikas.mehta@company.com</v>
      </c>
    </row>
    <row r="176" spans="1:5" ht="15" customHeight="1">
      <c r="A176" s="29" t="str">
        <f>Sales_data!B174</f>
        <v>C008</v>
      </c>
      <c r="B176" s="29" t="str">
        <f>Sales_data!F174</f>
        <v>Kavya Nair</v>
      </c>
      <c r="C176" s="29" t="str">
        <f>PROPER(TRIM(Sales_data!F174))</f>
        <v>Kavya Nair</v>
      </c>
      <c r="D176" s="29" t="str">
        <f>LEFT(C176,3)&amp;RIGHT(A176,3)&amp;LEFT(Sales_data!I174,2)</f>
        <v>Kav008Ja</v>
      </c>
      <c r="E176" s="29" t="str">
        <f>IF(ISNUMBER(SEARCH("@",Sales_data!T174)),LOWER(SUBSTITUTE(Sales_data!T174," ","")),"Invalid Email")</f>
        <v>kavya.nair@company.com</v>
      </c>
    </row>
    <row r="177" spans="1:5" ht="15" customHeight="1">
      <c r="A177" s="29" t="str">
        <f>Sales_data!B175</f>
        <v>C005</v>
      </c>
      <c r="B177" s="29" t="str">
        <f>Sales_data!F175</f>
        <v xml:space="preserve">       Vikas Mehta</v>
      </c>
      <c r="C177" s="29" t="str">
        <f>PROPER(TRIM(Sales_data!F175))</f>
        <v>Vikas Mehta</v>
      </c>
      <c r="D177" s="29" t="str">
        <f>LEFT(C177,3)&amp;RIGHT(A177,3)&amp;LEFT(Sales_data!I175,2)</f>
        <v>Vik005Ja</v>
      </c>
      <c r="E177" s="29" t="str">
        <f>IF(ISNUMBER(SEARCH("@",Sales_data!T175)),LOWER(SUBSTITUTE(Sales_data!T175," ","")),"Invalid Email")</f>
        <v>Invalid Email</v>
      </c>
    </row>
    <row r="178" spans="1:5" ht="15" customHeight="1">
      <c r="A178" s="29" t="str">
        <f>Sales_data!B176</f>
        <v>C006</v>
      </c>
      <c r="B178" s="29" t="str">
        <f>Sales_data!F176</f>
        <v>Sneha Joshi</v>
      </c>
      <c r="C178" s="29" t="str">
        <f>PROPER(TRIM(Sales_data!F176))</f>
        <v>Sneha Joshi</v>
      </c>
      <c r="D178" s="29" t="str">
        <f>LEFT(C178,3)&amp;RIGHT(A178,3)&amp;LEFT(Sales_data!I176,2)</f>
        <v>Sne006Pu</v>
      </c>
      <c r="E178" s="29" t="str">
        <f>IF(ISNUMBER(SEARCH("@",Sales_data!T176)),LOWER(SUBSTITUTE(Sales_data!T176," ","")),"Invalid Email")</f>
        <v>sneha.joshi@company.com</v>
      </c>
    </row>
    <row r="179" spans="1:5" ht="15" customHeight="1">
      <c r="A179" s="29" t="str">
        <f>Sales_data!B177</f>
        <v>C008</v>
      </c>
      <c r="B179" s="29" t="str">
        <f>Sales_data!F177</f>
        <v>Kavya Nair</v>
      </c>
      <c r="C179" s="29" t="str">
        <f>PROPER(TRIM(Sales_data!F177))</f>
        <v>Kavya Nair</v>
      </c>
      <c r="D179" s="29" t="str">
        <f>LEFT(C179,3)&amp;RIGHT(A179,3)&amp;LEFT(Sales_data!I177,2)</f>
        <v>Kav008Pu</v>
      </c>
      <c r="E179" s="29" t="str">
        <f>IF(ISNUMBER(SEARCH("@",Sales_data!T177)),LOWER(SUBSTITUTE(Sales_data!T177," ","")),"Invalid Email")</f>
        <v>kavya.nair@company.com</v>
      </c>
    </row>
    <row r="180" spans="1:5" ht="15" customHeight="1">
      <c r="A180" s="29" t="str">
        <f>Sales_data!B178</f>
        <v>C006</v>
      </c>
      <c r="B180" s="29" t="str">
        <f>Sales_data!F178</f>
        <v>Sneha      Joshi</v>
      </c>
      <c r="C180" s="29" t="str">
        <f>PROPER(TRIM(Sales_data!F178))</f>
        <v>Sneha Joshi</v>
      </c>
      <c r="D180" s="29" t="str">
        <f>LEFT(C180,3)&amp;RIGHT(A180,3)&amp;LEFT(Sales_data!I178,2)</f>
        <v>Sne006Ah</v>
      </c>
      <c r="E180" s="29" t="str">
        <f>IF(ISNUMBER(SEARCH("@",Sales_data!T178)),LOWER(SUBSTITUTE(Sales_data!T178," ","")),"Invalid Email")</f>
        <v>sneha.joshi@company.com</v>
      </c>
    </row>
    <row r="181" spans="1:5" ht="15" customHeight="1">
      <c r="A181" s="29" t="str">
        <f>Sales_data!B179</f>
        <v>C004</v>
      </c>
      <c r="B181" s="29" t="str">
        <f>Sales_data!F179</f>
        <v>Anita Gupta</v>
      </c>
      <c r="C181" s="29" t="str">
        <f>PROPER(TRIM(Sales_data!F179))</f>
        <v>Anita Gupta</v>
      </c>
      <c r="D181" s="29" t="str">
        <f>LEFT(C181,3)&amp;RIGHT(A181,3)&amp;LEFT(Sales_data!I179,2)</f>
        <v>Ani004De</v>
      </c>
      <c r="E181" s="29" t="str">
        <f>IF(ISNUMBER(SEARCH("@",Sales_data!T179)),LOWER(SUBSTITUTE(Sales_data!T179," ","")),"Invalid Email")</f>
        <v>anita.gupta@company.com</v>
      </c>
    </row>
    <row r="182" spans="1:5" ht="15" customHeight="1">
      <c r="A182" s="29" t="str">
        <f>Sales_data!B180</f>
        <v>C005</v>
      </c>
      <c r="B182" s="29" t="str">
        <f>Sales_data!F180</f>
        <v>Priya  Patel</v>
      </c>
      <c r="C182" s="29" t="str">
        <f>PROPER(TRIM(Sales_data!F180))</f>
        <v>Priya Patel</v>
      </c>
      <c r="D182" s="29" t="str">
        <f>LEFT(C182,3)&amp;RIGHT(A182,3)&amp;LEFT(Sales_data!I180,2)</f>
        <v>Pri005Ko</v>
      </c>
      <c r="E182" s="29" t="str">
        <f>IF(ISNUMBER(SEARCH("@",Sales_data!T180)),LOWER(SUBSTITUTE(Sales_data!T180," ","")),"Invalid Email")</f>
        <v>vikas.mehta@company.com</v>
      </c>
    </row>
    <row r="183" spans="1:5" ht="15" customHeight="1">
      <c r="A183" s="29" t="str">
        <f>Sales_data!B181</f>
        <v>C008</v>
      </c>
      <c r="B183" s="29" t="str">
        <f>Sales_data!F181</f>
        <v>Kavya Nair</v>
      </c>
      <c r="C183" s="29" t="str">
        <f>PROPER(TRIM(Sales_data!F181))</f>
        <v>Kavya Nair</v>
      </c>
      <c r="D183" s="29" t="str">
        <f>LEFT(C183,3)&amp;RIGHT(A183,3)&amp;LEFT(Sales_data!I181,2)</f>
        <v>Kav008Hy</v>
      </c>
      <c r="E183" s="29" t="str">
        <f>IF(ISNUMBER(SEARCH("@",Sales_data!T181)),LOWER(SUBSTITUTE(Sales_data!T181," ","")),"Invalid Email")</f>
        <v>kavya.nair@company.com</v>
      </c>
    </row>
    <row r="184" spans="1:5" ht="15" customHeight="1">
      <c r="A184" s="29" t="str">
        <f>Sales_data!B182</f>
        <v>C002</v>
      </c>
      <c r="B184" s="29" t="str">
        <f>Sales_data!F182</f>
        <v>Priya Patel</v>
      </c>
      <c r="C184" s="29" t="str">
        <f>PROPER(TRIM(Sales_data!F182))</f>
        <v>Priya Patel</v>
      </c>
      <c r="D184" s="29" t="str">
        <f>LEFT(C184,3)&amp;RIGHT(A184,3)&amp;LEFT(Sales_data!I182,2)</f>
        <v>Pri002Ah</v>
      </c>
      <c r="E184" s="29" t="str">
        <f>IF(ISNUMBER(SEARCH("@",Sales_data!T182)),LOWER(SUBSTITUTE(Sales_data!T182," ","")),"Invalid Email")</f>
        <v>priya.patel@company.com</v>
      </c>
    </row>
    <row r="185" spans="1:5" ht="15" customHeight="1">
      <c r="A185" s="29" t="str">
        <f>Sales_data!B183</f>
        <v>C006</v>
      </c>
      <c r="B185" s="29" t="str">
        <f>Sales_data!F183</f>
        <v>Sneha Joshi</v>
      </c>
      <c r="C185" s="29" t="str">
        <f>PROPER(TRIM(Sales_data!F183))</f>
        <v>Sneha Joshi</v>
      </c>
      <c r="D185" s="29" t="str">
        <f>LEFT(C185,3)&amp;RIGHT(A185,3)&amp;LEFT(Sales_data!I183,2)</f>
        <v>Sne006Ja</v>
      </c>
      <c r="E185" s="29" t="str">
        <f>IF(ISNUMBER(SEARCH("@",Sales_data!T183)),LOWER(SUBSTITUTE(Sales_data!T183," ","")),"Invalid Email")</f>
        <v>sneha.joshi@company.com</v>
      </c>
    </row>
    <row r="186" spans="1:5" ht="15" customHeight="1">
      <c r="A186" s="29" t="str">
        <f>Sales_data!B184</f>
        <v>C002</v>
      </c>
      <c r="B186" s="29" t="str">
        <f>Sales_data!F184</f>
        <v>Priya Patel</v>
      </c>
      <c r="C186" s="29" t="str">
        <f>PROPER(TRIM(Sales_data!F184))</f>
        <v>Priya Patel</v>
      </c>
      <c r="D186" s="29" t="str">
        <f>LEFT(C186,3)&amp;RIGHT(A186,3)&amp;LEFT(Sales_data!I184,2)</f>
        <v>Pri002Be</v>
      </c>
      <c r="E186" s="29" t="str">
        <f>IF(ISNUMBER(SEARCH("@",Sales_data!T184)),LOWER(SUBSTITUTE(Sales_data!T184," ","")),"Invalid Email")</f>
        <v>priya.patel@company.com</v>
      </c>
    </row>
    <row r="187" spans="1:5" ht="15" customHeight="1">
      <c r="A187" s="29" t="str">
        <f>Sales_data!B185</f>
        <v>C009</v>
      </c>
      <c r="B187" s="29" t="str">
        <f>Sales_data!F185</f>
        <v>Mohit Verma</v>
      </c>
      <c r="C187" s="29" t="str">
        <f>PROPER(TRIM(Sales_data!F185))</f>
        <v>Mohit Verma</v>
      </c>
      <c r="D187" s="29" t="str">
        <f>LEFT(C187,3)&amp;RIGHT(A187,3)&amp;LEFT(Sales_data!I185,2)</f>
        <v>Moh009De</v>
      </c>
      <c r="E187" s="29" t="str">
        <f>IF(ISNUMBER(SEARCH("@",Sales_data!T185)),LOWER(SUBSTITUTE(Sales_data!T185," ","")),"Invalid Email")</f>
        <v>mohit.verma@company.com</v>
      </c>
    </row>
    <row r="188" spans="1:5" ht="15" customHeight="1">
      <c r="A188" s="29" t="str">
        <f>Sales_data!B186</f>
        <v>C002</v>
      </c>
      <c r="B188" s="29" t="str">
        <f>Sales_data!F186</f>
        <v>Priya Patel</v>
      </c>
      <c r="C188" s="29" t="str">
        <f>PROPER(TRIM(Sales_data!F186))</f>
        <v>Priya Patel</v>
      </c>
      <c r="D188" s="29" t="str">
        <f>LEFT(C188,3)&amp;RIGHT(A188,3)&amp;LEFT(Sales_data!I186,2)</f>
        <v>Pri002Ko</v>
      </c>
      <c r="E188" s="29" t="str">
        <f>IF(ISNUMBER(SEARCH("@",Sales_data!T186)),LOWER(SUBSTITUTE(Sales_data!T186," ","")),"Invalid Email")</f>
        <v>priya.patel@company.com</v>
      </c>
    </row>
    <row r="189" spans="1:5" ht="15" customHeight="1">
      <c r="A189" s="29" t="str">
        <f>Sales_data!B187</f>
        <v>C006</v>
      </c>
      <c r="B189" s="29" t="str">
        <f>Sales_data!F187</f>
        <v>Sneha Joshi</v>
      </c>
      <c r="C189" s="29" t="str">
        <f>PROPER(TRIM(Sales_data!F187))</f>
        <v>Sneha Joshi</v>
      </c>
      <c r="D189" s="29" t="str">
        <f>LEFT(C189,3)&amp;RIGHT(A189,3)&amp;LEFT(Sales_data!I187,2)</f>
        <v>Sne006Hy</v>
      </c>
      <c r="E189" s="29" t="str">
        <f>IF(ISNUMBER(SEARCH("@",Sales_data!T187)),LOWER(SUBSTITUTE(Sales_data!T187," ","")),"Invalid Email")</f>
        <v>sneha.joshi@company.com</v>
      </c>
    </row>
    <row r="190" spans="1:5" ht="15" customHeight="1">
      <c r="A190" s="29" t="str">
        <f>Sales_data!B188</f>
        <v>C003</v>
      </c>
      <c r="B190" s="29" t="str">
        <f>Sales_data!F188</f>
        <v>Rohit Singh</v>
      </c>
      <c r="C190" s="29" t="str">
        <f>PROPER(TRIM(Sales_data!F188))</f>
        <v>Rohit Singh</v>
      </c>
      <c r="D190" s="29" t="str">
        <f>LEFT(C190,3)&amp;RIGHT(A190,3)&amp;LEFT(Sales_data!I188,2)</f>
        <v>Roh003Pu</v>
      </c>
      <c r="E190" s="29" t="str">
        <f>IF(ISNUMBER(SEARCH("@",Sales_data!T188)),LOWER(SUBSTITUTE(Sales_data!T188," ","")),"Invalid Email")</f>
        <v>rohit.singh@company.com</v>
      </c>
    </row>
    <row r="191" spans="1:5" ht="15" customHeight="1">
      <c r="A191" s="29" t="str">
        <f>Sales_data!B189</f>
        <v>C005</v>
      </c>
      <c r="B191" s="29" t="str">
        <f>Sales_data!F189</f>
        <v>Vikas Mehta</v>
      </c>
      <c r="C191" s="29" t="str">
        <f>PROPER(TRIM(Sales_data!F189))</f>
        <v>Vikas Mehta</v>
      </c>
      <c r="D191" s="29" t="str">
        <f>LEFT(C191,3)&amp;RIGHT(A191,3)&amp;LEFT(Sales_data!I189,2)</f>
        <v>Vik005Hy</v>
      </c>
      <c r="E191" s="29" t="str">
        <f>IF(ISNUMBER(SEARCH("@",Sales_data!T189)),LOWER(SUBSTITUTE(Sales_data!T189," ","")),"Invalid Email")</f>
        <v>vikas.mehta@company.com</v>
      </c>
    </row>
    <row r="192" spans="1:5" ht="15" customHeight="1">
      <c r="A192" s="29" t="str">
        <f>Sales_data!B190</f>
        <v>C001</v>
      </c>
      <c r="B192" s="29" t="str">
        <f>Sales_data!F190</f>
        <v>Amit Sharma</v>
      </c>
      <c r="C192" s="29" t="str">
        <f>PROPER(TRIM(Sales_data!F190))</f>
        <v>Amit Sharma</v>
      </c>
      <c r="D192" s="29" t="str">
        <f>LEFT(C192,3)&amp;RIGHT(A192,3)&amp;LEFT(Sales_data!I190,2)</f>
        <v>Ami001Pu</v>
      </c>
      <c r="E192" s="29" t="str">
        <f>IF(ISNUMBER(SEARCH("@",Sales_data!T190)),LOWER(SUBSTITUTE(Sales_data!T190," ","")),"Invalid Email")</f>
        <v>amit.sharma@company.com</v>
      </c>
    </row>
    <row r="193" spans="1:5" ht="15" customHeight="1">
      <c r="A193" s="29" t="str">
        <f>Sales_data!B191</f>
        <v>C001</v>
      </c>
      <c r="B193" s="29" t="str">
        <f>Sales_data!F191</f>
        <v>Amit Sharma</v>
      </c>
      <c r="C193" s="29" t="str">
        <f>PROPER(TRIM(Sales_data!F191))</f>
        <v>Amit Sharma</v>
      </c>
      <c r="D193" s="29" t="str">
        <f>LEFT(C193,3)&amp;RIGHT(A193,3)&amp;LEFT(Sales_data!I191,2)</f>
        <v>Ami001Be</v>
      </c>
      <c r="E193" s="29" t="str">
        <f>IF(ISNUMBER(SEARCH("@",Sales_data!T191)),LOWER(SUBSTITUTE(Sales_data!T191," ","")),"Invalid Email")</f>
        <v>amit.sharma@company.com</v>
      </c>
    </row>
    <row r="194" spans="1:5" ht="15" customHeight="1">
      <c r="A194" s="29" t="str">
        <f>Sales_data!B192</f>
        <v>C005</v>
      </c>
      <c r="B194" s="29" t="str">
        <f>Sales_data!F192</f>
        <v>Vikas Mehta</v>
      </c>
      <c r="C194" s="29" t="str">
        <f>PROPER(TRIM(Sales_data!F192))</f>
        <v>Vikas Mehta</v>
      </c>
      <c r="D194" s="29" t="str">
        <f>LEFT(C194,3)&amp;RIGHT(A194,3)&amp;LEFT(Sales_data!I192,2)</f>
        <v>Vik005Pu</v>
      </c>
      <c r="E194" s="29" t="str">
        <f>IF(ISNUMBER(SEARCH("@",Sales_data!T192)),LOWER(SUBSTITUTE(Sales_data!T192," ","")),"Invalid Email")</f>
        <v>vikas.mehta@company.com</v>
      </c>
    </row>
    <row r="195" spans="1:5" ht="15" customHeight="1">
      <c r="A195" s="29" t="str">
        <f>Sales_data!B193</f>
        <v>C001</v>
      </c>
      <c r="B195" s="29" t="str">
        <f>Sales_data!F193</f>
        <v>Amit Sharma</v>
      </c>
      <c r="C195" s="29" t="str">
        <f>PROPER(TRIM(Sales_data!F193))</f>
        <v>Amit Sharma</v>
      </c>
      <c r="D195" s="29" t="str">
        <f>LEFT(C195,3)&amp;RIGHT(A195,3)&amp;LEFT(Sales_data!I193,2)</f>
        <v>Ami001Ja</v>
      </c>
      <c r="E195" s="29" t="str">
        <f>IF(ISNUMBER(SEARCH("@",Sales_data!T193)),LOWER(SUBSTITUTE(Sales_data!T193," ","")),"Invalid Email")</f>
        <v>amit.sharma@company.com</v>
      </c>
    </row>
    <row r="196" spans="1:5" ht="15" customHeight="1">
      <c r="A196" s="29" t="str">
        <f>Sales_data!B194</f>
        <v>C004</v>
      </c>
      <c r="B196" s="29" t="str">
        <f>Sales_data!F194</f>
        <v>Anita Gupta</v>
      </c>
      <c r="C196" s="29" t="str">
        <f>PROPER(TRIM(Sales_data!F194))</f>
        <v>Anita Gupta</v>
      </c>
      <c r="D196" s="29" t="str">
        <f>LEFT(C196,3)&amp;RIGHT(A196,3)&amp;LEFT(Sales_data!I194,2)</f>
        <v>Ani004Ja</v>
      </c>
      <c r="E196" s="29" t="str">
        <f>IF(ISNUMBER(SEARCH("@",Sales_data!T194)),LOWER(SUBSTITUTE(Sales_data!T194," ","")),"Invalid Email")</f>
        <v>anita.gupta@company.com</v>
      </c>
    </row>
    <row r="197" spans="1:5" ht="15" customHeight="1">
      <c r="A197" s="29" t="str">
        <f>Sales_data!B195</f>
        <v>C006</v>
      </c>
      <c r="B197" s="29" t="str">
        <f>Sales_data!F195</f>
        <v>Sneha Joshi</v>
      </c>
      <c r="C197" s="29" t="str">
        <f>PROPER(TRIM(Sales_data!F195))</f>
        <v>Sneha Joshi</v>
      </c>
      <c r="D197" s="29" t="str">
        <f>LEFT(C197,3)&amp;RIGHT(A197,3)&amp;LEFT(Sales_data!I195,2)</f>
        <v>Sne006De</v>
      </c>
      <c r="E197" s="29" t="str">
        <f>IF(ISNUMBER(SEARCH("@",Sales_data!T195)),LOWER(SUBSTITUTE(Sales_data!T195," ","")),"Invalid Email")</f>
        <v>sneha.joshi@company.com</v>
      </c>
    </row>
    <row r="198" spans="1:5" ht="15" customHeight="1">
      <c r="A198" s="29" t="str">
        <f>Sales_data!B196</f>
        <v>C006</v>
      </c>
      <c r="B198" s="29" t="str">
        <f>Sales_data!F196</f>
        <v>Sneha Joshi</v>
      </c>
      <c r="C198" s="29" t="str">
        <f>PROPER(TRIM(Sales_data!F196))</f>
        <v>Sneha Joshi</v>
      </c>
      <c r="D198" s="29" t="str">
        <f>LEFT(C198,3)&amp;RIGHT(A198,3)&amp;LEFT(Sales_data!I196,2)</f>
        <v>Sne006Ah</v>
      </c>
      <c r="E198" s="29" t="str">
        <f>IF(ISNUMBER(SEARCH("@",Sales_data!T196)),LOWER(SUBSTITUTE(Sales_data!T196," ","")),"Invalid Email")</f>
        <v>sneha.joshi@company.com</v>
      </c>
    </row>
    <row r="199" spans="1:5" ht="15" customHeight="1">
      <c r="A199" s="29" t="str">
        <f>Sales_data!B197</f>
        <v>C007</v>
      </c>
      <c r="B199" s="29" t="str">
        <f>Sales_data!F197</f>
        <v>Arjun Rao</v>
      </c>
      <c r="C199" s="29" t="str">
        <f>PROPER(TRIM(Sales_data!F197))</f>
        <v>Arjun Rao</v>
      </c>
      <c r="D199" s="29" t="str">
        <f>LEFT(C199,3)&amp;RIGHT(A199,3)&amp;LEFT(Sales_data!I197,2)</f>
        <v>Arj007De</v>
      </c>
      <c r="E199" s="29" t="str">
        <f>IF(ISNUMBER(SEARCH("@",Sales_data!T197)),LOWER(SUBSTITUTE(Sales_data!T197," ","")),"Invalid Email")</f>
        <v>arjun.rao@company.com</v>
      </c>
    </row>
    <row r="200" spans="1:5" ht="15" customHeight="1">
      <c r="A200" s="29" t="str">
        <f>Sales_data!B198</f>
        <v>C005</v>
      </c>
      <c r="B200" s="29" t="str">
        <f>Sales_data!F198</f>
        <v>Vikas Mehta</v>
      </c>
      <c r="C200" s="29" t="str">
        <f>PROPER(TRIM(Sales_data!F198))</f>
        <v>Vikas Mehta</v>
      </c>
      <c r="D200" s="29" t="str">
        <f>LEFT(C200,3)&amp;RIGHT(A200,3)&amp;LEFT(Sales_data!I198,2)</f>
        <v>Vik005Hy</v>
      </c>
      <c r="E200" s="29" t="str">
        <f>IF(ISNUMBER(SEARCH("@",Sales_data!T198)),LOWER(SUBSTITUTE(Sales_data!T198," ","")),"Invalid Email")</f>
        <v>vikas.mehta@company.com</v>
      </c>
    </row>
    <row r="201" spans="1:5" ht="15" customHeight="1">
      <c r="A201" s="29" t="str">
        <f>Sales_data!B199</f>
        <v>C002</v>
      </c>
      <c r="B201" s="29" t="str">
        <f>Sales_data!F199</f>
        <v>Priya Patel</v>
      </c>
      <c r="C201" s="29" t="str">
        <f>PROPER(TRIM(Sales_data!F199))</f>
        <v>Priya Patel</v>
      </c>
      <c r="D201" s="29" t="str">
        <f>LEFT(C201,3)&amp;RIGHT(A201,3)&amp;LEFT(Sales_data!I199,2)</f>
        <v>Pri002Pu</v>
      </c>
      <c r="E201" s="29" t="str">
        <f>IF(ISNUMBER(SEARCH("@",Sales_data!T199)),LOWER(SUBSTITUTE(Sales_data!T199," ","")),"Invalid Email")</f>
        <v>priya.patel@company.com</v>
      </c>
    </row>
    <row r="202" spans="1:5" ht="15" customHeight="1">
      <c r="A202" s="29" t="str">
        <f>Sales_data!B200</f>
        <v>C005</v>
      </c>
      <c r="B202" s="29" t="str">
        <f>Sales_data!F200</f>
        <v>Vikas Mehta</v>
      </c>
      <c r="C202" s="29" t="str">
        <f>PROPER(TRIM(Sales_data!F200))</f>
        <v>Vikas Mehta</v>
      </c>
      <c r="D202" s="29" t="str">
        <f>LEFT(C202,3)&amp;RIGHT(A202,3)&amp;LEFT(Sales_data!I200,2)</f>
        <v>Vik005Be</v>
      </c>
      <c r="E202" s="29" t="str">
        <f>IF(ISNUMBER(SEARCH("@",Sales_data!T200)),LOWER(SUBSTITUTE(Sales_data!T200," ","")),"Invalid Email")</f>
        <v>vikas.mehta@company.com</v>
      </c>
    </row>
    <row r="203" spans="1:5" ht="15" customHeight="1">
      <c r="A203" s="29" t="str">
        <f>Sales_data!B201</f>
        <v>C002</v>
      </c>
      <c r="B203" s="29" t="str">
        <f>Sales_data!F201</f>
        <v>Priya Patel</v>
      </c>
      <c r="C203" s="29" t="str">
        <f>PROPER(TRIM(Sales_data!F201))</f>
        <v>Priya Patel</v>
      </c>
      <c r="D203" s="29" t="str">
        <f>LEFT(C203,3)&amp;RIGHT(A203,3)&amp;LEFT(Sales_data!I201,2)</f>
        <v>Pri002Ja</v>
      </c>
      <c r="E203" s="29" t="str">
        <f>IF(ISNUMBER(SEARCH("@",Sales_data!T201)),LOWER(SUBSTITUTE(Sales_data!T201," ","")),"Invalid Email")</f>
        <v>priya.patel@company.com</v>
      </c>
    </row>
    <row r="204" spans="1:5" ht="15" customHeight="1">
      <c r="A204" s="29" t="str">
        <f>Sales_data!B202</f>
        <v>C005</v>
      </c>
      <c r="B204" s="29" t="str">
        <f>Sales_data!F202</f>
        <v>Vikas Mehta</v>
      </c>
      <c r="C204" s="29" t="str">
        <f>PROPER(TRIM(Sales_data!F202))</f>
        <v>Vikas Mehta</v>
      </c>
      <c r="D204" s="29" t="str">
        <f>LEFT(C204,3)&amp;RIGHT(A204,3)&amp;LEFT(Sales_data!I202,2)</f>
        <v>Vik005Ah</v>
      </c>
      <c r="E204" s="29" t="str">
        <f>IF(ISNUMBER(SEARCH("@",Sales_data!T202)),LOWER(SUBSTITUTE(Sales_data!T202," ","")),"Invalid Email")</f>
        <v>vikas.mehta@company.com</v>
      </c>
    </row>
    <row r="205" spans="1:5" ht="15" customHeight="1">
      <c r="A205" s="29" t="str">
        <f>Sales_data!B203</f>
        <v>C009</v>
      </c>
      <c r="B205" s="29" t="str">
        <f>Sales_data!F203</f>
        <v>Mohit Verma</v>
      </c>
      <c r="C205" s="29" t="str">
        <f>PROPER(TRIM(Sales_data!F203))</f>
        <v>Mohit Verma</v>
      </c>
      <c r="D205" s="29" t="str">
        <f>LEFT(C205,3)&amp;RIGHT(A205,3)&amp;LEFT(Sales_data!I203,2)</f>
        <v>Moh009Hy</v>
      </c>
      <c r="E205" s="29" t="str">
        <f>IF(ISNUMBER(SEARCH("@",Sales_data!T203)),LOWER(SUBSTITUTE(Sales_data!T203," ","")),"Invalid Email")</f>
        <v>mohit.verma@company.com</v>
      </c>
    </row>
    <row r="206" spans="1:5" ht="15" customHeight="1">
      <c r="A206" s="29" t="str">
        <f>Sales_data!B204</f>
        <v>C010</v>
      </c>
      <c r="B206" s="29" t="str">
        <f>Sales_data!F204</f>
        <v>Pooja Shah</v>
      </c>
      <c r="C206" s="29" t="str">
        <f>PROPER(TRIM(Sales_data!F204))</f>
        <v>Pooja Shah</v>
      </c>
      <c r="D206" s="29" t="str">
        <f>LEFT(C206,3)&amp;RIGHT(A206,3)&amp;LEFT(Sales_data!I204,2)</f>
        <v>Poo010Be</v>
      </c>
      <c r="E206" s="29" t="str">
        <f>IF(ISNUMBER(SEARCH("@",Sales_data!T204)),LOWER(SUBSTITUTE(Sales_data!T204," ","")),"Invalid Email")</f>
        <v>pooja.shah@company.com</v>
      </c>
    </row>
    <row r="207" spans="1:5" ht="15" customHeight="1">
      <c r="A207" s="29" t="str">
        <f>Sales_data!B205</f>
        <v>C003</v>
      </c>
      <c r="B207" s="29" t="str">
        <f>Sales_data!F205</f>
        <v>Rohit Singh</v>
      </c>
      <c r="C207" s="29" t="str">
        <f>PROPER(TRIM(Sales_data!F205))</f>
        <v>Rohit Singh</v>
      </c>
      <c r="D207" s="29" t="str">
        <f>LEFT(C207,3)&amp;RIGHT(A207,3)&amp;LEFT(Sales_data!I205,2)</f>
        <v>Roh003Ja</v>
      </c>
      <c r="E207" s="29" t="str">
        <f>IF(ISNUMBER(SEARCH("@",Sales_data!T205)),LOWER(SUBSTITUTE(Sales_data!T205," ","")),"Invalid Email")</f>
        <v>rohit.singh@company.com</v>
      </c>
    </row>
    <row r="208" spans="1:5" ht="15" customHeight="1">
      <c r="A208" s="29" t="str">
        <f>Sales_data!B206</f>
        <v>C004</v>
      </c>
      <c r="B208" s="29" t="str">
        <f>Sales_data!F206</f>
        <v>Anita Gupta</v>
      </c>
      <c r="C208" s="29" t="str">
        <f>PROPER(TRIM(Sales_data!F206))</f>
        <v>Anita Gupta</v>
      </c>
      <c r="D208" s="29" t="str">
        <f>LEFT(C208,3)&amp;RIGHT(A208,3)&amp;LEFT(Sales_data!I206,2)</f>
        <v>Ani004Pu</v>
      </c>
      <c r="E208" s="29" t="str">
        <f>IF(ISNUMBER(SEARCH("@",Sales_data!T206)),LOWER(SUBSTITUTE(Sales_data!T206," ","")),"Invalid Email")</f>
        <v>anita.gupta@company.com</v>
      </c>
    </row>
    <row r="209" spans="1:5" ht="15" customHeight="1">
      <c r="A209" s="29" t="str">
        <f>Sales_data!B207</f>
        <v>C001</v>
      </c>
      <c r="B209" s="29" t="str">
        <f>Sales_data!F207</f>
        <v>Amit Sharma</v>
      </c>
      <c r="C209" s="29" t="str">
        <f>PROPER(TRIM(Sales_data!F207))</f>
        <v>Amit Sharma</v>
      </c>
      <c r="D209" s="29" t="str">
        <f>LEFT(C209,3)&amp;RIGHT(A209,3)&amp;LEFT(Sales_data!I207,2)</f>
        <v>Ami001Mu</v>
      </c>
      <c r="E209" s="29" t="str">
        <f>IF(ISNUMBER(SEARCH("@",Sales_data!T207)),LOWER(SUBSTITUTE(Sales_data!T207," ","")),"Invalid Email")</f>
        <v>amit.sharma@company.com</v>
      </c>
    </row>
    <row r="210" spans="1:5" ht="15" customHeight="1">
      <c r="A210" s="29" t="str">
        <f>Sales_data!B208</f>
        <v>C005</v>
      </c>
      <c r="B210" s="29" t="str">
        <f>Sales_data!F208</f>
        <v>Vikas Mehta</v>
      </c>
      <c r="C210" s="29" t="str">
        <f>PROPER(TRIM(Sales_data!F208))</f>
        <v>Vikas Mehta</v>
      </c>
      <c r="D210" s="29" t="str">
        <f>LEFT(C210,3)&amp;RIGHT(A210,3)&amp;LEFT(Sales_data!I208,2)</f>
        <v>Vik005Hy</v>
      </c>
      <c r="E210" s="29" t="str">
        <f>IF(ISNUMBER(SEARCH("@",Sales_data!T208)),LOWER(SUBSTITUTE(Sales_data!T208," ","")),"Invalid Email")</f>
        <v>vikas.mehta@company.com</v>
      </c>
    </row>
    <row r="211" spans="1:5" ht="15" customHeight="1">
      <c r="A211" s="29" t="str">
        <f>Sales_data!B209</f>
        <v>C001</v>
      </c>
      <c r="B211" s="29" t="str">
        <f>Sales_data!F209</f>
        <v>Amit Sharma</v>
      </c>
      <c r="C211" s="29" t="str">
        <f>PROPER(TRIM(Sales_data!F209))</f>
        <v>Amit Sharma</v>
      </c>
      <c r="D211" s="29" t="str">
        <f>LEFT(C211,3)&amp;RIGHT(A211,3)&amp;LEFT(Sales_data!I209,2)</f>
        <v>Ami001Pu</v>
      </c>
      <c r="E211" s="29" t="str">
        <f>IF(ISNUMBER(SEARCH("@",Sales_data!T209)),LOWER(SUBSTITUTE(Sales_data!T209," ","")),"Invalid Email")</f>
        <v>amit.sharma@company.com</v>
      </c>
    </row>
    <row r="212" spans="1:5" ht="15" customHeight="1">
      <c r="A212" s="29" t="str">
        <f>Sales_data!B210</f>
        <v>C008</v>
      </c>
      <c r="B212" s="29" t="str">
        <f>Sales_data!F210</f>
        <v>Kavya Nair</v>
      </c>
      <c r="C212" s="29" t="str">
        <f>PROPER(TRIM(Sales_data!F210))</f>
        <v>Kavya Nair</v>
      </c>
      <c r="D212" s="29" t="str">
        <f>LEFT(C212,3)&amp;RIGHT(A212,3)&amp;LEFT(Sales_data!I210,2)</f>
        <v>Kav008Mu</v>
      </c>
      <c r="E212" s="29" t="str">
        <f>IF(ISNUMBER(SEARCH("@",Sales_data!T210)),LOWER(SUBSTITUTE(Sales_data!T210," ","")),"Invalid Email")</f>
        <v>kavya.nair@company.com</v>
      </c>
    </row>
    <row r="213" spans="1:5" ht="15" customHeight="1">
      <c r="A213" s="29" t="str">
        <f>Sales_data!B211</f>
        <v>C006</v>
      </c>
      <c r="B213" s="29" t="str">
        <f>Sales_data!F211</f>
        <v>Sneha Joshi</v>
      </c>
      <c r="C213" s="29" t="str">
        <f>PROPER(TRIM(Sales_data!F211))</f>
        <v>Sneha Joshi</v>
      </c>
      <c r="D213" s="29" t="str">
        <f>LEFT(C213,3)&amp;RIGHT(A213,3)&amp;LEFT(Sales_data!I211,2)</f>
        <v>Sne006Mu</v>
      </c>
      <c r="E213" s="29" t="str">
        <f>IF(ISNUMBER(SEARCH("@",Sales_data!T211)),LOWER(SUBSTITUTE(Sales_data!T211," ","")),"Invalid Email")</f>
        <v>sneha.joshi@company.com</v>
      </c>
    </row>
    <row r="214" spans="1:5" ht="15" customHeight="1">
      <c r="A214" s="29" t="str">
        <f>Sales_data!B212</f>
        <v>C001</v>
      </c>
      <c r="B214" s="29" t="str">
        <f>Sales_data!F212</f>
        <v>Amit Sharma</v>
      </c>
      <c r="C214" s="29" t="str">
        <f>PROPER(TRIM(Sales_data!F212))</f>
        <v>Amit Sharma</v>
      </c>
      <c r="D214" s="29" t="str">
        <f>LEFT(C214,3)&amp;RIGHT(A214,3)&amp;LEFT(Sales_data!I212,2)</f>
        <v>Ami001Mu</v>
      </c>
      <c r="E214" s="29" t="str">
        <f>IF(ISNUMBER(SEARCH("@",Sales_data!T212)),LOWER(SUBSTITUTE(Sales_data!T212," ","")),"Invalid Email")</f>
        <v>amit.sharma@company.com</v>
      </c>
    </row>
    <row r="215" spans="1:5" ht="15" customHeight="1">
      <c r="A215" s="29" t="str">
        <f>Sales_data!B213</f>
        <v>C006</v>
      </c>
      <c r="B215" s="29" t="str">
        <f>Sales_data!F213</f>
        <v>Sneha Joshi</v>
      </c>
      <c r="C215" s="29" t="str">
        <f>PROPER(TRIM(Sales_data!F213))</f>
        <v>Sneha Joshi</v>
      </c>
      <c r="D215" s="29" t="str">
        <f>LEFT(C215,3)&amp;RIGHT(A215,3)&amp;LEFT(Sales_data!I213,2)</f>
        <v>Sne006Ah</v>
      </c>
      <c r="E215" s="29" t="str">
        <f>IF(ISNUMBER(SEARCH("@",Sales_data!T213)),LOWER(SUBSTITUTE(Sales_data!T213," ","")),"Invalid Email")</f>
        <v>sneha.joshi@company.com</v>
      </c>
    </row>
    <row r="216" spans="1:5" ht="15" customHeight="1">
      <c r="A216" s="29" t="str">
        <f>Sales_data!B214</f>
        <v>C008</v>
      </c>
      <c r="B216" s="29" t="str">
        <f>Sales_data!F214</f>
        <v>Kavya Nair</v>
      </c>
      <c r="C216" s="29" t="str">
        <f>PROPER(TRIM(Sales_data!F214))</f>
        <v>Kavya Nair</v>
      </c>
      <c r="D216" s="29" t="str">
        <f>LEFT(C216,3)&amp;RIGHT(A216,3)&amp;LEFT(Sales_data!I214,2)</f>
        <v>Kav008Hy</v>
      </c>
      <c r="E216" s="29" t="str">
        <f>IF(ISNUMBER(SEARCH("@",Sales_data!T214)),LOWER(SUBSTITUTE(Sales_data!T214," ","")),"Invalid Email")</f>
        <v>kavya.nair@company.com</v>
      </c>
    </row>
    <row r="217" spans="1:5" ht="15" customHeight="1">
      <c r="A217" s="29" t="str">
        <f>Sales_data!B215</f>
        <v>C010</v>
      </c>
      <c r="B217" s="29" t="str">
        <f>Sales_data!F215</f>
        <v>Pooja Shah</v>
      </c>
      <c r="C217" s="29" t="str">
        <f>PROPER(TRIM(Sales_data!F215))</f>
        <v>Pooja Shah</v>
      </c>
      <c r="D217" s="29" t="str">
        <f>LEFT(C217,3)&amp;RIGHT(A217,3)&amp;LEFT(Sales_data!I215,2)</f>
        <v>Poo010Pu</v>
      </c>
      <c r="E217" s="29" t="str">
        <f>IF(ISNUMBER(SEARCH("@",Sales_data!T215)),LOWER(SUBSTITUTE(Sales_data!T215," ","")),"Invalid Email")</f>
        <v>pooja.shah@company.com</v>
      </c>
    </row>
    <row r="218" spans="1:5" ht="15" customHeight="1">
      <c r="A218" s="29" t="str">
        <f>Sales_data!B216</f>
        <v>C002</v>
      </c>
      <c r="B218" s="29" t="str">
        <f>Sales_data!F216</f>
        <v>Priya Patel</v>
      </c>
      <c r="C218" s="29" t="str">
        <f>PROPER(TRIM(Sales_data!F216))</f>
        <v>Priya Patel</v>
      </c>
      <c r="D218" s="29" t="str">
        <f>LEFT(C218,3)&amp;RIGHT(A218,3)&amp;LEFT(Sales_data!I216,2)</f>
        <v>Pri002Be</v>
      </c>
      <c r="E218" s="29" t="str">
        <f>IF(ISNUMBER(SEARCH("@",Sales_data!T216)),LOWER(SUBSTITUTE(Sales_data!T216," ","")),"Invalid Email")</f>
        <v>priya.patel@company.com</v>
      </c>
    </row>
    <row r="219" spans="1:5" ht="15" customHeight="1">
      <c r="A219" s="29" t="str">
        <f>Sales_data!B217</f>
        <v>C008</v>
      </c>
      <c r="B219" s="29" t="str">
        <f>Sales_data!F217</f>
        <v>Kavya Nair</v>
      </c>
      <c r="C219" s="29" t="str">
        <f>PROPER(TRIM(Sales_data!F217))</f>
        <v>Kavya Nair</v>
      </c>
      <c r="D219" s="29" t="str">
        <f>LEFT(C219,3)&amp;RIGHT(A219,3)&amp;LEFT(Sales_data!I217,2)</f>
        <v>Kav008Ko</v>
      </c>
      <c r="E219" s="29" t="str">
        <f>IF(ISNUMBER(SEARCH("@",Sales_data!T217)),LOWER(SUBSTITUTE(Sales_data!T217," ","")),"Invalid Email")</f>
        <v>kavya.nair@company.com</v>
      </c>
    </row>
    <row r="220" spans="1:5" ht="15" customHeight="1">
      <c r="A220" s="29" t="str">
        <f>Sales_data!B218</f>
        <v>C005</v>
      </c>
      <c r="B220" s="29" t="str">
        <f>Sales_data!F218</f>
        <v>Vikas Mehta</v>
      </c>
      <c r="C220" s="29" t="str">
        <f>PROPER(TRIM(Sales_data!F218))</f>
        <v>Vikas Mehta</v>
      </c>
      <c r="D220" s="29" t="str">
        <f>LEFT(C220,3)&amp;RIGHT(A220,3)&amp;LEFT(Sales_data!I218,2)</f>
        <v>Vik005Be</v>
      </c>
      <c r="E220" s="29" t="str">
        <f>IF(ISNUMBER(SEARCH("@",Sales_data!T218)),LOWER(SUBSTITUTE(Sales_data!T218," ","")),"Invalid Email")</f>
        <v>vikas.mehta@company.com</v>
      </c>
    </row>
    <row r="221" spans="1:5" ht="15" customHeight="1">
      <c r="A221" s="29" t="str">
        <f>Sales_data!B219</f>
        <v>C007</v>
      </c>
      <c r="B221" s="29" t="str">
        <f>Sales_data!F219</f>
        <v>Arjun Rao</v>
      </c>
      <c r="C221" s="29" t="str">
        <f>PROPER(TRIM(Sales_data!F219))</f>
        <v>Arjun Rao</v>
      </c>
      <c r="D221" s="29" t="str">
        <f>LEFT(C221,3)&amp;RIGHT(A221,3)&amp;LEFT(Sales_data!I219,2)</f>
        <v>Arj007Ko</v>
      </c>
      <c r="E221" s="29" t="str">
        <f>IF(ISNUMBER(SEARCH("@",Sales_data!T219)),LOWER(SUBSTITUTE(Sales_data!T219," ","")),"Invalid Email")</f>
        <v>arjun.rao@company.com</v>
      </c>
    </row>
    <row r="222" spans="1:5" ht="15" customHeight="1">
      <c r="A222" s="29" t="str">
        <f>Sales_data!B220</f>
        <v>C010</v>
      </c>
      <c r="B222" s="29" t="str">
        <f>Sales_data!F220</f>
        <v>Pooja Shah</v>
      </c>
      <c r="C222" s="29" t="str">
        <f>PROPER(TRIM(Sales_data!F220))</f>
        <v>Pooja Shah</v>
      </c>
      <c r="D222" s="29" t="str">
        <f>LEFT(C222,3)&amp;RIGHT(A222,3)&amp;LEFT(Sales_data!I220,2)</f>
        <v>Poo010Pu</v>
      </c>
      <c r="E222" s="29" t="str">
        <f>IF(ISNUMBER(SEARCH("@",Sales_data!T220)),LOWER(SUBSTITUTE(Sales_data!T220," ","")),"Invalid Email")</f>
        <v>pooja.shah@company.com</v>
      </c>
    </row>
    <row r="223" spans="1:5" ht="15" customHeight="1">
      <c r="A223" s="29" t="str">
        <f>Sales_data!B221</f>
        <v>C002</v>
      </c>
      <c r="B223" s="29" t="str">
        <f>Sales_data!F221</f>
        <v>Priya Patel</v>
      </c>
      <c r="C223" s="29" t="str">
        <f>PROPER(TRIM(Sales_data!F221))</f>
        <v>Priya Patel</v>
      </c>
      <c r="D223" s="29" t="str">
        <f>LEFT(C223,3)&amp;RIGHT(A223,3)&amp;LEFT(Sales_data!I221,2)</f>
        <v>Pri002Ko</v>
      </c>
      <c r="E223" s="29" t="str">
        <f>IF(ISNUMBER(SEARCH("@",Sales_data!T221)),LOWER(SUBSTITUTE(Sales_data!T221," ","")),"Invalid Email")</f>
        <v>priya.patel@company.com</v>
      </c>
    </row>
    <row r="224" spans="1:5" ht="15" customHeight="1">
      <c r="A224" s="29" t="str">
        <f>Sales_data!B222</f>
        <v>C006</v>
      </c>
      <c r="B224" s="29" t="str">
        <f>Sales_data!F222</f>
        <v>Sneha Joshi</v>
      </c>
      <c r="C224" s="29" t="str">
        <f>PROPER(TRIM(Sales_data!F222))</f>
        <v>Sneha Joshi</v>
      </c>
      <c r="D224" s="29" t="str">
        <f>LEFT(C224,3)&amp;RIGHT(A224,3)&amp;LEFT(Sales_data!I222,2)</f>
        <v>Sne006De</v>
      </c>
      <c r="E224" s="29" t="str">
        <f>IF(ISNUMBER(SEARCH("@",Sales_data!T222)),LOWER(SUBSTITUTE(Sales_data!T222," ","")),"Invalid Email")</f>
        <v>sneha.joshi@company.com</v>
      </c>
    </row>
    <row r="225" spans="1:5" ht="15" customHeight="1">
      <c r="A225" s="29" t="str">
        <f>Sales_data!B223</f>
        <v>C010</v>
      </c>
      <c r="B225" s="29" t="str">
        <f>Sales_data!F223</f>
        <v>Pooja Shah</v>
      </c>
      <c r="C225" s="29" t="str">
        <f>PROPER(TRIM(Sales_data!F223))</f>
        <v>Pooja Shah</v>
      </c>
      <c r="D225" s="29" t="str">
        <f>LEFT(C225,3)&amp;RIGHT(A225,3)&amp;LEFT(Sales_data!I223,2)</f>
        <v>Poo010Ko</v>
      </c>
      <c r="E225" s="29" t="str">
        <f>IF(ISNUMBER(SEARCH("@",Sales_data!T223)),LOWER(SUBSTITUTE(Sales_data!T223," ","")),"Invalid Email")</f>
        <v>pooja.shah@company.com</v>
      </c>
    </row>
    <row r="226" spans="1:5" ht="15" customHeight="1">
      <c r="A226" s="29" t="str">
        <f>Sales_data!B224</f>
        <v>C001</v>
      </c>
      <c r="B226" s="29" t="str">
        <f>Sales_data!F224</f>
        <v>Amit Sharma</v>
      </c>
      <c r="C226" s="29" t="str">
        <f>PROPER(TRIM(Sales_data!F224))</f>
        <v>Amit Sharma</v>
      </c>
      <c r="D226" s="29" t="str">
        <f>LEFT(C226,3)&amp;RIGHT(A226,3)&amp;LEFT(Sales_data!I224,2)</f>
        <v>Ami001Ko</v>
      </c>
      <c r="E226" s="29" t="str">
        <f>IF(ISNUMBER(SEARCH("@",Sales_data!T224)),LOWER(SUBSTITUTE(Sales_data!T224," ","")),"Invalid Email")</f>
        <v>amit.sharma@company.com</v>
      </c>
    </row>
    <row r="227" spans="1:5" ht="15" customHeight="1">
      <c r="A227" s="29" t="str">
        <f>Sales_data!B225</f>
        <v>C008</v>
      </c>
      <c r="B227" s="29" t="str">
        <f>Sales_data!F225</f>
        <v>Kavya Nair</v>
      </c>
      <c r="C227" s="29" t="str">
        <f>PROPER(TRIM(Sales_data!F225))</f>
        <v>Kavya Nair</v>
      </c>
      <c r="D227" s="29" t="str">
        <f>LEFT(C227,3)&amp;RIGHT(A227,3)&amp;LEFT(Sales_data!I225,2)</f>
        <v>Kav008De</v>
      </c>
      <c r="E227" s="29" t="str">
        <f>IF(ISNUMBER(SEARCH("@",Sales_data!T225)),LOWER(SUBSTITUTE(Sales_data!T225," ","")),"Invalid Email")</f>
        <v>kavya.nair@company.com</v>
      </c>
    </row>
    <row r="228" spans="1:5" ht="15" customHeight="1">
      <c r="A228" s="29" t="str">
        <f>Sales_data!B226</f>
        <v>C007</v>
      </c>
      <c r="B228" s="29" t="str">
        <f>Sales_data!F226</f>
        <v>Arjun Rao</v>
      </c>
      <c r="C228" s="29" t="str">
        <f>PROPER(TRIM(Sales_data!F226))</f>
        <v>Arjun Rao</v>
      </c>
      <c r="D228" s="29" t="str">
        <f>LEFT(C228,3)&amp;RIGHT(A228,3)&amp;LEFT(Sales_data!I226,2)</f>
        <v>Arj007Mu</v>
      </c>
      <c r="E228" s="29" t="str">
        <f>IF(ISNUMBER(SEARCH("@",Sales_data!T226)),LOWER(SUBSTITUTE(Sales_data!T226," ","")),"Invalid Email")</f>
        <v>arjun.rao@company.com</v>
      </c>
    </row>
    <row r="229" spans="1:5" ht="15" customHeight="1">
      <c r="A229" s="29" t="str">
        <f>Sales_data!B227</f>
        <v>C002</v>
      </c>
      <c r="B229" s="29" t="str">
        <f>Sales_data!F227</f>
        <v>Priya Patel</v>
      </c>
      <c r="C229" s="29" t="str">
        <f>PROPER(TRIM(Sales_data!F227))</f>
        <v>Priya Patel</v>
      </c>
      <c r="D229" s="29" t="str">
        <f>LEFT(C229,3)&amp;RIGHT(A229,3)&amp;LEFT(Sales_data!I227,2)</f>
        <v>Pri002Hy</v>
      </c>
      <c r="E229" s="29" t="str">
        <f>IF(ISNUMBER(SEARCH("@",Sales_data!T227)),LOWER(SUBSTITUTE(Sales_data!T227," ","")),"Invalid Email")</f>
        <v>priya.patel@company.com</v>
      </c>
    </row>
    <row r="230" spans="1:5" ht="15" customHeight="1">
      <c r="A230" s="29" t="str">
        <f>Sales_data!B228</f>
        <v>C004</v>
      </c>
      <c r="B230" s="29" t="str">
        <f>Sales_data!F228</f>
        <v>Anita Gupta</v>
      </c>
      <c r="C230" s="29" t="str">
        <f>PROPER(TRIM(Sales_data!F228))</f>
        <v>Anita Gupta</v>
      </c>
      <c r="D230" s="29" t="str">
        <f>LEFT(C230,3)&amp;RIGHT(A230,3)&amp;LEFT(Sales_data!I228,2)</f>
        <v>Ani004Hy</v>
      </c>
      <c r="E230" s="29" t="str">
        <f>IF(ISNUMBER(SEARCH("@",Sales_data!T228)),LOWER(SUBSTITUTE(Sales_data!T228," ","")),"Invalid Email")</f>
        <v>anita.gupta@company.com</v>
      </c>
    </row>
    <row r="231" spans="1:5" ht="15" customHeight="1">
      <c r="A231" s="29" t="str">
        <f>Sales_data!B229</f>
        <v>C009</v>
      </c>
      <c r="B231" s="29" t="str">
        <f>Sales_data!F229</f>
        <v>Mohit Verma</v>
      </c>
      <c r="C231" s="29" t="str">
        <f>PROPER(TRIM(Sales_data!F229))</f>
        <v>Mohit Verma</v>
      </c>
      <c r="D231" s="29" t="str">
        <f>LEFT(C231,3)&amp;RIGHT(A231,3)&amp;LEFT(Sales_data!I229,2)</f>
        <v>Moh009Ko</v>
      </c>
      <c r="E231" s="29" t="str">
        <f>IF(ISNUMBER(SEARCH("@",Sales_data!T229)),LOWER(SUBSTITUTE(Sales_data!T229," ","")),"Invalid Email")</f>
        <v>mohit.verma@company.com</v>
      </c>
    </row>
    <row r="232" spans="1:5" ht="15" customHeight="1">
      <c r="A232" s="29" t="str">
        <f>Sales_data!B230</f>
        <v>C002</v>
      </c>
      <c r="B232" s="29" t="str">
        <f>Sales_data!F230</f>
        <v>Priya Patel</v>
      </c>
      <c r="C232" s="29" t="str">
        <f>PROPER(TRIM(Sales_data!F230))</f>
        <v>Priya Patel</v>
      </c>
      <c r="D232" s="29" t="str">
        <f>LEFT(C232,3)&amp;RIGHT(A232,3)&amp;LEFT(Sales_data!I230,2)</f>
        <v>Pri002Hy</v>
      </c>
      <c r="E232" s="29" t="str">
        <f>IF(ISNUMBER(SEARCH("@",Sales_data!T230)),LOWER(SUBSTITUTE(Sales_data!T230," ","")),"Invalid Email")</f>
        <v>priya.patel@company.com</v>
      </c>
    </row>
    <row r="233" spans="1:5" ht="15" customHeight="1">
      <c r="A233" s="29" t="str">
        <f>Sales_data!B231</f>
        <v>C009</v>
      </c>
      <c r="B233" s="29" t="str">
        <f>Sales_data!F231</f>
        <v>Mohit Verma</v>
      </c>
      <c r="C233" s="29" t="str">
        <f>PROPER(TRIM(Sales_data!F231))</f>
        <v>Mohit Verma</v>
      </c>
      <c r="D233" s="29" t="str">
        <f>LEFT(C233,3)&amp;RIGHT(A233,3)&amp;LEFT(Sales_data!I231,2)</f>
        <v>Moh009Pu</v>
      </c>
      <c r="E233" s="29" t="str">
        <f>IF(ISNUMBER(SEARCH("@",Sales_data!T231)),LOWER(SUBSTITUTE(Sales_data!T231," ","")),"Invalid Email")</f>
        <v>mohit.verma@company.com</v>
      </c>
    </row>
    <row r="234" spans="1:5" ht="15" customHeight="1">
      <c r="A234" s="29" t="str">
        <f>Sales_data!B232</f>
        <v>C002</v>
      </c>
      <c r="B234" s="29" t="str">
        <f>Sales_data!F232</f>
        <v>Priya Patel</v>
      </c>
      <c r="C234" s="29" t="str">
        <f>PROPER(TRIM(Sales_data!F232))</f>
        <v>Priya Patel</v>
      </c>
      <c r="D234" s="29" t="str">
        <f>LEFT(C234,3)&amp;RIGHT(A234,3)&amp;LEFT(Sales_data!I232,2)</f>
        <v>Pri002Ko</v>
      </c>
      <c r="E234" s="29" t="str">
        <f>IF(ISNUMBER(SEARCH("@",Sales_data!T232)),LOWER(SUBSTITUTE(Sales_data!T232," ","")),"Invalid Email")</f>
        <v>priya.patel@company.com</v>
      </c>
    </row>
    <row r="235" spans="1:5" ht="15" customHeight="1">
      <c r="A235" s="29" t="str">
        <f>Sales_data!B233</f>
        <v>C002</v>
      </c>
      <c r="B235" s="29" t="str">
        <f>Sales_data!F233</f>
        <v>Priya Patel</v>
      </c>
      <c r="C235" s="29" t="str">
        <f>PROPER(TRIM(Sales_data!F233))</f>
        <v>Priya Patel</v>
      </c>
      <c r="D235" s="29" t="str">
        <f>LEFT(C235,3)&amp;RIGHT(A235,3)&amp;LEFT(Sales_data!I233,2)</f>
        <v>Pri002Mu</v>
      </c>
      <c r="E235" s="29" t="str">
        <f>IF(ISNUMBER(SEARCH("@",Sales_data!T233)),LOWER(SUBSTITUTE(Sales_data!T233," ","")),"Invalid Email")</f>
        <v>priya.patel@company.com</v>
      </c>
    </row>
    <row r="236" spans="1:5" ht="15" customHeight="1">
      <c r="A236" s="29" t="str">
        <f>Sales_data!B234</f>
        <v>C006</v>
      </c>
      <c r="B236" s="29" t="str">
        <f>Sales_data!F234</f>
        <v>Sneha Joshi</v>
      </c>
      <c r="C236" s="29" t="str">
        <f>PROPER(TRIM(Sales_data!F234))</f>
        <v>Sneha Joshi</v>
      </c>
      <c r="D236" s="29" t="str">
        <f>LEFT(C236,3)&amp;RIGHT(A236,3)&amp;LEFT(Sales_data!I234,2)</f>
        <v>Sne006Ko</v>
      </c>
      <c r="E236" s="29" t="str">
        <f>IF(ISNUMBER(SEARCH("@",Sales_data!T234)),LOWER(SUBSTITUTE(Sales_data!T234," ","")),"Invalid Email")</f>
        <v>sneha.joshi@company.com</v>
      </c>
    </row>
    <row r="237" spans="1:5" ht="15" customHeight="1">
      <c r="A237" s="29" t="str">
        <f>Sales_data!B235</f>
        <v>C008</v>
      </c>
      <c r="B237" s="29" t="str">
        <f>Sales_data!F235</f>
        <v>Kavya Nair</v>
      </c>
      <c r="C237" s="29" t="str">
        <f>PROPER(TRIM(Sales_data!F235))</f>
        <v>Kavya Nair</v>
      </c>
      <c r="D237" s="29" t="str">
        <f>LEFT(C237,3)&amp;RIGHT(A237,3)&amp;LEFT(Sales_data!I235,2)</f>
        <v>Kav008Be</v>
      </c>
      <c r="E237" s="29" t="str">
        <f>IF(ISNUMBER(SEARCH("@",Sales_data!T235)),LOWER(SUBSTITUTE(Sales_data!T235," ","")),"Invalid Email")</f>
        <v>kavya.nair@company.com</v>
      </c>
    </row>
    <row r="238" spans="1:5" ht="15" customHeight="1">
      <c r="A238" s="29" t="str">
        <f>Sales_data!B236</f>
        <v>C009</v>
      </c>
      <c r="B238" s="29" t="str">
        <f>Sales_data!F236</f>
        <v>Mohit Verma</v>
      </c>
      <c r="C238" s="29" t="str">
        <f>PROPER(TRIM(Sales_data!F236))</f>
        <v>Mohit Verma</v>
      </c>
      <c r="D238" s="29" t="str">
        <f>LEFT(C238,3)&amp;RIGHT(A238,3)&amp;LEFT(Sales_data!I236,2)</f>
        <v>Moh009Mu</v>
      </c>
      <c r="E238" s="29" t="str">
        <f>IF(ISNUMBER(SEARCH("@",Sales_data!T236)),LOWER(SUBSTITUTE(Sales_data!T236," ","")),"Invalid Email")</f>
        <v>mohit.verma@company.com</v>
      </c>
    </row>
    <row r="239" spans="1:5" ht="15" customHeight="1">
      <c r="A239" s="29" t="str">
        <f>Sales_data!B237</f>
        <v>C003</v>
      </c>
      <c r="B239" s="29" t="str">
        <f>Sales_data!F237</f>
        <v>Rohit Singh</v>
      </c>
      <c r="C239" s="29" t="str">
        <f>PROPER(TRIM(Sales_data!F237))</f>
        <v>Rohit Singh</v>
      </c>
      <c r="D239" s="29" t="str">
        <f>LEFT(C239,3)&amp;RIGHT(A239,3)&amp;LEFT(Sales_data!I237,2)</f>
        <v>Roh003De</v>
      </c>
      <c r="E239" s="29" t="str">
        <f>IF(ISNUMBER(SEARCH("@",Sales_data!T237)),LOWER(SUBSTITUTE(Sales_data!T237," ","")),"Invalid Email")</f>
        <v>rohit.singh@company.com</v>
      </c>
    </row>
    <row r="240" spans="1:5" ht="15" customHeight="1">
      <c r="A240" s="29" t="str">
        <f>Sales_data!B238</f>
        <v>C003</v>
      </c>
      <c r="B240" s="29" t="str">
        <f>Sales_data!F238</f>
        <v>Rohit Singh</v>
      </c>
      <c r="C240" s="29" t="str">
        <f>PROPER(TRIM(Sales_data!F238))</f>
        <v>Rohit Singh</v>
      </c>
      <c r="D240" s="29" t="str">
        <f>LEFT(C240,3)&amp;RIGHT(A240,3)&amp;LEFT(Sales_data!I238,2)</f>
        <v>Roh003Mu</v>
      </c>
      <c r="E240" s="29" t="str">
        <f>IF(ISNUMBER(SEARCH("@",Sales_data!T238)),LOWER(SUBSTITUTE(Sales_data!T238," ","")),"Invalid Email")</f>
        <v>rohit.singh@company.com</v>
      </c>
    </row>
    <row r="241" spans="1:5" ht="15" customHeight="1">
      <c r="A241" s="29" t="str">
        <f>Sales_data!B239</f>
        <v>C005</v>
      </c>
      <c r="B241" s="29" t="str">
        <f>Sales_data!F239</f>
        <v>Vikas Mehta</v>
      </c>
      <c r="C241" s="29" t="str">
        <f>PROPER(TRIM(Sales_data!F239))</f>
        <v>Vikas Mehta</v>
      </c>
      <c r="D241" s="29" t="str">
        <f>LEFT(C241,3)&amp;RIGHT(A241,3)&amp;LEFT(Sales_data!I239,2)</f>
        <v>Vik005Hy</v>
      </c>
      <c r="E241" s="29" t="str">
        <f>IF(ISNUMBER(SEARCH("@",Sales_data!T239)),LOWER(SUBSTITUTE(Sales_data!T239," ","")),"Invalid Email")</f>
        <v>vikas.mehta@company.com</v>
      </c>
    </row>
    <row r="242" spans="1:5" ht="15" customHeight="1">
      <c r="A242" s="29" t="str">
        <f>Sales_data!B240</f>
        <v>C010</v>
      </c>
      <c r="B242" s="29" t="str">
        <f>Sales_data!F240</f>
        <v>Pooja Shah</v>
      </c>
      <c r="C242" s="29" t="str">
        <f>PROPER(TRIM(Sales_data!F240))</f>
        <v>Pooja Shah</v>
      </c>
      <c r="D242" s="29" t="str">
        <f>LEFT(C242,3)&amp;RIGHT(A242,3)&amp;LEFT(Sales_data!I240,2)</f>
        <v>Poo010Pu</v>
      </c>
      <c r="E242" s="29" t="str">
        <f>IF(ISNUMBER(SEARCH("@",Sales_data!T240)),LOWER(SUBSTITUTE(Sales_data!T240," ","")),"Invalid Email")</f>
        <v>pooja.shah@company.com</v>
      </c>
    </row>
    <row r="243" spans="1:5" ht="15" customHeight="1">
      <c r="A243" s="29" t="str">
        <f>Sales_data!B241</f>
        <v>C010</v>
      </c>
      <c r="B243" s="29" t="str">
        <f>Sales_data!F241</f>
        <v>Pooja Shah</v>
      </c>
      <c r="C243" s="29" t="str">
        <f>PROPER(TRIM(Sales_data!F241))</f>
        <v>Pooja Shah</v>
      </c>
      <c r="D243" s="29" t="str">
        <f>LEFT(C243,3)&amp;RIGHT(A243,3)&amp;LEFT(Sales_data!I241,2)</f>
        <v>Poo010Hy</v>
      </c>
      <c r="E243" s="29" t="str">
        <f>IF(ISNUMBER(SEARCH("@",Sales_data!T241)),LOWER(SUBSTITUTE(Sales_data!T241," ","")),"Invalid Email")</f>
        <v>pooja.shah@company.com</v>
      </c>
    </row>
    <row r="244" spans="1:5" ht="15" customHeight="1">
      <c r="A244" s="29" t="str">
        <f>Sales_data!B242</f>
        <v>C004</v>
      </c>
      <c r="B244" s="29" t="str">
        <f>Sales_data!F242</f>
        <v>Anita Gupta</v>
      </c>
      <c r="C244" s="29" t="str">
        <f>PROPER(TRIM(Sales_data!F242))</f>
        <v>Anita Gupta</v>
      </c>
      <c r="D244" s="29" t="str">
        <f>LEFT(C244,3)&amp;RIGHT(A244,3)&amp;LEFT(Sales_data!I242,2)</f>
        <v>Ani004Pu</v>
      </c>
      <c r="E244" s="29" t="str">
        <f>IF(ISNUMBER(SEARCH("@",Sales_data!T242)),LOWER(SUBSTITUTE(Sales_data!T242," ","")),"Invalid Email")</f>
        <v>anita.gupta@company.com</v>
      </c>
    </row>
    <row r="245" spans="1:5" ht="15" customHeight="1">
      <c r="A245" s="29" t="str">
        <f>Sales_data!B243</f>
        <v>C004</v>
      </c>
      <c r="B245" s="29" t="str">
        <f>Sales_data!F243</f>
        <v>Anita Gupta</v>
      </c>
      <c r="C245" s="29" t="str">
        <f>PROPER(TRIM(Sales_data!F243))</f>
        <v>Anita Gupta</v>
      </c>
      <c r="D245" s="29" t="str">
        <f>LEFT(C245,3)&amp;RIGHT(A245,3)&amp;LEFT(Sales_data!I243,2)</f>
        <v>Ani004Ko</v>
      </c>
      <c r="E245" s="29" t="str">
        <f>IF(ISNUMBER(SEARCH("@",Sales_data!T243)),LOWER(SUBSTITUTE(Sales_data!T243," ","")),"Invalid Email")</f>
        <v>anita.gupta@company.com</v>
      </c>
    </row>
    <row r="246" spans="1:5" ht="15" customHeight="1">
      <c r="A246" s="29" t="str">
        <f>Sales_data!B244</f>
        <v>C007</v>
      </c>
      <c r="B246" s="29" t="str">
        <f>Sales_data!F244</f>
        <v>Arjun Rao</v>
      </c>
      <c r="C246" s="29" t="str">
        <f>PROPER(TRIM(Sales_data!F244))</f>
        <v>Arjun Rao</v>
      </c>
      <c r="D246" s="29" t="str">
        <f>LEFT(C246,3)&amp;RIGHT(A246,3)&amp;LEFT(Sales_data!I244,2)</f>
        <v>Arj007Be</v>
      </c>
      <c r="E246" s="29" t="str">
        <f>IF(ISNUMBER(SEARCH("@",Sales_data!T244)),LOWER(SUBSTITUTE(Sales_data!T244," ","")),"Invalid Email")</f>
        <v>arjun.rao@company.com</v>
      </c>
    </row>
    <row r="247" spans="1:5" ht="15" customHeight="1">
      <c r="A247" s="29" t="str">
        <f>Sales_data!B245</f>
        <v>C010</v>
      </c>
      <c r="B247" s="29" t="str">
        <f>Sales_data!F245</f>
        <v>Pooja Shah</v>
      </c>
      <c r="C247" s="29" t="str">
        <f>PROPER(TRIM(Sales_data!F245))</f>
        <v>Pooja Shah</v>
      </c>
      <c r="D247" s="29" t="str">
        <f>LEFT(C247,3)&amp;RIGHT(A247,3)&amp;LEFT(Sales_data!I245,2)</f>
        <v>Poo010Mu</v>
      </c>
      <c r="E247" s="29" t="str">
        <f>IF(ISNUMBER(SEARCH("@",Sales_data!T245)),LOWER(SUBSTITUTE(Sales_data!T245," ","")),"Invalid Email")</f>
        <v>pooja.shah@company.com</v>
      </c>
    </row>
    <row r="248" spans="1:5" ht="15" customHeight="1">
      <c r="A248" s="29" t="str">
        <f>Sales_data!B246</f>
        <v>C008</v>
      </c>
      <c r="B248" s="29" t="str">
        <f>Sales_data!F246</f>
        <v>Kavya Nair</v>
      </c>
      <c r="C248" s="29" t="str">
        <f>PROPER(TRIM(Sales_data!F246))</f>
        <v>Kavya Nair</v>
      </c>
      <c r="D248" s="29" t="str">
        <f>LEFT(C248,3)&amp;RIGHT(A248,3)&amp;LEFT(Sales_data!I246,2)</f>
        <v>Kav008Be</v>
      </c>
      <c r="E248" s="29" t="str">
        <f>IF(ISNUMBER(SEARCH("@",Sales_data!T246)),LOWER(SUBSTITUTE(Sales_data!T246," ","")),"Invalid Email")</f>
        <v>kavya.nair@company.com</v>
      </c>
    </row>
    <row r="249" spans="1:5" ht="15" customHeight="1">
      <c r="A249" s="29" t="str">
        <f>Sales_data!B247</f>
        <v>C001</v>
      </c>
      <c r="B249" s="29" t="str">
        <f>Sales_data!F247</f>
        <v>Amit Sharma</v>
      </c>
      <c r="C249" s="29" t="str">
        <f>PROPER(TRIM(Sales_data!F247))</f>
        <v>Amit Sharma</v>
      </c>
      <c r="D249" s="29" t="str">
        <f>LEFT(C249,3)&amp;RIGHT(A249,3)&amp;LEFT(Sales_data!I247,2)</f>
        <v>Ami001Hy</v>
      </c>
      <c r="E249" s="29" t="str">
        <f>IF(ISNUMBER(SEARCH("@",Sales_data!T247)),LOWER(SUBSTITUTE(Sales_data!T247," ","")),"Invalid Email")</f>
        <v>amit.sharma@company.com</v>
      </c>
    </row>
    <row r="250" spans="1:5" ht="15" customHeight="1">
      <c r="A250" s="29" t="str">
        <f>Sales_data!B248</f>
        <v>C003</v>
      </c>
      <c r="B250" s="29" t="str">
        <f>Sales_data!F248</f>
        <v>Rohit Singh</v>
      </c>
      <c r="C250" s="29" t="str">
        <f>PROPER(TRIM(Sales_data!F248))</f>
        <v>Rohit Singh</v>
      </c>
      <c r="D250" s="29" t="str">
        <f>LEFT(C250,3)&amp;RIGHT(A250,3)&amp;LEFT(Sales_data!I248,2)</f>
        <v>Roh003Ko</v>
      </c>
      <c r="E250" s="29" t="str">
        <f>IF(ISNUMBER(SEARCH("@",Sales_data!T248)),LOWER(SUBSTITUTE(Sales_data!T248," ","")),"Invalid Email")</f>
        <v>rohit.singh@company.com</v>
      </c>
    </row>
    <row r="251" spans="1:5" ht="15" customHeight="1">
      <c r="A251" s="29" t="str">
        <f>Sales_data!B249</f>
        <v>C009</v>
      </c>
      <c r="B251" s="29" t="str">
        <f>Sales_data!F249</f>
        <v>Mohit Verma</v>
      </c>
      <c r="C251" s="29" t="str">
        <f>PROPER(TRIM(Sales_data!F249))</f>
        <v>Mohit Verma</v>
      </c>
      <c r="D251" s="29" t="str">
        <f>LEFT(C251,3)&amp;RIGHT(A251,3)&amp;LEFT(Sales_data!I249,2)</f>
        <v>Moh009Mu</v>
      </c>
      <c r="E251" s="29" t="str">
        <f>IF(ISNUMBER(SEARCH("@",Sales_data!T249)),LOWER(SUBSTITUTE(Sales_data!T249," ","")),"Invalid Email")</f>
        <v>mohit.verma@company.com</v>
      </c>
    </row>
    <row r="252" spans="1:5" ht="15" customHeight="1">
      <c r="A252" s="29" t="str">
        <f>Sales_data!B250</f>
        <v>C009</v>
      </c>
      <c r="B252" s="29" t="str">
        <f>Sales_data!F250</f>
        <v>Mohit Verma</v>
      </c>
      <c r="C252" s="29" t="str">
        <f>PROPER(TRIM(Sales_data!F250))</f>
        <v>Mohit Verma</v>
      </c>
      <c r="D252" s="29" t="str">
        <f>LEFT(C252,3)&amp;RIGHT(A252,3)&amp;LEFT(Sales_data!I250,2)</f>
        <v>Moh009Be</v>
      </c>
      <c r="E252" s="29" t="str">
        <f>IF(ISNUMBER(SEARCH("@",Sales_data!T250)),LOWER(SUBSTITUTE(Sales_data!T250," ","")),"Invalid Email")</f>
        <v>mohit.verma@company.com</v>
      </c>
    </row>
    <row r="253" spans="1:5" ht="15" customHeight="1">
      <c r="A253" s="29" t="str">
        <f>Sales_data!B251</f>
        <v>C001</v>
      </c>
      <c r="B253" s="29" t="str">
        <f>Sales_data!F251</f>
        <v>Amit Sharma</v>
      </c>
      <c r="C253" s="29" t="str">
        <f>PROPER(TRIM(Sales_data!F251))</f>
        <v>Amit Sharma</v>
      </c>
      <c r="D253" s="29" t="str">
        <f>LEFT(C253,3)&amp;RIGHT(A253,3)&amp;LEFT(Sales_data!I251,2)</f>
        <v>Ami001Be</v>
      </c>
      <c r="E253" s="29" t="str">
        <f>IF(ISNUMBER(SEARCH("@",Sales_data!T251)),LOWER(SUBSTITUTE(Sales_data!T251," ","")),"Invalid Email")</f>
        <v>amit.sharma@company.com</v>
      </c>
    </row>
    <row r="254" spans="1:5" ht="15" customHeight="1">
      <c r="A254" s="29" t="str">
        <f>Sales_data!B252</f>
        <v>C005</v>
      </c>
      <c r="B254" s="29" t="str">
        <f>Sales_data!F252</f>
        <v>Vikas Mehta</v>
      </c>
      <c r="C254" s="29" t="str">
        <f>PROPER(TRIM(Sales_data!F252))</f>
        <v>Vikas Mehta</v>
      </c>
      <c r="D254" s="29" t="str">
        <f>LEFT(C254,3)&amp;RIGHT(A254,3)&amp;LEFT(Sales_data!I252,2)</f>
        <v>Vik005De</v>
      </c>
      <c r="E254" s="29" t="str">
        <f>IF(ISNUMBER(SEARCH("@",Sales_data!T252)),LOWER(SUBSTITUTE(Sales_data!T252," ","")),"Invalid Email")</f>
        <v>vikas.mehta@company.com</v>
      </c>
    </row>
    <row r="255" spans="1:5" ht="15" customHeight="1">
      <c r="A255" s="29" t="str">
        <f>Sales_data!B253</f>
        <v>C008</v>
      </c>
      <c r="B255" s="29" t="str">
        <f>Sales_data!F253</f>
        <v>Kavya Nair</v>
      </c>
      <c r="C255" s="29" t="str">
        <f>PROPER(TRIM(Sales_data!F253))</f>
        <v>Kavya Nair</v>
      </c>
      <c r="D255" s="29" t="str">
        <f>LEFT(C255,3)&amp;RIGHT(A255,3)&amp;LEFT(Sales_data!I253,2)</f>
        <v>Kav008Ko</v>
      </c>
      <c r="E255" s="29" t="str">
        <f>IF(ISNUMBER(SEARCH("@",Sales_data!T253)),LOWER(SUBSTITUTE(Sales_data!T253," ","")),"Invalid Email")</f>
        <v>kavya.nair@company.com</v>
      </c>
    </row>
    <row r="256" spans="1:5" ht="15" customHeight="1">
      <c r="A256" s="29" t="str">
        <f>Sales_data!B254</f>
        <v>C001</v>
      </c>
      <c r="B256" s="29" t="str">
        <f>Sales_data!F254</f>
        <v>Amit Sharma</v>
      </c>
      <c r="C256" s="29" t="str">
        <f>PROPER(TRIM(Sales_data!F254))</f>
        <v>Amit Sharma</v>
      </c>
      <c r="D256" s="29" t="str">
        <f>LEFT(C256,3)&amp;RIGHT(A256,3)&amp;LEFT(Sales_data!I254,2)</f>
        <v>Ami001De</v>
      </c>
      <c r="E256" s="29" t="str">
        <f>IF(ISNUMBER(SEARCH("@",Sales_data!T254)),LOWER(SUBSTITUTE(Sales_data!T254," ","")),"Invalid Email")</f>
        <v>amit.sharma@company.com</v>
      </c>
    </row>
    <row r="257" spans="1:5" ht="15" customHeight="1">
      <c r="A257" s="29" t="str">
        <f>Sales_data!B255</f>
        <v>C003</v>
      </c>
      <c r="B257" s="29" t="str">
        <f>Sales_data!F255</f>
        <v>Rohit Singh</v>
      </c>
      <c r="C257" s="29" t="str">
        <f>PROPER(TRIM(Sales_data!F255))</f>
        <v>Rohit Singh</v>
      </c>
      <c r="D257" s="29" t="str">
        <f>LEFT(C257,3)&amp;RIGHT(A257,3)&amp;LEFT(Sales_data!I255,2)</f>
        <v>Roh003Ko</v>
      </c>
      <c r="E257" s="29" t="str">
        <f>IF(ISNUMBER(SEARCH("@",Sales_data!T255)),LOWER(SUBSTITUTE(Sales_data!T255," ","")),"Invalid Email")</f>
        <v>rohit.singh@company.com</v>
      </c>
    </row>
    <row r="258" spans="1:5" ht="15" customHeight="1">
      <c r="A258" s="29" t="str">
        <f>Sales_data!B256</f>
        <v>C005</v>
      </c>
      <c r="B258" s="29" t="str">
        <f>Sales_data!F256</f>
        <v>Vikas Mehta</v>
      </c>
      <c r="C258" s="29" t="str">
        <f>PROPER(TRIM(Sales_data!F256))</f>
        <v>Vikas Mehta</v>
      </c>
      <c r="D258" s="29" t="str">
        <f>LEFT(C258,3)&amp;RIGHT(A258,3)&amp;LEFT(Sales_data!I256,2)</f>
        <v>Vik005Pu</v>
      </c>
      <c r="E258" s="29" t="str">
        <f>IF(ISNUMBER(SEARCH("@",Sales_data!T256)),LOWER(SUBSTITUTE(Sales_data!T256," ","")),"Invalid Email")</f>
        <v>vikas.mehta@company.com</v>
      </c>
    </row>
    <row r="259" spans="1:5" ht="15" customHeight="1">
      <c r="A259" s="29" t="str">
        <f>Sales_data!B257</f>
        <v>C005</v>
      </c>
      <c r="B259" s="29" t="str">
        <f>Sales_data!F257</f>
        <v>Vikas Mehta</v>
      </c>
      <c r="C259" s="29" t="str">
        <f>PROPER(TRIM(Sales_data!F257))</f>
        <v>Vikas Mehta</v>
      </c>
      <c r="D259" s="29" t="str">
        <f>LEFT(C259,3)&amp;RIGHT(A259,3)&amp;LEFT(Sales_data!I257,2)</f>
        <v>Vik005Hy</v>
      </c>
      <c r="E259" s="29" t="str">
        <f>IF(ISNUMBER(SEARCH("@",Sales_data!T257)),LOWER(SUBSTITUTE(Sales_data!T257," ","")),"Invalid Email")</f>
        <v>vikas.mehta@company.com</v>
      </c>
    </row>
    <row r="260" spans="1:5" ht="15" customHeight="1">
      <c r="A260" s="29" t="str">
        <f>Sales_data!B258</f>
        <v>C003</v>
      </c>
      <c r="B260" s="29" t="str">
        <f>Sales_data!F258</f>
        <v>Rohit Singh</v>
      </c>
      <c r="C260" s="29" t="str">
        <f>PROPER(TRIM(Sales_data!F258))</f>
        <v>Rohit Singh</v>
      </c>
      <c r="D260" s="29" t="str">
        <f>LEFT(C260,3)&amp;RIGHT(A260,3)&amp;LEFT(Sales_data!I258,2)</f>
        <v>Roh003Hy</v>
      </c>
      <c r="E260" s="29" t="str">
        <f>IF(ISNUMBER(SEARCH("@",Sales_data!T258)),LOWER(SUBSTITUTE(Sales_data!T258," ","")),"Invalid Email")</f>
        <v>rohit.singh@company.com</v>
      </c>
    </row>
    <row r="261" spans="1:5" ht="15" customHeight="1">
      <c r="A261" s="29" t="str">
        <f>Sales_data!B259</f>
        <v>C008</v>
      </c>
      <c r="B261" s="29" t="str">
        <f>Sales_data!F259</f>
        <v>Kavya Nair</v>
      </c>
      <c r="C261" s="29" t="str">
        <f>PROPER(TRIM(Sales_data!F259))</f>
        <v>Kavya Nair</v>
      </c>
      <c r="D261" s="29" t="str">
        <f>LEFT(C261,3)&amp;RIGHT(A261,3)&amp;LEFT(Sales_data!I259,2)</f>
        <v>Kav008Be</v>
      </c>
      <c r="E261" s="29" t="str">
        <f>IF(ISNUMBER(SEARCH("@",Sales_data!T259)),LOWER(SUBSTITUTE(Sales_data!T259," ","")),"Invalid Email")</f>
        <v>kavya.nair@company.com</v>
      </c>
    </row>
    <row r="262" spans="1:5" ht="15" customHeight="1">
      <c r="A262" s="29" t="str">
        <f>Sales_data!B260</f>
        <v>C008</v>
      </c>
      <c r="B262" s="29" t="str">
        <f>Sales_data!F260</f>
        <v>Kavya Nair</v>
      </c>
      <c r="C262" s="29" t="str">
        <f>PROPER(TRIM(Sales_data!F260))</f>
        <v>Kavya Nair</v>
      </c>
      <c r="D262" s="29" t="str">
        <f>LEFT(C262,3)&amp;RIGHT(A262,3)&amp;LEFT(Sales_data!I260,2)</f>
        <v>Kav008Mu</v>
      </c>
      <c r="E262" s="29" t="str">
        <f>IF(ISNUMBER(SEARCH("@",Sales_data!T260)),LOWER(SUBSTITUTE(Sales_data!T260," ","")),"Invalid Email")</f>
        <v>kavya.nair@company.com</v>
      </c>
    </row>
    <row r="263" spans="1:5" ht="15" customHeight="1">
      <c r="A263" s="29" t="str">
        <f>Sales_data!B261</f>
        <v>C007</v>
      </c>
      <c r="B263" s="29" t="str">
        <f>Sales_data!F261</f>
        <v>Arjun Rao</v>
      </c>
      <c r="C263" s="29" t="str">
        <f>PROPER(TRIM(Sales_data!F261))</f>
        <v>Arjun Rao</v>
      </c>
      <c r="D263" s="29" t="str">
        <f>LEFT(C263,3)&amp;RIGHT(A263,3)&amp;LEFT(Sales_data!I261,2)</f>
        <v>Arj007Ja</v>
      </c>
      <c r="E263" s="29" t="str">
        <f>IF(ISNUMBER(SEARCH("@",Sales_data!T261)),LOWER(SUBSTITUTE(Sales_data!T261," ","")),"Invalid Email")</f>
        <v>arjun.rao@company.com</v>
      </c>
    </row>
    <row r="264" spans="1:5" ht="15" customHeight="1">
      <c r="A264" s="29" t="str">
        <f>Sales_data!B262</f>
        <v>C008</v>
      </c>
      <c r="B264" s="29" t="str">
        <f>Sales_data!F262</f>
        <v>Kavya Nair</v>
      </c>
      <c r="C264" s="29" t="str">
        <f>PROPER(TRIM(Sales_data!F262))</f>
        <v>Kavya Nair</v>
      </c>
      <c r="D264" s="29" t="str">
        <f>LEFT(C264,3)&amp;RIGHT(A264,3)&amp;LEFT(Sales_data!I262,2)</f>
        <v>Kav008Ko</v>
      </c>
      <c r="E264" s="29" t="str">
        <f>IF(ISNUMBER(SEARCH("@",Sales_data!T262)),LOWER(SUBSTITUTE(Sales_data!T262," ","")),"Invalid Email")</f>
        <v>kavya.nair@company.com</v>
      </c>
    </row>
    <row r="265" spans="1:5" ht="15" customHeight="1">
      <c r="A265" s="29" t="str">
        <f>Sales_data!B263</f>
        <v>C001</v>
      </c>
      <c r="B265" s="29" t="str">
        <f>Sales_data!F263</f>
        <v>Amit Sharma</v>
      </c>
      <c r="C265" s="29" t="str">
        <f>PROPER(TRIM(Sales_data!F263))</f>
        <v>Amit Sharma</v>
      </c>
      <c r="D265" s="29" t="str">
        <f>LEFT(C265,3)&amp;RIGHT(A265,3)&amp;LEFT(Sales_data!I263,2)</f>
        <v>Ami001Pu</v>
      </c>
      <c r="E265" s="29" t="str">
        <f>IF(ISNUMBER(SEARCH("@",Sales_data!T263)),LOWER(SUBSTITUTE(Sales_data!T263," ","")),"Invalid Email")</f>
        <v>amit.sharma@company.com</v>
      </c>
    </row>
    <row r="266" spans="1:5" ht="15" customHeight="1">
      <c r="A266" s="29" t="str">
        <f>Sales_data!B264</f>
        <v>C006</v>
      </c>
      <c r="B266" s="29" t="str">
        <f>Sales_data!F264</f>
        <v>Sneha Joshi</v>
      </c>
      <c r="C266" s="29" t="str">
        <f>PROPER(TRIM(Sales_data!F264))</f>
        <v>Sneha Joshi</v>
      </c>
      <c r="D266" s="29" t="str">
        <f>LEFT(C266,3)&amp;RIGHT(A266,3)&amp;LEFT(Sales_data!I264,2)</f>
        <v>Sne006Ko</v>
      </c>
      <c r="E266" s="29" t="str">
        <f>IF(ISNUMBER(SEARCH("@",Sales_data!T264)),LOWER(SUBSTITUTE(Sales_data!T264," ","")),"Invalid Email")</f>
        <v>sneha.joshi@company.com</v>
      </c>
    </row>
    <row r="267" spans="1:5" ht="15" customHeight="1">
      <c r="A267" s="29" t="str">
        <f>Sales_data!B265</f>
        <v>C008</v>
      </c>
      <c r="B267" s="29" t="str">
        <f>Sales_data!F265</f>
        <v>Kavya Nair</v>
      </c>
      <c r="C267" s="29" t="str">
        <f>PROPER(TRIM(Sales_data!F265))</f>
        <v>Kavya Nair</v>
      </c>
      <c r="D267" s="29" t="str">
        <f>LEFT(C267,3)&amp;RIGHT(A267,3)&amp;LEFT(Sales_data!I265,2)</f>
        <v>Kav008Ah</v>
      </c>
      <c r="E267" s="29" t="str">
        <f>IF(ISNUMBER(SEARCH("@",Sales_data!T265)),LOWER(SUBSTITUTE(Sales_data!T265," ","")),"Invalid Email")</f>
        <v>kavya.nair@company.com</v>
      </c>
    </row>
    <row r="268" spans="1:5" ht="15" customHeight="1">
      <c r="A268" s="29" t="str">
        <f>Sales_data!B266</f>
        <v>C009</v>
      </c>
      <c r="B268" s="29" t="str">
        <f>Sales_data!F266</f>
        <v>Mohit Verma</v>
      </c>
      <c r="C268" s="29" t="str">
        <f>PROPER(TRIM(Sales_data!F266))</f>
        <v>Mohit Verma</v>
      </c>
      <c r="D268" s="29" t="str">
        <f>LEFT(C268,3)&amp;RIGHT(A268,3)&amp;LEFT(Sales_data!I266,2)</f>
        <v>Moh009De</v>
      </c>
      <c r="E268" s="29" t="str">
        <f>IF(ISNUMBER(SEARCH("@",Sales_data!T266)),LOWER(SUBSTITUTE(Sales_data!T266," ","")),"Invalid Email")</f>
        <v>mohit.verma@company.com</v>
      </c>
    </row>
    <row r="269" spans="1:5" ht="15" customHeight="1">
      <c r="A269" s="29" t="str">
        <f>Sales_data!B267</f>
        <v>C008</v>
      </c>
      <c r="B269" s="29" t="str">
        <f>Sales_data!F267</f>
        <v>Kavya Nair</v>
      </c>
      <c r="C269" s="29" t="str">
        <f>PROPER(TRIM(Sales_data!F267))</f>
        <v>Kavya Nair</v>
      </c>
      <c r="D269" s="29" t="str">
        <f>LEFT(C269,3)&amp;RIGHT(A269,3)&amp;LEFT(Sales_data!I267,2)</f>
        <v>Kav008Ja</v>
      </c>
      <c r="E269" s="29" t="str">
        <f>IF(ISNUMBER(SEARCH("@",Sales_data!T267)),LOWER(SUBSTITUTE(Sales_data!T267," ","")),"Invalid Email")</f>
        <v>kavya.nair@company.com</v>
      </c>
    </row>
    <row r="270" spans="1:5" ht="15" customHeight="1">
      <c r="A270" s="29" t="str">
        <f>Sales_data!B268</f>
        <v>C010</v>
      </c>
      <c r="B270" s="29" t="str">
        <f>Sales_data!F268</f>
        <v>Pooja Shah</v>
      </c>
      <c r="C270" s="29" t="str">
        <f>PROPER(TRIM(Sales_data!F268))</f>
        <v>Pooja Shah</v>
      </c>
      <c r="D270" s="29" t="str">
        <f>LEFT(C270,3)&amp;RIGHT(A270,3)&amp;LEFT(Sales_data!I268,2)</f>
        <v>Poo010Mu</v>
      </c>
      <c r="E270" s="29" t="str">
        <f>IF(ISNUMBER(SEARCH("@",Sales_data!T268)),LOWER(SUBSTITUTE(Sales_data!T268," ","")),"Invalid Email")</f>
        <v>pooja.shah@company.com</v>
      </c>
    </row>
    <row r="271" spans="1:5" ht="15" customHeight="1">
      <c r="A271" s="29" t="str">
        <f>Sales_data!B269</f>
        <v>C003</v>
      </c>
      <c r="B271" s="29" t="str">
        <f>Sales_data!F269</f>
        <v>Rohit Singh</v>
      </c>
      <c r="C271" s="29" t="str">
        <f>PROPER(TRIM(Sales_data!F269))</f>
        <v>Rohit Singh</v>
      </c>
      <c r="D271" s="29" t="str">
        <f>LEFT(C271,3)&amp;RIGHT(A271,3)&amp;LEFT(Sales_data!I269,2)</f>
        <v>Roh003Hy</v>
      </c>
      <c r="E271" s="29" t="str">
        <f>IF(ISNUMBER(SEARCH("@",Sales_data!T269)),LOWER(SUBSTITUTE(Sales_data!T269," ","")),"Invalid Email")</f>
        <v>rohit.singh@company.com</v>
      </c>
    </row>
    <row r="272" spans="1:5" ht="15" customHeight="1">
      <c r="A272" s="29" t="str">
        <f>Sales_data!B270</f>
        <v>C006</v>
      </c>
      <c r="B272" s="29" t="str">
        <f>Sales_data!F270</f>
        <v>Sneha Joshi</v>
      </c>
      <c r="C272" s="29" t="str">
        <f>PROPER(TRIM(Sales_data!F270))</f>
        <v>Sneha Joshi</v>
      </c>
      <c r="D272" s="29" t="str">
        <f>LEFT(C272,3)&amp;RIGHT(A272,3)&amp;LEFT(Sales_data!I270,2)</f>
        <v>Sne006Ja</v>
      </c>
      <c r="E272" s="29" t="str">
        <f>IF(ISNUMBER(SEARCH("@",Sales_data!T270)),LOWER(SUBSTITUTE(Sales_data!T270," ","")),"Invalid Email")</f>
        <v>sneha.joshi@company.com</v>
      </c>
    </row>
    <row r="273" spans="1:5" ht="15" customHeight="1">
      <c r="A273" s="29" t="str">
        <f>Sales_data!B271</f>
        <v>C009</v>
      </c>
      <c r="B273" s="29" t="str">
        <f>Sales_data!F271</f>
        <v>Mohit Verma</v>
      </c>
      <c r="C273" s="29" t="str">
        <f>PROPER(TRIM(Sales_data!F271))</f>
        <v>Mohit Verma</v>
      </c>
      <c r="D273" s="29" t="str">
        <f>LEFT(C273,3)&amp;RIGHT(A273,3)&amp;LEFT(Sales_data!I271,2)</f>
        <v>Moh009Ko</v>
      </c>
      <c r="E273" s="29" t="str">
        <f>IF(ISNUMBER(SEARCH("@",Sales_data!T271)),LOWER(SUBSTITUTE(Sales_data!T271," ","")),"Invalid Email")</f>
        <v>mohit.verma@company.com</v>
      </c>
    </row>
    <row r="274" spans="1:5" ht="15" customHeight="1">
      <c r="A274" s="29" t="str">
        <f>Sales_data!B272</f>
        <v>C003</v>
      </c>
      <c r="B274" s="29" t="str">
        <f>Sales_data!F272</f>
        <v>Rohit Singh</v>
      </c>
      <c r="C274" s="29" t="str">
        <f>PROPER(TRIM(Sales_data!F272))</f>
        <v>Rohit Singh</v>
      </c>
      <c r="D274" s="29" t="str">
        <f>LEFT(C274,3)&amp;RIGHT(A274,3)&amp;LEFT(Sales_data!I272,2)</f>
        <v>Roh003Ah</v>
      </c>
      <c r="E274" s="29" t="str">
        <f>IF(ISNUMBER(SEARCH("@",Sales_data!T272)),LOWER(SUBSTITUTE(Sales_data!T272," ","")),"Invalid Email")</f>
        <v>rohit.singh@company.com</v>
      </c>
    </row>
    <row r="275" spans="1:5" ht="15" customHeight="1">
      <c r="A275" s="29" t="str">
        <f>Sales_data!B273</f>
        <v>C008</v>
      </c>
      <c r="B275" s="29" t="str">
        <f>Sales_data!F273</f>
        <v>Kavya Nair</v>
      </c>
      <c r="C275" s="29" t="str">
        <f>PROPER(TRIM(Sales_data!F273))</f>
        <v>Kavya Nair</v>
      </c>
      <c r="D275" s="29" t="str">
        <f>LEFT(C275,3)&amp;RIGHT(A275,3)&amp;LEFT(Sales_data!I273,2)</f>
        <v>Kav008Mu</v>
      </c>
      <c r="E275" s="29" t="str">
        <f>IF(ISNUMBER(SEARCH("@",Sales_data!T273)),LOWER(SUBSTITUTE(Sales_data!T273," ","")),"Invalid Email")</f>
        <v>kavya.nair@company.com</v>
      </c>
    </row>
    <row r="276" spans="1:5" ht="15" customHeight="1">
      <c r="A276" s="29" t="str">
        <f>Sales_data!B274</f>
        <v>C007</v>
      </c>
      <c r="B276" s="29" t="str">
        <f>Sales_data!F274</f>
        <v>Arjun Rao</v>
      </c>
      <c r="C276" s="29" t="str">
        <f>PROPER(TRIM(Sales_data!F274))</f>
        <v>Arjun Rao</v>
      </c>
      <c r="D276" s="29" t="str">
        <f>LEFT(C276,3)&amp;RIGHT(A276,3)&amp;LEFT(Sales_data!I274,2)</f>
        <v>Arj007Ja</v>
      </c>
      <c r="E276" s="29" t="str">
        <f>IF(ISNUMBER(SEARCH("@",Sales_data!T274)),LOWER(SUBSTITUTE(Sales_data!T274," ","")),"Invalid Email")</f>
        <v>arjun.rao@company.com</v>
      </c>
    </row>
    <row r="277" spans="1:5" ht="15" customHeight="1">
      <c r="A277" s="29" t="str">
        <f>Sales_data!B275</f>
        <v>C010</v>
      </c>
      <c r="B277" s="29" t="str">
        <f>Sales_data!F275</f>
        <v>Pooja Shah</v>
      </c>
      <c r="C277" s="29" t="str">
        <f>PROPER(TRIM(Sales_data!F275))</f>
        <v>Pooja Shah</v>
      </c>
      <c r="D277" s="29" t="str">
        <f>LEFT(C277,3)&amp;RIGHT(A277,3)&amp;LEFT(Sales_data!I275,2)</f>
        <v>Poo010Pu</v>
      </c>
      <c r="E277" s="29" t="str">
        <f>IF(ISNUMBER(SEARCH("@",Sales_data!T275)),LOWER(SUBSTITUTE(Sales_data!T275," ","")),"Invalid Email")</f>
        <v>pooja.shah@company.com</v>
      </c>
    </row>
    <row r="278" spans="1:5" ht="15" customHeight="1">
      <c r="A278" s="29" t="str">
        <f>Sales_data!B276</f>
        <v>C005</v>
      </c>
      <c r="B278" s="29" t="str">
        <f>Sales_data!F276</f>
        <v>Vikas Mehta</v>
      </c>
      <c r="C278" s="29" t="str">
        <f>PROPER(TRIM(Sales_data!F276))</f>
        <v>Vikas Mehta</v>
      </c>
      <c r="D278" s="29" t="str">
        <f>LEFT(C278,3)&amp;RIGHT(A278,3)&amp;LEFT(Sales_data!I276,2)</f>
        <v>Vik005Ko</v>
      </c>
      <c r="E278" s="29" t="str">
        <f>IF(ISNUMBER(SEARCH("@",Sales_data!T276)),LOWER(SUBSTITUTE(Sales_data!T276," ","")),"Invalid Email")</f>
        <v>vikas.mehta@company.com</v>
      </c>
    </row>
    <row r="279" spans="1:5" ht="15" customHeight="1">
      <c r="A279" s="29" t="str">
        <f>Sales_data!B277</f>
        <v>C002</v>
      </c>
      <c r="B279" s="29" t="str">
        <f>Sales_data!F277</f>
        <v>Priya Patel</v>
      </c>
      <c r="C279" s="29" t="str">
        <f>PROPER(TRIM(Sales_data!F277))</f>
        <v>Priya Patel</v>
      </c>
      <c r="D279" s="29" t="str">
        <f>LEFT(C279,3)&amp;RIGHT(A279,3)&amp;LEFT(Sales_data!I277,2)</f>
        <v>Pri002Ah</v>
      </c>
      <c r="E279" s="29" t="str">
        <f>IF(ISNUMBER(SEARCH("@",Sales_data!T277)),LOWER(SUBSTITUTE(Sales_data!T277," ","")),"Invalid Email")</f>
        <v>priya.patel@company.com</v>
      </c>
    </row>
    <row r="280" spans="1:5" ht="15" customHeight="1">
      <c r="A280" s="29" t="str">
        <f>Sales_data!B278</f>
        <v>C007</v>
      </c>
      <c r="B280" s="29" t="str">
        <f>Sales_data!F278</f>
        <v>Arjun Rao</v>
      </c>
      <c r="C280" s="29" t="str">
        <f>PROPER(TRIM(Sales_data!F278))</f>
        <v>Arjun Rao</v>
      </c>
      <c r="D280" s="29" t="str">
        <f>LEFT(C280,3)&amp;RIGHT(A280,3)&amp;LEFT(Sales_data!I278,2)</f>
        <v>Arj007Be</v>
      </c>
      <c r="E280" s="29" t="str">
        <f>IF(ISNUMBER(SEARCH("@",Sales_data!T278)),LOWER(SUBSTITUTE(Sales_data!T278," ","")),"Invalid Email")</f>
        <v>arjun.rao@company.com</v>
      </c>
    </row>
    <row r="281" spans="1:5" ht="15" customHeight="1">
      <c r="A281" s="29" t="str">
        <f>Sales_data!B279</f>
        <v>C004</v>
      </c>
      <c r="B281" s="29" t="str">
        <f>Sales_data!F279</f>
        <v>Anita Gupta</v>
      </c>
      <c r="C281" s="29" t="str">
        <f>PROPER(TRIM(Sales_data!F279))</f>
        <v>Anita Gupta</v>
      </c>
      <c r="D281" s="29" t="str">
        <f>LEFT(C281,3)&amp;RIGHT(A281,3)&amp;LEFT(Sales_data!I279,2)</f>
        <v>Ani004Mu</v>
      </c>
      <c r="E281" s="29" t="str">
        <f>IF(ISNUMBER(SEARCH("@",Sales_data!T279)),LOWER(SUBSTITUTE(Sales_data!T279," ","")),"Invalid Email")</f>
        <v>anita.gupta@company.com</v>
      </c>
    </row>
    <row r="282" spans="1:5" ht="15" customHeight="1">
      <c r="A282" s="29" t="str">
        <f>Sales_data!B280</f>
        <v>C002</v>
      </c>
      <c r="B282" s="29" t="str">
        <f>Sales_data!F280</f>
        <v>Priya Patel</v>
      </c>
      <c r="C282" s="29" t="str">
        <f>PROPER(TRIM(Sales_data!F280))</f>
        <v>Priya Patel</v>
      </c>
      <c r="D282" s="29" t="str">
        <f>LEFT(C282,3)&amp;RIGHT(A282,3)&amp;LEFT(Sales_data!I280,2)</f>
        <v>Pri002Mu</v>
      </c>
      <c r="E282" s="29" t="str">
        <f>IF(ISNUMBER(SEARCH("@",Sales_data!T280)),LOWER(SUBSTITUTE(Sales_data!T280," ","")),"Invalid Email")</f>
        <v>priya.patel@company.com</v>
      </c>
    </row>
    <row r="283" spans="1:5" ht="15" customHeight="1">
      <c r="A283" s="29" t="str">
        <f>Sales_data!B281</f>
        <v>C006</v>
      </c>
      <c r="B283" s="29" t="str">
        <f>Sales_data!F281</f>
        <v>Sneha Joshi</v>
      </c>
      <c r="C283" s="29" t="str">
        <f>PROPER(TRIM(Sales_data!F281))</f>
        <v>Sneha Joshi</v>
      </c>
      <c r="D283" s="29" t="str">
        <f>LEFT(C283,3)&amp;RIGHT(A283,3)&amp;LEFT(Sales_data!I281,2)</f>
        <v>Sne006Ah</v>
      </c>
      <c r="E283" s="29" t="str">
        <f>IF(ISNUMBER(SEARCH("@",Sales_data!T281)),LOWER(SUBSTITUTE(Sales_data!T281," ","")),"Invalid Email")</f>
        <v>sneha.joshi@company.com</v>
      </c>
    </row>
    <row r="284" spans="1:5" ht="15" customHeight="1">
      <c r="A284" s="29" t="str">
        <f>Sales_data!B282</f>
        <v>C009</v>
      </c>
      <c r="B284" s="29" t="str">
        <f>Sales_data!F282</f>
        <v>Mohit Verma</v>
      </c>
      <c r="C284" s="29" t="str">
        <f>PROPER(TRIM(Sales_data!F282))</f>
        <v>Mohit Verma</v>
      </c>
      <c r="D284" s="29" t="str">
        <f>LEFT(C284,3)&amp;RIGHT(A284,3)&amp;LEFT(Sales_data!I282,2)</f>
        <v>Moh009Ja</v>
      </c>
      <c r="E284" s="29" t="str">
        <f>IF(ISNUMBER(SEARCH("@",Sales_data!T282)),LOWER(SUBSTITUTE(Sales_data!T282," ","")),"Invalid Email")</f>
        <v>mohit.verma@company.com</v>
      </c>
    </row>
    <row r="285" spans="1:5" ht="15" customHeight="1">
      <c r="A285" s="29" t="str">
        <f>Sales_data!B283</f>
        <v>C006</v>
      </c>
      <c r="B285" s="29" t="str">
        <f>Sales_data!F283</f>
        <v>Sneha Joshi</v>
      </c>
      <c r="C285" s="29" t="str">
        <f>PROPER(TRIM(Sales_data!F283))</f>
        <v>Sneha Joshi</v>
      </c>
      <c r="D285" s="29" t="str">
        <f>LEFT(C285,3)&amp;RIGHT(A285,3)&amp;LEFT(Sales_data!I283,2)</f>
        <v>Sne006Ja</v>
      </c>
      <c r="E285" s="29" t="str">
        <f>IF(ISNUMBER(SEARCH("@",Sales_data!T283)),LOWER(SUBSTITUTE(Sales_data!T283," ","")),"Invalid Email")</f>
        <v>sneha.joshi@company.com</v>
      </c>
    </row>
    <row r="286" spans="1:5" ht="15" customHeight="1">
      <c r="A286" s="29" t="str">
        <f>Sales_data!B284</f>
        <v>C007</v>
      </c>
      <c r="B286" s="29" t="str">
        <f>Sales_data!F284</f>
        <v>Arjun Rao</v>
      </c>
      <c r="C286" s="29" t="str">
        <f>PROPER(TRIM(Sales_data!F284))</f>
        <v>Arjun Rao</v>
      </c>
      <c r="D286" s="29" t="str">
        <f>LEFT(C286,3)&amp;RIGHT(A286,3)&amp;LEFT(Sales_data!I284,2)</f>
        <v>Arj007Mu</v>
      </c>
      <c r="E286" s="29" t="str">
        <f>IF(ISNUMBER(SEARCH("@",Sales_data!T284)),LOWER(SUBSTITUTE(Sales_data!T284," ","")),"Invalid Email")</f>
        <v>arjun.rao@company.com</v>
      </c>
    </row>
    <row r="287" spans="1:5" ht="15" customHeight="1">
      <c r="A287" s="29" t="str">
        <f>Sales_data!B285</f>
        <v>C009</v>
      </c>
      <c r="B287" s="29" t="str">
        <f>Sales_data!F285</f>
        <v>Mohit Verma</v>
      </c>
      <c r="C287" s="29" t="str">
        <f>PROPER(TRIM(Sales_data!F285))</f>
        <v>Mohit Verma</v>
      </c>
      <c r="D287" s="29" t="str">
        <f>LEFT(C287,3)&amp;RIGHT(A287,3)&amp;LEFT(Sales_data!I285,2)</f>
        <v>Moh009Ah</v>
      </c>
      <c r="E287" s="29" t="str">
        <f>IF(ISNUMBER(SEARCH("@",Sales_data!T285)),LOWER(SUBSTITUTE(Sales_data!T285," ","")),"Invalid Email")</f>
        <v>mohit.verma@company.com</v>
      </c>
    </row>
    <row r="288" spans="1:5" ht="15" customHeight="1">
      <c r="A288" s="29" t="str">
        <f>Sales_data!B286</f>
        <v>C006</v>
      </c>
      <c r="B288" s="29" t="str">
        <f>Sales_data!F286</f>
        <v>Sneha Joshi</v>
      </c>
      <c r="C288" s="29" t="str">
        <f>PROPER(TRIM(Sales_data!F286))</f>
        <v>Sneha Joshi</v>
      </c>
      <c r="D288" s="29" t="str">
        <f>LEFT(C288,3)&amp;RIGHT(A288,3)&amp;LEFT(Sales_data!I286,2)</f>
        <v>Sne006Hy</v>
      </c>
      <c r="E288" s="29" t="str">
        <f>IF(ISNUMBER(SEARCH("@",Sales_data!T286)),LOWER(SUBSTITUTE(Sales_data!T286," ","")),"Invalid Email")</f>
        <v>sneha.joshi@company.com</v>
      </c>
    </row>
    <row r="289" spans="1:5" ht="15" customHeight="1">
      <c r="A289" s="29" t="str">
        <f>Sales_data!B287</f>
        <v>C006</v>
      </c>
      <c r="B289" s="29" t="str">
        <f>Sales_data!F287</f>
        <v>Sneha Joshi</v>
      </c>
      <c r="C289" s="29" t="str">
        <f>PROPER(TRIM(Sales_data!F287))</f>
        <v>Sneha Joshi</v>
      </c>
      <c r="D289" s="29" t="str">
        <f>LEFT(C289,3)&amp;RIGHT(A289,3)&amp;LEFT(Sales_data!I287,2)</f>
        <v>Sne006Be</v>
      </c>
      <c r="E289" s="29" t="str">
        <f>IF(ISNUMBER(SEARCH("@",Sales_data!T287)),LOWER(SUBSTITUTE(Sales_data!T287," ","")),"Invalid Email")</f>
        <v>sneha.joshi@company.com</v>
      </c>
    </row>
    <row r="290" spans="1:5" ht="15" customHeight="1">
      <c r="A290" s="29" t="str">
        <f>Sales_data!B288</f>
        <v>C004</v>
      </c>
      <c r="B290" s="29" t="str">
        <f>Sales_data!F288</f>
        <v>Anita Gupta</v>
      </c>
      <c r="C290" s="29" t="str">
        <f>PROPER(TRIM(Sales_data!F288))</f>
        <v>Anita Gupta</v>
      </c>
      <c r="D290" s="29" t="str">
        <f>LEFT(C290,3)&amp;RIGHT(A290,3)&amp;LEFT(Sales_data!I288,2)</f>
        <v>Ani004Hy</v>
      </c>
      <c r="E290" s="29" t="str">
        <f>IF(ISNUMBER(SEARCH("@",Sales_data!T288)),LOWER(SUBSTITUTE(Sales_data!T288," ","")),"Invalid Email")</f>
        <v>anita.gupta@company.com</v>
      </c>
    </row>
    <row r="291" spans="1:5" ht="15" customHeight="1">
      <c r="A291" s="29" t="str">
        <f>Sales_data!B289</f>
        <v>C002</v>
      </c>
      <c r="B291" s="29" t="str">
        <f>Sales_data!F289</f>
        <v>Priya Patel</v>
      </c>
      <c r="C291" s="29" t="str">
        <f>PROPER(TRIM(Sales_data!F289))</f>
        <v>Priya Patel</v>
      </c>
      <c r="D291" s="29" t="str">
        <f>LEFT(C291,3)&amp;RIGHT(A291,3)&amp;LEFT(Sales_data!I289,2)</f>
        <v>Pri002Mu</v>
      </c>
      <c r="E291" s="29" t="str">
        <f>IF(ISNUMBER(SEARCH("@",Sales_data!T289)),LOWER(SUBSTITUTE(Sales_data!T289," ","")),"Invalid Email")</f>
        <v>Invalid Email</v>
      </c>
    </row>
    <row r="292" spans="1:5" ht="15" customHeight="1">
      <c r="A292" s="29" t="str">
        <f>Sales_data!B290</f>
        <v>C009</v>
      </c>
      <c r="B292" s="29" t="str">
        <f>Sales_data!F290</f>
        <v>Mohit Verma</v>
      </c>
      <c r="C292" s="29" t="str">
        <f>PROPER(TRIM(Sales_data!F290))</f>
        <v>Mohit Verma</v>
      </c>
      <c r="D292" s="29" t="str">
        <f>LEFT(C292,3)&amp;RIGHT(A292,3)&amp;LEFT(Sales_data!I290,2)</f>
        <v>Moh009Pu</v>
      </c>
      <c r="E292" s="29" t="str">
        <f>IF(ISNUMBER(SEARCH("@",Sales_data!T290)),LOWER(SUBSTITUTE(Sales_data!T290," ","")),"Invalid Email")</f>
        <v>mohit.verma@company.com</v>
      </c>
    </row>
    <row r="293" spans="1:5" ht="15" customHeight="1">
      <c r="A293" s="29" t="str">
        <f>Sales_data!B291</f>
        <v>C009</v>
      </c>
      <c r="B293" s="29" t="str">
        <f>Sales_data!F291</f>
        <v>Mohit Verma</v>
      </c>
      <c r="C293" s="29" t="str">
        <f>PROPER(TRIM(Sales_data!F291))</f>
        <v>Mohit Verma</v>
      </c>
      <c r="D293" s="29" t="str">
        <f>LEFT(C293,3)&amp;RIGHT(A293,3)&amp;LEFT(Sales_data!I291,2)</f>
        <v>Moh009Pu</v>
      </c>
      <c r="E293" s="29" t="str">
        <f>IF(ISNUMBER(SEARCH("@",Sales_data!T291)),LOWER(SUBSTITUTE(Sales_data!T291," ","")),"Invalid Email")</f>
        <v>mohit.verma@company.com</v>
      </c>
    </row>
    <row r="294" spans="1:5" ht="15" customHeight="1">
      <c r="A294" s="29" t="str">
        <f>Sales_data!B292</f>
        <v>C003</v>
      </c>
      <c r="B294" s="29" t="str">
        <f>Sales_data!F292</f>
        <v>Rohit Singh</v>
      </c>
      <c r="C294" s="29" t="str">
        <f>PROPER(TRIM(Sales_data!F292))</f>
        <v>Rohit Singh</v>
      </c>
      <c r="D294" s="29" t="str">
        <f>LEFT(C294,3)&amp;RIGHT(A294,3)&amp;LEFT(Sales_data!I292,2)</f>
        <v>Roh003Mu</v>
      </c>
      <c r="E294" s="29" t="str">
        <f>IF(ISNUMBER(SEARCH("@",Sales_data!T292)),LOWER(SUBSTITUTE(Sales_data!T292," ","")),"Invalid Email")</f>
        <v>rohit.singh@company.com</v>
      </c>
    </row>
    <row r="295" spans="1:5" ht="15" customHeight="1">
      <c r="A295" s="29" t="str">
        <f>Sales_data!B293</f>
        <v>C001</v>
      </c>
      <c r="B295" s="29" t="str">
        <f>Sales_data!F293</f>
        <v>Amit Sharma</v>
      </c>
      <c r="C295" s="29" t="str">
        <f>PROPER(TRIM(Sales_data!F293))</f>
        <v>Amit Sharma</v>
      </c>
      <c r="D295" s="29" t="str">
        <f>LEFT(C295,3)&amp;RIGHT(A295,3)&amp;LEFT(Sales_data!I293,2)</f>
        <v>Ami001Ja</v>
      </c>
      <c r="E295" s="29" t="str">
        <f>IF(ISNUMBER(SEARCH("@",Sales_data!T293)),LOWER(SUBSTITUTE(Sales_data!T293," ","")),"Invalid Email")</f>
        <v>amit.sharma@company.com</v>
      </c>
    </row>
    <row r="296" spans="1:5" ht="15" customHeight="1">
      <c r="A296" s="29" t="str">
        <f>Sales_data!B294</f>
        <v>C010</v>
      </c>
      <c r="B296" s="29" t="str">
        <f>Sales_data!F294</f>
        <v>Pooja Shah</v>
      </c>
      <c r="C296" s="29" t="str">
        <f>PROPER(TRIM(Sales_data!F294))</f>
        <v>Pooja Shah</v>
      </c>
      <c r="D296" s="29" t="str">
        <f>LEFT(C296,3)&amp;RIGHT(A296,3)&amp;LEFT(Sales_data!I294,2)</f>
        <v>Poo010Ja</v>
      </c>
      <c r="E296" s="29" t="str">
        <f>IF(ISNUMBER(SEARCH("@",Sales_data!T294)),LOWER(SUBSTITUTE(Sales_data!T294," ","")),"Invalid Email")</f>
        <v>pooja.shah@company.com</v>
      </c>
    </row>
    <row r="297" spans="1:5" ht="15" customHeight="1">
      <c r="A297" s="29" t="str">
        <f>Sales_data!B295</f>
        <v>C008</v>
      </c>
      <c r="B297" s="29" t="str">
        <f>Sales_data!F295</f>
        <v>Kavya Nair</v>
      </c>
      <c r="C297" s="29" t="str">
        <f>PROPER(TRIM(Sales_data!F295))</f>
        <v>Kavya Nair</v>
      </c>
      <c r="D297" s="29" t="str">
        <f>LEFT(C297,3)&amp;RIGHT(A297,3)&amp;LEFT(Sales_data!I295,2)</f>
        <v>Kav008Ah</v>
      </c>
      <c r="E297" s="29" t="str">
        <f>IF(ISNUMBER(SEARCH("@",Sales_data!T295)),LOWER(SUBSTITUTE(Sales_data!T295," ","")),"Invalid Email")</f>
        <v>kavya.nair@company.com</v>
      </c>
    </row>
    <row r="298" spans="1:5" ht="15" customHeight="1">
      <c r="A298" s="29" t="str">
        <f>Sales_data!B296</f>
        <v>C004</v>
      </c>
      <c r="B298" s="29" t="str">
        <f>Sales_data!F296</f>
        <v>Anita Gupta</v>
      </c>
      <c r="C298" s="29" t="str">
        <f>PROPER(TRIM(Sales_data!F296))</f>
        <v>Anita Gupta</v>
      </c>
      <c r="D298" s="29" t="str">
        <f>LEFT(C298,3)&amp;RIGHT(A298,3)&amp;LEFT(Sales_data!I296,2)</f>
        <v>Ani004Mu</v>
      </c>
      <c r="E298" s="29" t="str">
        <f>IF(ISNUMBER(SEARCH("@",Sales_data!T296)),LOWER(SUBSTITUTE(Sales_data!T296," ","")),"Invalid Email")</f>
        <v>anita.gupta@company.com</v>
      </c>
    </row>
    <row r="299" spans="1:5" ht="15" customHeight="1">
      <c r="A299" s="29" t="str">
        <f>Sales_data!B297</f>
        <v>C002</v>
      </c>
      <c r="B299" s="29" t="str">
        <f>Sales_data!F297</f>
        <v>Priya Patel</v>
      </c>
      <c r="C299" s="29" t="str">
        <f>PROPER(TRIM(Sales_data!F297))</f>
        <v>Priya Patel</v>
      </c>
      <c r="D299" s="29" t="str">
        <f>LEFT(C299,3)&amp;RIGHT(A299,3)&amp;LEFT(Sales_data!I297,2)</f>
        <v>Pri002De</v>
      </c>
      <c r="E299" s="29" t="str">
        <f>IF(ISNUMBER(SEARCH("@",Sales_data!T297)),LOWER(SUBSTITUTE(Sales_data!T297," ","")),"Invalid Email")</f>
        <v>priya.patel@company.com</v>
      </c>
    </row>
    <row r="300" spans="1:5" ht="15" customHeight="1">
      <c r="A300" s="29" t="str">
        <f>Sales_data!B298</f>
        <v>C001</v>
      </c>
      <c r="B300" s="29" t="str">
        <f>Sales_data!F298</f>
        <v>Amit Sharma</v>
      </c>
      <c r="C300" s="29" t="str">
        <f>PROPER(TRIM(Sales_data!F298))</f>
        <v>Amit Sharma</v>
      </c>
      <c r="D300" s="29" t="str">
        <f>LEFT(C300,3)&amp;RIGHT(A300,3)&amp;LEFT(Sales_data!I298,2)</f>
        <v>Ami001Ah</v>
      </c>
      <c r="E300" s="29" t="str">
        <f>IF(ISNUMBER(SEARCH("@",Sales_data!T298)),LOWER(SUBSTITUTE(Sales_data!T298," ","")),"Invalid Email")</f>
        <v>amit.sharma@company.com</v>
      </c>
    </row>
    <row r="301" spans="1:5" ht="15" customHeight="1">
      <c r="A301" s="29" t="str">
        <f>Sales_data!B299</f>
        <v>C003</v>
      </c>
      <c r="B301" s="29" t="str">
        <f>Sales_data!F299</f>
        <v>Rohit Singh</v>
      </c>
      <c r="C301" s="29" t="str">
        <f>PROPER(TRIM(Sales_data!F299))</f>
        <v>Rohit Singh</v>
      </c>
      <c r="D301" s="29" t="str">
        <f>LEFT(C301,3)&amp;RIGHT(A301,3)&amp;LEFT(Sales_data!I299,2)</f>
        <v>Roh003Hy</v>
      </c>
      <c r="E301" s="29" t="str">
        <f>IF(ISNUMBER(SEARCH("@",Sales_data!T299)),LOWER(SUBSTITUTE(Sales_data!T299," ","")),"Invalid Email")</f>
        <v>rohit.singh@company.com</v>
      </c>
    </row>
    <row r="302" spans="1:5" ht="15" customHeight="1">
      <c r="A302" s="29" t="str">
        <f>Sales_data!B300</f>
        <v>C007</v>
      </c>
      <c r="B302" s="29" t="str">
        <f>Sales_data!F300</f>
        <v>Arjun Rao</v>
      </c>
      <c r="C302" s="29" t="str">
        <f>PROPER(TRIM(Sales_data!F300))</f>
        <v>Arjun Rao</v>
      </c>
      <c r="D302" s="29" t="str">
        <f>LEFT(C302,3)&amp;RIGHT(A302,3)&amp;LEFT(Sales_data!I300,2)</f>
        <v>Arj007Ja</v>
      </c>
      <c r="E302" s="29" t="str">
        <f>IF(ISNUMBER(SEARCH("@",Sales_data!T300)),LOWER(SUBSTITUTE(Sales_data!T300," ","")),"Invalid Email")</f>
        <v>arjun.rao@company.com</v>
      </c>
    </row>
    <row r="303" spans="1:5" ht="15" customHeight="1">
      <c r="A303" s="29" t="str">
        <f>Sales_data!B301</f>
        <v>C009</v>
      </c>
      <c r="B303" s="29" t="str">
        <f>Sales_data!F301</f>
        <v>Mohit Verma</v>
      </c>
      <c r="C303" s="29" t="str">
        <f>PROPER(TRIM(Sales_data!F301))</f>
        <v>Mohit Verma</v>
      </c>
      <c r="D303" s="29" t="str">
        <f>LEFT(C303,3)&amp;RIGHT(A303,3)&amp;LEFT(Sales_data!I301,2)</f>
        <v>Moh009Hy</v>
      </c>
      <c r="E303" s="29" t="str">
        <f>IF(ISNUMBER(SEARCH("@",Sales_data!T301)),LOWER(SUBSTITUTE(Sales_data!T301," ","")),"Invalid Email")</f>
        <v>mohit.verma@company.com</v>
      </c>
    </row>
    <row r="304" spans="1:5" ht="15" customHeight="1">
      <c r="A304" s="29" t="str">
        <f>Sales_data!B302</f>
        <v>C001</v>
      </c>
      <c r="B304" s="29" t="str">
        <f>Sales_data!F302</f>
        <v>Amit Sharma</v>
      </c>
      <c r="C304" s="29" t="str">
        <f>PROPER(TRIM(Sales_data!F302))</f>
        <v>Amit Sharma</v>
      </c>
      <c r="D304" s="29" t="str">
        <f>LEFT(C304,3)&amp;RIGHT(A304,3)&amp;LEFT(Sales_data!I302,2)</f>
        <v>Ami001Be</v>
      </c>
      <c r="E304" s="29" t="str">
        <f>IF(ISNUMBER(SEARCH("@",Sales_data!T302)),LOWER(SUBSTITUTE(Sales_data!T302," ","")),"Invalid Email")</f>
        <v>amit.sharma@company.com</v>
      </c>
    </row>
    <row r="305" spans="1:5" ht="15" customHeight="1">
      <c r="A305" s="29" t="str">
        <f>Sales_data!B303</f>
        <v>C003</v>
      </c>
      <c r="B305" s="29" t="str">
        <f>Sales_data!F303</f>
        <v>Rohit Singh</v>
      </c>
      <c r="C305" s="29" t="str">
        <f>PROPER(TRIM(Sales_data!F303))</f>
        <v>Rohit Singh</v>
      </c>
      <c r="D305" s="29" t="str">
        <f>LEFT(C305,3)&amp;RIGHT(A305,3)&amp;LEFT(Sales_data!I303,2)</f>
        <v>Roh003Be</v>
      </c>
      <c r="E305" s="29" t="str">
        <f>IF(ISNUMBER(SEARCH("@",Sales_data!T303)),LOWER(SUBSTITUTE(Sales_data!T303," ","")),"Invalid Email")</f>
        <v>rohit.singh@company.com</v>
      </c>
    </row>
    <row r="306" spans="1:5" ht="15" customHeight="1">
      <c r="A306" s="29" t="str">
        <f>Sales_data!B304</f>
        <v>C006</v>
      </c>
      <c r="B306" s="29" t="str">
        <f>Sales_data!F304</f>
        <v>Sneha Joshi</v>
      </c>
      <c r="C306" s="29" t="str">
        <f>PROPER(TRIM(Sales_data!F304))</f>
        <v>Sneha Joshi</v>
      </c>
      <c r="D306" s="29" t="str">
        <f>LEFT(C306,3)&amp;RIGHT(A306,3)&amp;LEFT(Sales_data!I304,2)</f>
        <v>Sne006De</v>
      </c>
      <c r="E306" s="29" t="str">
        <f>IF(ISNUMBER(SEARCH("@",Sales_data!T304)),LOWER(SUBSTITUTE(Sales_data!T304," ","")),"Invalid Email")</f>
        <v>sneha.joshi@company.com</v>
      </c>
    </row>
    <row r="307" spans="1:5" ht="15" customHeight="1">
      <c r="A307" s="29" t="str">
        <f>Sales_data!B305</f>
        <v>C008</v>
      </c>
      <c r="B307" s="29" t="str">
        <f>Sales_data!F305</f>
        <v>Kavya Nair</v>
      </c>
      <c r="C307" s="29" t="str">
        <f>PROPER(TRIM(Sales_data!F305))</f>
        <v>Kavya Nair</v>
      </c>
      <c r="D307" s="29" t="str">
        <f>LEFT(C307,3)&amp;RIGHT(A307,3)&amp;LEFT(Sales_data!I305,2)</f>
        <v>Kav008Ah</v>
      </c>
      <c r="E307" s="29" t="str">
        <f>IF(ISNUMBER(SEARCH("@",Sales_data!T305)),LOWER(SUBSTITUTE(Sales_data!T305," ","")),"Invalid Email")</f>
        <v>kavya.nair@company.com</v>
      </c>
    </row>
    <row r="308" spans="1:5" ht="15" customHeight="1">
      <c r="A308" s="29" t="str">
        <f>Sales_data!B306</f>
        <v>C005</v>
      </c>
      <c r="B308" s="29" t="str">
        <f>Sales_data!F306</f>
        <v>Vikas Mehta</v>
      </c>
      <c r="C308" s="29" t="str">
        <f>PROPER(TRIM(Sales_data!F306))</f>
        <v>Vikas Mehta</v>
      </c>
      <c r="D308" s="29" t="str">
        <f>LEFT(C308,3)&amp;RIGHT(A308,3)&amp;LEFT(Sales_data!I306,2)</f>
        <v>Vik005Ja</v>
      </c>
      <c r="E308" s="29" t="str">
        <f>IF(ISNUMBER(SEARCH("@",Sales_data!T306)),LOWER(SUBSTITUTE(Sales_data!T306," ","")),"Invalid Email")</f>
        <v>vikas.mehta@company.com</v>
      </c>
    </row>
    <row r="309" spans="1:5" ht="15" customHeight="1">
      <c r="A309" s="29" t="str">
        <f>Sales_data!B307</f>
        <v>C008</v>
      </c>
      <c r="B309" s="29" t="str">
        <f>Sales_data!F307</f>
        <v>Kavya Nair</v>
      </c>
      <c r="C309" s="29" t="str">
        <f>PROPER(TRIM(Sales_data!F307))</f>
        <v>Kavya Nair</v>
      </c>
      <c r="D309" s="29" t="str">
        <f>LEFT(C309,3)&amp;RIGHT(A309,3)&amp;LEFT(Sales_data!I307,2)</f>
        <v>Kav008Hy</v>
      </c>
      <c r="E309" s="29" t="str">
        <f>IF(ISNUMBER(SEARCH("@",Sales_data!T307)),LOWER(SUBSTITUTE(Sales_data!T307," ","")),"Invalid Email")</f>
        <v>kavya.nair@company.com</v>
      </c>
    </row>
    <row r="310" spans="1:5" ht="15" customHeight="1">
      <c r="A310" s="29" t="str">
        <f>Sales_data!B308</f>
        <v>C006</v>
      </c>
      <c r="B310" s="29" t="str">
        <f>Sales_data!F308</f>
        <v>Sneha Joshi</v>
      </c>
      <c r="C310" s="29" t="str">
        <f>PROPER(TRIM(Sales_data!F308))</f>
        <v>Sneha Joshi</v>
      </c>
      <c r="D310" s="29" t="str">
        <f>LEFT(C310,3)&amp;RIGHT(A310,3)&amp;LEFT(Sales_data!I308,2)</f>
        <v>Sne006Mu</v>
      </c>
      <c r="E310" s="29" t="str">
        <f>IF(ISNUMBER(SEARCH("@",Sales_data!T308)),LOWER(SUBSTITUTE(Sales_data!T308," ","")),"Invalid Email")</f>
        <v>sneha.joshi@company.com</v>
      </c>
    </row>
    <row r="311" spans="1:5" ht="15" customHeight="1">
      <c r="A311" s="29" t="str">
        <f>Sales_data!B309</f>
        <v>C006</v>
      </c>
      <c r="B311" s="29" t="str">
        <f>Sales_data!F309</f>
        <v>Sneha Joshi</v>
      </c>
      <c r="C311" s="29" t="str">
        <f>PROPER(TRIM(Sales_data!F309))</f>
        <v>Sneha Joshi</v>
      </c>
      <c r="D311" s="29" t="str">
        <f>LEFT(C311,3)&amp;RIGHT(A311,3)&amp;LEFT(Sales_data!I309,2)</f>
        <v>Sne006Pu</v>
      </c>
      <c r="E311" s="29" t="str">
        <f>IF(ISNUMBER(SEARCH("@",Sales_data!T309)),LOWER(SUBSTITUTE(Sales_data!T309," ","")),"Invalid Email")</f>
        <v>sneha.joshi@company.com</v>
      </c>
    </row>
    <row r="312" spans="1:5" ht="15" customHeight="1">
      <c r="A312" s="29" t="str">
        <f>Sales_data!B310</f>
        <v>C010</v>
      </c>
      <c r="B312" s="29" t="str">
        <f>Sales_data!F310</f>
        <v>Pooja Shah</v>
      </c>
      <c r="C312" s="29" t="str">
        <f>PROPER(TRIM(Sales_data!F310))</f>
        <v>Pooja Shah</v>
      </c>
      <c r="D312" s="29" t="str">
        <f>LEFT(C312,3)&amp;RIGHT(A312,3)&amp;LEFT(Sales_data!I310,2)</f>
        <v>Poo010Hy</v>
      </c>
      <c r="E312" s="29" t="str">
        <f>IF(ISNUMBER(SEARCH("@",Sales_data!T310)),LOWER(SUBSTITUTE(Sales_data!T310," ","")),"Invalid Email")</f>
        <v>pooja.shah@company.com</v>
      </c>
    </row>
    <row r="313" spans="1:5" ht="15" customHeight="1">
      <c r="A313" s="29" t="str">
        <f>Sales_data!B311</f>
        <v>C009</v>
      </c>
      <c r="B313" s="29" t="str">
        <f>Sales_data!F311</f>
        <v>Mohit Verma</v>
      </c>
      <c r="C313" s="29" t="str">
        <f>PROPER(TRIM(Sales_data!F311))</f>
        <v>Mohit Verma</v>
      </c>
      <c r="D313" s="29" t="str">
        <f>LEFT(C313,3)&amp;RIGHT(A313,3)&amp;LEFT(Sales_data!I311,2)</f>
        <v>Moh009Ah</v>
      </c>
      <c r="E313" s="29" t="str">
        <f>IF(ISNUMBER(SEARCH("@",Sales_data!T311)),LOWER(SUBSTITUTE(Sales_data!T311," ","")),"Invalid Email")</f>
        <v>mohit.verma@company.com</v>
      </c>
    </row>
    <row r="314" spans="1:5" ht="15" customHeight="1">
      <c r="A314" s="29" t="str">
        <f>Sales_data!B312</f>
        <v>C005</v>
      </c>
      <c r="B314" s="29" t="str">
        <f>Sales_data!F312</f>
        <v>Vikas Mehta</v>
      </c>
      <c r="C314" s="29" t="str">
        <f>PROPER(TRIM(Sales_data!F312))</f>
        <v>Vikas Mehta</v>
      </c>
      <c r="D314" s="29" t="str">
        <f>LEFT(C314,3)&amp;RIGHT(A314,3)&amp;LEFT(Sales_data!I312,2)</f>
        <v>Vik005De</v>
      </c>
      <c r="E314" s="29" t="str">
        <f>IF(ISNUMBER(SEARCH("@",Sales_data!T312)),LOWER(SUBSTITUTE(Sales_data!T312," ","")),"Invalid Email")</f>
        <v>vikas.mehta@company.com</v>
      </c>
    </row>
    <row r="315" spans="1:5" ht="15" customHeight="1">
      <c r="A315" s="29" t="str">
        <f>Sales_data!B313</f>
        <v>C002</v>
      </c>
      <c r="B315" s="29" t="str">
        <f>Sales_data!F313</f>
        <v>Priya Patel</v>
      </c>
      <c r="C315" s="29" t="str">
        <f>PROPER(TRIM(Sales_data!F313))</f>
        <v>Priya Patel</v>
      </c>
      <c r="D315" s="29" t="str">
        <f>LEFT(C315,3)&amp;RIGHT(A315,3)&amp;LEFT(Sales_data!I313,2)</f>
        <v>Pri002Ko</v>
      </c>
      <c r="E315" s="29" t="str">
        <f>IF(ISNUMBER(SEARCH("@",Sales_data!T313)),LOWER(SUBSTITUTE(Sales_data!T313," ","")),"Invalid Email")</f>
        <v>priya.patel@company.com</v>
      </c>
    </row>
    <row r="316" spans="1:5" ht="15" customHeight="1">
      <c r="A316" s="29" t="str">
        <f>Sales_data!B314</f>
        <v>C010</v>
      </c>
      <c r="B316" s="29" t="str">
        <f>Sales_data!F314</f>
        <v>Pooja Shah</v>
      </c>
      <c r="C316" s="29" t="str">
        <f>PROPER(TRIM(Sales_data!F314))</f>
        <v>Pooja Shah</v>
      </c>
      <c r="D316" s="29" t="str">
        <f>LEFT(C316,3)&amp;RIGHT(A316,3)&amp;LEFT(Sales_data!I314,2)</f>
        <v>Poo010Ja</v>
      </c>
      <c r="E316" s="29" t="str">
        <f>IF(ISNUMBER(SEARCH("@",Sales_data!T314)),LOWER(SUBSTITUTE(Sales_data!T314," ","")),"Invalid Email")</f>
        <v>pooja.shah@company.com</v>
      </c>
    </row>
    <row r="317" spans="1:5" ht="15" customHeight="1">
      <c r="A317" s="29" t="str">
        <f>Sales_data!B315</f>
        <v>C009</v>
      </c>
      <c r="B317" s="29" t="str">
        <f>Sales_data!F315</f>
        <v>Mohit Verma</v>
      </c>
      <c r="C317" s="29" t="str">
        <f>PROPER(TRIM(Sales_data!F315))</f>
        <v>Mohit Verma</v>
      </c>
      <c r="D317" s="29" t="str">
        <f>LEFT(C317,3)&amp;RIGHT(A317,3)&amp;LEFT(Sales_data!I315,2)</f>
        <v>Moh009Pu</v>
      </c>
      <c r="E317" s="29" t="str">
        <f>IF(ISNUMBER(SEARCH("@",Sales_data!T315)),LOWER(SUBSTITUTE(Sales_data!T315," ","")),"Invalid Email")</f>
        <v>mohit.verma@company.com</v>
      </c>
    </row>
    <row r="318" spans="1:5" ht="15" customHeight="1">
      <c r="A318" s="29" t="str">
        <f>Sales_data!B316</f>
        <v>C002</v>
      </c>
      <c r="B318" s="29" t="str">
        <f>Sales_data!F316</f>
        <v>Priya Patel</v>
      </c>
      <c r="C318" s="29" t="str">
        <f>PROPER(TRIM(Sales_data!F316))</f>
        <v>Priya Patel</v>
      </c>
      <c r="D318" s="29" t="str">
        <f>LEFT(C318,3)&amp;RIGHT(A318,3)&amp;LEFT(Sales_data!I316,2)</f>
        <v>Pri002Be</v>
      </c>
      <c r="E318" s="29" t="str">
        <f>IF(ISNUMBER(SEARCH("@",Sales_data!T316)),LOWER(SUBSTITUTE(Sales_data!T316," ","")),"Invalid Email")</f>
        <v>priya.patel@company.com</v>
      </c>
    </row>
    <row r="319" spans="1:5" ht="15" customHeight="1">
      <c r="A319" s="29" t="str">
        <f>Sales_data!B317</f>
        <v>C007</v>
      </c>
      <c r="B319" s="29" t="str">
        <f>Sales_data!F317</f>
        <v>Arjun Rao</v>
      </c>
      <c r="C319" s="29" t="str">
        <f>PROPER(TRIM(Sales_data!F317))</f>
        <v>Arjun Rao</v>
      </c>
      <c r="D319" s="29" t="str">
        <f>LEFT(C319,3)&amp;RIGHT(A319,3)&amp;LEFT(Sales_data!I317,2)</f>
        <v>Arj007Ja</v>
      </c>
      <c r="E319" s="29" t="str">
        <f>IF(ISNUMBER(SEARCH("@",Sales_data!T317)),LOWER(SUBSTITUTE(Sales_data!T317," ","")),"Invalid Email")</f>
        <v>arjun.rao@company.com</v>
      </c>
    </row>
    <row r="320" spans="1:5" ht="15" customHeight="1">
      <c r="A320" s="29" t="str">
        <f>Sales_data!B318</f>
        <v>C007</v>
      </c>
      <c r="B320" s="29" t="str">
        <f>Sales_data!F318</f>
        <v>Arjun Rao</v>
      </c>
      <c r="C320" s="29" t="str">
        <f>PROPER(TRIM(Sales_data!F318))</f>
        <v>Arjun Rao</v>
      </c>
      <c r="D320" s="29" t="str">
        <f>LEFT(C320,3)&amp;RIGHT(A320,3)&amp;LEFT(Sales_data!I318,2)</f>
        <v>Arj007Be</v>
      </c>
      <c r="E320" s="29" t="str">
        <f>IF(ISNUMBER(SEARCH("@",Sales_data!T318)),LOWER(SUBSTITUTE(Sales_data!T318," ","")),"Invalid Email")</f>
        <v>arjun.rao@company.com</v>
      </c>
    </row>
    <row r="321" spans="1:5" ht="15" customHeight="1">
      <c r="A321" s="29" t="str">
        <f>Sales_data!B319</f>
        <v>C004</v>
      </c>
      <c r="B321" s="29" t="str">
        <f>Sales_data!F319</f>
        <v>Anita Gupta</v>
      </c>
      <c r="C321" s="29" t="str">
        <f>PROPER(TRIM(Sales_data!F319))</f>
        <v>Anita Gupta</v>
      </c>
      <c r="D321" s="29" t="str">
        <f>LEFT(C321,3)&amp;RIGHT(A321,3)&amp;LEFT(Sales_data!I319,2)</f>
        <v>Ani004De</v>
      </c>
      <c r="E321" s="29" t="str">
        <f>IF(ISNUMBER(SEARCH("@",Sales_data!T319)),LOWER(SUBSTITUTE(Sales_data!T319," ","")),"Invalid Email")</f>
        <v>anita.gupta@company.com</v>
      </c>
    </row>
    <row r="322" spans="1:5" ht="15" customHeight="1">
      <c r="A322" s="29" t="str">
        <f>Sales_data!B320</f>
        <v>C002</v>
      </c>
      <c r="B322" s="29" t="str">
        <f>Sales_data!F320</f>
        <v>Priya Patel</v>
      </c>
      <c r="C322" s="29" t="str">
        <f>PROPER(TRIM(Sales_data!F320))</f>
        <v>Priya Patel</v>
      </c>
      <c r="D322" s="29" t="str">
        <f>LEFT(C322,3)&amp;RIGHT(A322,3)&amp;LEFT(Sales_data!I320,2)</f>
        <v>Pri002Ja</v>
      </c>
      <c r="E322" s="29" t="str">
        <f>IF(ISNUMBER(SEARCH("@",Sales_data!T320)),LOWER(SUBSTITUTE(Sales_data!T320," ","")),"Invalid Email")</f>
        <v>priya.patel@company.com</v>
      </c>
    </row>
    <row r="323" spans="1:5" ht="15" customHeight="1">
      <c r="A323" s="29" t="str">
        <f>Sales_data!B321</f>
        <v>C005</v>
      </c>
      <c r="B323" s="29" t="str">
        <f>Sales_data!F321</f>
        <v>Vikas Mehta</v>
      </c>
      <c r="C323" s="29" t="str">
        <f>PROPER(TRIM(Sales_data!F321))</f>
        <v>Vikas Mehta</v>
      </c>
      <c r="D323" s="29" t="str">
        <f>LEFT(C323,3)&amp;RIGHT(A323,3)&amp;LEFT(Sales_data!I321,2)</f>
        <v>Vik005De</v>
      </c>
      <c r="E323" s="29" t="str">
        <f>IF(ISNUMBER(SEARCH("@",Sales_data!T321)),LOWER(SUBSTITUTE(Sales_data!T321," ","")),"Invalid Email")</f>
        <v>vikas.mehta@company.com</v>
      </c>
    </row>
    <row r="324" spans="1:5" ht="15" customHeight="1">
      <c r="A324" s="29" t="str">
        <f>Sales_data!B322</f>
        <v>C001</v>
      </c>
      <c r="B324" s="29" t="str">
        <f>Sales_data!F322</f>
        <v>Amit Sharma</v>
      </c>
      <c r="C324" s="29" t="str">
        <f>PROPER(TRIM(Sales_data!F322))</f>
        <v>Amit Sharma</v>
      </c>
      <c r="D324" s="29" t="str">
        <f>LEFT(C324,3)&amp;RIGHT(A324,3)&amp;LEFT(Sales_data!I322,2)</f>
        <v>Ami001Ja</v>
      </c>
      <c r="E324" s="29" t="str">
        <f>IF(ISNUMBER(SEARCH("@",Sales_data!T322)),LOWER(SUBSTITUTE(Sales_data!T322," ","")),"Invalid Email")</f>
        <v>amit.sharma@company.com</v>
      </c>
    </row>
    <row r="325" spans="1:5" ht="15" customHeight="1">
      <c r="A325" s="29" t="str">
        <f>Sales_data!B323</f>
        <v>C007</v>
      </c>
      <c r="B325" s="29" t="str">
        <f>Sales_data!F323</f>
        <v>Arjun Rao</v>
      </c>
      <c r="C325" s="29" t="str">
        <f>PROPER(TRIM(Sales_data!F323))</f>
        <v>Arjun Rao</v>
      </c>
      <c r="D325" s="29" t="str">
        <f>LEFT(C325,3)&amp;RIGHT(A325,3)&amp;LEFT(Sales_data!I323,2)</f>
        <v>Arj007Pu</v>
      </c>
      <c r="E325" s="29" t="str">
        <f>IF(ISNUMBER(SEARCH("@",Sales_data!T323)),LOWER(SUBSTITUTE(Sales_data!T323," ","")),"Invalid Email")</f>
        <v>arjun.rao@company.com</v>
      </c>
    </row>
    <row r="326" spans="1:5" ht="15" customHeight="1">
      <c r="A326" s="29" t="str">
        <f>Sales_data!B324</f>
        <v>C008</v>
      </c>
      <c r="B326" s="29" t="str">
        <f>Sales_data!F324</f>
        <v>Kavya Nair</v>
      </c>
      <c r="C326" s="29" t="str">
        <f>PROPER(TRIM(Sales_data!F324))</f>
        <v>Kavya Nair</v>
      </c>
      <c r="D326" s="29" t="str">
        <f>LEFT(C326,3)&amp;RIGHT(A326,3)&amp;LEFT(Sales_data!I324,2)</f>
        <v>Kav008Ah</v>
      </c>
      <c r="E326" s="29" t="str">
        <f>IF(ISNUMBER(SEARCH("@",Sales_data!T324)),LOWER(SUBSTITUTE(Sales_data!T324," ","")),"Invalid Email")</f>
        <v>kavya.nair@company.com</v>
      </c>
    </row>
    <row r="327" spans="1:5" ht="15" customHeight="1">
      <c r="A327" s="29" t="str">
        <f>Sales_data!B325</f>
        <v>C006</v>
      </c>
      <c r="B327" s="29" t="str">
        <f>Sales_data!F325</f>
        <v>Sneha Joshi</v>
      </c>
      <c r="C327" s="29" t="str">
        <f>PROPER(TRIM(Sales_data!F325))</f>
        <v>Sneha Joshi</v>
      </c>
      <c r="D327" s="29" t="str">
        <f>LEFT(C327,3)&amp;RIGHT(A327,3)&amp;LEFT(Sales_data!I325,2)</f>
        <v>Sne006Mu</v>
      </c>
      <c r="E327" s="29" t="str">
        <f>IF(ISNUMBER(SEARCH("@",Sales_data!T325)),LOWER(SUBSTITUTE(Sales_data!T325," ","")),"Invalid Email")</f>
        <v>sneha.joshi@company.com</v>
      </c>
    </row>
    <row r="328" spans="1:5" ht="15" customHeight="1">
      <c r="A328" s="29" t="str">
        <f>Sales_data!B326</f>
        <v>C006</v>
      </c>
      <c r="B328" s="29" t="str">
        <f>Sales_data!F326</f>
        <v>Sneha Joshi</v>
      </c>
      <c r="C328" s="29" t="str">
        <f>PROPER(TRIM(Sales_data!F326))</f>
        <v>Sneha Joshi</v>
      </c>
      <c r="D328" s="29" t="str">
        <f>LEFT(C328,3)&amp;RIGHT(A328,3)&amp;LEFT(Sales_data!I326,2)</f>
        <v>Sne006Ah</v>
      </c>
      <c r="E328" s="29" t="str">
        <f>IF(ISNUMBER(SEARCH("@",Sales_data!T326)),LOWER(SUBSTITUTE(Sales_data!T326," ","")),"Invalid Email")</f>
        <v>sneha.joshi@company.com</v>
      </c>
    </row>
    <row r="329" spans="1:5" ht="15" customHeight="1">
      <c r="A329" s="29" t="str">
        <f>Sales_data!B327</f>
        <v>C006</v>
      </c>
      <c r="B329" s="29" t="str">
        <f>Sales_data!F327</f>
        <v>Sneha Joshi</v>
      </c>
      <c r="C329" s="29" t="str">
        <f>PROPER(TRIM(Sales_data!F327))</f>
        <v>Sneha Joshi</v>
      </c>
      <c r="D329" s="29" t="str">
        <f>LEFT(C329,3)&amp;RIGHT(A329,3)&amp;LEFT(Sales_data!I327,2)</f>
        <v>Sne006Mu</v>
      </c>
      <c r="E329" s="29" t="str">
        <f>IF(ISNUMBER(SEARCH("@",Sales_data!T327)),LOWER(SUBSTITUTE(Sales_data!T327," ","")),"Invalid Email")</f>
        <v>sneha.joshi@company.com</v>
      </c>
    </row>
    <row r="330" spans="1:5" ht="15" customHeight="1">
      <c r="A330" s="29" t="str">
        <f>Sales_data!B328</f>
        <v>C007</v>
      </c>
      <c r="B330" s="29" t="str">
        <f>Sales_data!F328</f>
        <v>Arjun Rao</v>
      </c>
      <c r="C330" s="29" t="str">
        <f>PROPER(TRIM(Sales_data!F328))</f>
        <v>Arjun Rao</v>
      </c>
      <c r="D330" s="29" t="str">
        <f>LEFT(C330,3)&amp;RIGHT(A330,3)&amp;LEFT(Sales_data!I328,2)</f>
        <v>Arj007Be</v>
      </c>
      <c r="E330" s="29" t="str">
        <f>IF(ISNUMBER(SEARCH("@",Sales_data!T328)),LOWER(SUBSTITUTE(Sales_data!T328," ","")),"Invalid Email")</f>
        <v>arjun.rao@company.com</v>
      </c>
    </row>
    <row r="331" spans="1:5" ht="15" customHeight="1">
      <c r="A331" s="29" t="str">
        <f>Sales_data!B329</f>
        <v>C005</v>
      </c>
      <c r="B331" s="29" t="str">
        <f>Sales_data!F329</f>
        <v>Vikas Mehta</v>
      </c>
      <c r="C331" s="29" t="str">
        <f>PROPER(TRIM(Sales_data!F329))</f>
        <v>Vikas Mehta</v>
      </c>
      <c r="D331" s="29" t="str">
        <f>LEFT(C331,3)&amp;RIGHT(A331,3)&amp;LEFT(Sales_data!I329,2)</f>
        <v>Vik005Pu</v>
      </c>
      <c r="E331" s="29" t="str">
        <f>IF(ISNUMBER(SEARCH("@",Sales_data!T329)),LOWER(SUBSTITUTE(Sales_data!T329," ","")),"Invalid Email")</f>
        <v>vikas.mehta@company.com</v>
      </c>
    </row>
    <row r="332" spans="1:5" ht="15" customHeight="1">
      <c r="A332" s="29" t="str">
        <f>Sales_data!B330</f>
        <v>C004</v>
      </c>
      <c r="B332" s="29" t="str">
        <f>Sales_data!F330</f>
        <v>Anita Gupta</v>
      </c>
      <c r="C332" s="29" t="str">
        <f>PROPER(TRIM(Sales_data!F330))</f>
        <v>Anita Gupta</v>
      </c>
      <c r="D332" s="29" t="str">
        <f>LEFT(C332,3)&amp;RIGHT(A332,3)&amp;LEFT(Sales_data!I330,2)</f>
        <v>Ani004De</v>
      </c>
      <c r="E332" s="29" t="str">
        <f>IF(ISNUMBER(SEARCH("@",Sales_data!T330)),LOWER(SUBSTITUTE(Sales_data!T330," ","")),"Invalid Email")</f>
        <v>anita.gupta@company.com</v>
      </c>
    </row>
    <row r="333" spans="1:5" ht="15" customHeight="1">
      <c r="A333" s="29" t="str">
        <f>Sales_data!B331</f>
        <v>C003</v>
      </c>
      <c r="B333" s="29" t="str">
        <f>Sales_data!F331</f>
        <v>Rohit Singh</v>
      </c>
      <c r="C333" s="29" t="str">
        <f>PROPER(TRIM(Sales_data!F331))</f>
        <v>Rohit Singh</v>
      </c>
      <c r="D333" s="29" t="str">
        <f>LEFT(C333,3)&amp;RIGHT(A333,3)&amp;LEFT(Sales_data!I331,2)</f>
        <v>Roh003Hy</v>
      </c>
      <c r="E333" s="29" t="str">
        <f>IF(ISNUMBER(SEARCH("@",Sales_data!T331)),LOWER(SUBSTITUTE(Sales_data!T331," ","")),"Invalid Email")</f>
        <v>rohit.singh@company.com</v>
      </c>
    </row>
    <row r="334" spans="1:5" ht="15" customHeight="1">
      <c r="A334" s="29" t="str">
        <f>Sales_data!B332</f>
        <v>C010</v>
      </c>
      <c r="B334" s="29" t="str">
        <f>Sales_data!F332</f>
        <v>Pooja Shah</v>
      </c>
      <c r="C334" s="29" t="str">
        <f>PROPER(TRIM(Sales_data!F332))</f>
        <v>Pooja Shah</v>
      </c>
      <c r="D334" s="29" t="str">
        <f>LEFT(C334,3)&amp;RIGHT(A334,3)&amp;LEFT(Sales_data!I332,2)</f>
        <v>Poo010Ah</v>
      </c>
      <c r="E334" s="29" t="str">
        <f>IF(ISNUMBER(SEARCH("@",Sales_data!T332)),LOWER(SUBSTITUTE(Sales_data!T332," ","")),"Invalid Email")</f>
        <v>pooja.shah@company.com</v>
      </c>
    </row>
    <row r="335" spans="1:5" ht="15" customHeight="1">
      <c r="A335" s="29" t="str">
        <f>Sales_data!B333</f>
        <v>C001</v>
      </c>
      <c r="B335" s="29" t="str">
        <f>Sales_data!F333</f>
        <v>Amit Sharma</v>
      </c>
      <c r="C335" s="29" t="str">
        <f>PROPER(TRIM(Sales_data!F333))</f>
        <v>Amit Sharma</v>
      </c>
      <c r="D335" s="29" t="str">
        <f>LEFT(C335,3)&amp;RIGHT(A335,3)&amp;LEFT(Sales_data!I333,2)</f>
        <v>Ami001De</v>
      </c>
      <c r="E335" s="29" t="str">
        <f>IF(ISNUMBER(SEARCH("@",Sales_data!T333)),LOWER(SUBSTITUTE(Sales_data!T333," ","")),"Invalid Email")</f>
        <v>amit.sharma@company.com</v>
      </c>
    </row>
    <row r="336" spans="1:5" ht="15" customHeight="1">
      <c r="A336" s="29" t="str">
        <f>Sales_data!B334</f>
        <v>C010</v>
      </c>
      <c r="B336" s="29" t="str">
        <f>Sales_data!F334</f>
        <v>Pooja Shah</v>
      </c>
      <c r="C336" s="29" t="str">
        <f>PROPER(TRIM(Sales_data!F334))</f>
        <v>Pooja Shah</v>
      </c>
      <c r="D336" s="29" t="str">
        <f>LEFT(C336,3)&amp;RIGHT(A336,3)&amp;LEFT(Sales_data!I334,2)</f>
        <v>Poo010Be</v>
      </c>
      <c r="E336" s="29" t="str">
        <f>IF(ISNUMBER(SEARCH("@",Sales_data!T334)),LOWER(SUBSTITUTE(Sales_data!T334," ","")),"Invalid Email")</f>
        <v>pooja.shah@company.com</v>
      </c>
    </row>
    <row r="337" spans="1:5" ht="15" customHeight="1">
      <c r="A337" s="29" t="str">
        <f>Sales_data!B335</f>
        <v>C008</v>
      </c>
      <c r="B337" s="29" t="str">
        <f>Sales_data!F335</f>
        <v>Kavya Nair</v>
      </c>
      <c r="C337" s="29" t="str">
        <f>PROPER(TRIM(Sales_data!F335))</f>
        <v>Kavya Nair</v>
      </c>
      <c r="D337" s="29" t="str">
        <f>LEFT(C337,3)&amp;RIGHT(A337,3)&amp;LEFT(Sales_data!I335,2)</f>
        <v>Kav008Be</v>
      </c>
      <c r="E337" s="29" t="str">
        <f>IF(ISNUMBER(SEARCH("@",Sales_data!T335)),LOWER(SUBSTITUTE(Sales_data!T335," ","")),"Invalid Email")</f>
        <v>kavya.nair@company.com</v>
      </c>
    </row>
    <row r="338" spans="1:5" ht="15" customHeight="1">
      <c r="A338" s="29" t="str">
        <f>Sales_data!B336</f>
        <v>C008</v>
      </c>
      <c r="B338" s="29" t="str">
        <f>Sales_data!F336</f>
        <v>Kavya Nair</v>
      </c>
      <c r="C338" s="29" t="str">
        <f>PROPER(TRIM(Sales_data!F336))</f>
        <v>Kavya Nair</v>
      </c>
      <c r="D338" s="29" t="str">
        <f>LEFT(C338,3)&amp;RIGHT(A338,3)&amp;LEFT(Sales_data!I336,2)</f>
        <v>Kav008Pu</v>
      </c>
      <c r="E338" s="29" t="str">
        <f>IF(ISNUMBER(SEARCH("@",Sales_data!T336)),LOWER(SUBSTITUTE(Sales_data!T336," ","")),"Invalid Email")</f>
        <v>kavya.nair@company.com</v>
      </c>
    </row>
    <row r="339" spans="1:5" ht="15" customHeight="1">
      <c r="A339" s="29" t="str">
        <f>Sales_data!B337</f>
        <v>C002</v>
      </c>
      <c r="B339" s="29" t="str">
        <f>Sales_data!F337</f>
        <v>Priya Patel</v>
      </c>
      <c r="C339" s="29" t="str">
        <f>PROPER(TRIM(Sales_data!F337))</f>
        <v>Priya Patel</v>
      </c>
      <c r="D339" s="29" t="str">
        <f>LEFT(C339,3)&amp;RIGHT(A339,3)&amp;LEFT(Sales_data!I337,2)</f>
        <v>Pri002Ah</v>
      </c>
      <c r="E339" s="29" t="str">
        <f>IF(ISNUMBER(SEARCH("@",Sales_data!T337)),LOWER(SUBSTITUTE(Sales_data!T337," ","")),"Invalid Email")</f>
        <v>priya.patel@company.com</v>
      </c>
    </row>
    <row r="340" spans="1:5" ht="15" customHeight="1">
      <c r="A340" s="29" t="str">
        <f>Sales_data!B338</f>
        <v>C003</v>
      </c>
      <c r="B340" s="29" t="str">
        <f>Sales_data!F338</f>
        <v>Rohit Singh</v>
      </c>
      <c r="C340" s="29" t="str">
        <f>PROPER(TRIM(Sales_data!F338))</f>
        <v>Rohit Singh</v>
      </c>
      <c r="D340" s="29" t="str">
        <f>LEFT(C340,3)&amp;RIGHT(A340,3)&amp;LEFT(Sales_data!I338,2)</f>
        <v>Roh003Hy</v>
      </c>
      <c r="E340" s="29" t="str">
        <f>IF(ISNUMBER(SEARCH("@",Sales_data!T338)),LOWER(SUBSTITUTE(Sales_data!T338," ","")),"Invalid Email")</f>
        <v>rohit.singh@company.com</v>
      </c>
    </row>
    <row r="341" spans="1:5" ht="15" customHeight="1">
      <c r="A341" s="29" t="str">
        <f>Sales_data!B339</f>
        <v>C008</v>
      </c>
      <c r="B341" s="29" t="str">
        <f>Sales_data!F339</f>
        <v>Kavya Nair</v>
      </c>
      <c r="C341" s="29" t="str">
        <f>PROPER(TRIM(Sales_data!F339))</f>
        <v>Kavya Nair</v>
      </c>
      <c r="D341" s="29" t="str">
        <f>LEFT(C341,3)&amp;RIGHT(A341,3)&amp;LEFT(Sales_data!I339,2)</f>
        <v>Kav008Ja</v>
      </c>
      <c r="E341" s="29" t="str">
        <f>IF(ISNUMBER(SEARCH("@",Sales_data!T339)),LOWER(SUBSTITUTE(Sales_data!T339," ","")),"Invalid Email")</f>
        <v>kavya.nair@company.com</v>
      </c>
    </row>
    <row r="342" spans="1:5" ht="15" customHeight="1">
      <c r="A342" s="29" t="str">
        <f>Sales_data!B340</f>
        <v>C001</v>
      </c>
      <c r="B342" s="29" t="str">
        <f>Sales_data!F340</f>
        <v>Amit Sharma</v>
      </c>
      <c r="C342" s="29" t="str">
        <f>PROPER(TRIM(Sales_data!F340))</f>
        <v>Amit Sharma</v>
      </c>
      <c r="D342" s="29" t="str">
        <f>LEFT(C342,3)&amp;RIGHT(A342,3)&amp;LEFT(Sales_data!I340,2)</f>
        <v>Ami001Hy</v>
      </c>
      <c r="E342" s="29" t="str">
        <f>IF(ISNUMBER(SEARCH("@",Sales_data!T340)),LOWER(SUBSTITUTE(Sales_data!T340," ","")),"Invalid Email")</f>
        <v>amit.sharma@company.com</v>
      </c>
    </row>
    <row r="343" spans="1:5" ht="15" customHeight="1">
      <c r="A343" s="29" t="str">
        <f>Sales_data!B341</f>
        <v>C008</v>
      </c>
      <c r="B343" s="29" t="str">
        <f>Sales_data!F341</f>
        <v>Kavya Nair</v>
      </c>
      <c r="C343" s="29" t="str">
        <f>PROPER(TRIM(Sales_data!F341))</f>
        <v>Kavya Nair</v>
      </c>
      <c r="D343" s="29" t="str">
        <f>LEFT(C343,3)&amp;RIGHT(A343,3)&amp;LEFT(Sales_data!I341,2)</f>
        <v>Kav008Ko</v>
      </c>
      <c r="E343" s="29" t="str">
        <f>IF(ISNUMBER(SEARCH("@",Sales_data!T341)),LOWER(SUBSTITUTE(Sales_data!T341," ","")),"Invalid Email")</f>
        <v>kavya.nair@company.com</v>
      </c>
    </row>
    <row r="344" spans="1:5" ht="15" customHeight="1">
      <c r="A344" s="29" t="str">
        <f>Sales_data!B342</f>
        <v>C003</v>
      </c>
      <c r="B344" s="29" t="str">
        <f>Sales_data!F342</f>
        <v>Rohit Singh</v>
      </c>
      <c r="C344" s="29" t="str">
        <f>PROPER(TRIM(Sales_data!F342))</f>
        <v>Rohit Singh</v>
      </c>
      <c r="D344" s="29" t="str">
        <f>LEFT(C344,3)&amp;RIGHT(A344,3)&amp;LEFT(Sales_data!I342,2)</f>
        <v>Roh003De</v>
      </c>
      <c r="E344" s="29" t="str">
        <f>IF(ISNUMBER(SEARCH("@",Sales_data!T342)),LOWER(SUBSTITUTE(Sales_data!T342," ","")),"Invalid Email")</f>
        <v>rohit.singh@company.com</v>
      </c>
    </row>
    <row r="345" spans="1:5" ht="15" customHeight="1">
      <c r="A345" s="29" t="str">
        <f>Sales_data!B343</f>
        <v>C004</v>
      </c>
      <c r="B345" s="29" t="str">
        <f>Sales_data!F343</f>
        <v>Anita Gupta</v>
      </c>
      <c r="C345" s="29" t="str">
        <f>PROPER(TRIM(Sales_data!F343))</f>
        <v>Anita Gupta</v>
      </c>
      <c r="D345" s="29" t="str">
        <f>LEFT(C345,3)&amp;RIGHT(A345,3)&amp;LEFT(Sales_data!I343,2)</f>
        <v>Ani004De</v>
      </c>
      <c r="E345" s="29" t="str">
        <f>IF(ISNUMBER(SEARCH("@",Sales_data!T343)),LOWER(SUBSTITUTE(Sales_data!T343," ","")),"Invalid Email")</f>
        <v>anita.gupta@company.com</v>
      </c>
    </row>
    <row r="346" spans="1:5" ht="15" customHeight="1">
      <c r="A346" s="29" t="str">
        <f>Sales_data!B344</f>
        <v>C007</v>
      </c>
      <c r="B346" s="29" t="str">
        <f>Sales_data!F344</f>
        <v>Arjun Rao</v>
      </c>
      <c r="C346" s="29" t="str">
        <f>PROPER(TRIM(Sales_data!F344))</f>
        <v>Arjun Rao</v>
      </c>
      <c r="D346" s="29" t="str">
        <f>LEFT(C346,3)&amp;RIGHT(A346,3)&amp;LEFT(Sales_data!I344,2)</f>
        <v>Arj007De</v>
      </c>
      <c r="E346" s="29" t="str">
        <f>IF(ISNUMBER(SEARCH("@",Sales_data!T344)),LOWER(SUBSTITUTE(Sales_data!T344," ","")),"Invalid Email")</f>
        <v>arjun.rao@company.com</v>
      </c>
    </row>
    <row r="347" spans="1:5" ht="15" customHeight="1">
      <c r="A347" s="29" t="str">
        <f>Sales_data!B345</f>
        <v>C001</v>
      </c>
      <c r="B347" s="29" t="str">
        <f>Sales_data!F345</f>
        <v>Amit Sharma</v>
      </c>
      <c r="C347" s="29" t="str">
        <f>PROPER(TRIM(Sales_data!F345))</f>
        <v>Amit Sharma</v>
      </c>
      <c r="D347" s="29" t="str">
        <f>LEFT(C347,3)&amp;RIGHT(A347,3)&amp;LEFT(Sales_data!I345,2)</f>
        <v>Ami001De</v>
      </c>
      <c r="E347" s="29" t="str">
        <f>IF(ISNUMBER(SEARCH("@",Sales_data!T345)),LOWER(SUBSTITUTE(Sales_data!T345," ","")),"Invalid Email")</f>
        <v>amit.sharma@company.com</v>
      </c>
    </row>
    <row r="348" spans="1:5" ht="15" customHeight="1">
      <c r="A348" s="29" t="str">
        <f>Sales_data!B346</f>
        <v>C003</v>
      </c>
      <c r="B348" s="29" t="str">
        <f>Sales_data!F346</f>
        <v>Rohit Singh</v>
      </c>
      <c r="C348" s="29" t="str">
        <f>PROPER(TRIM(Sales_data!F346))</f>
        <v>Rohit Singh</v>
      </c>
      <c r="D348" s="29" t="str">
        <f>LEFT(C348,3)&amp;RIGHT(A348,3)&amp;LEFT(Sales_data!I346,2)</f>
        <v>Roh003Be</v>
      </c>
      <c r="E348" s="29" t="str">
        <f>IF(ISNUMBER(SEARCH("@",Sales_data!T346)),LOWER(SUBSTITUTE(Sales_data!T346," ","")),"Invalid Email")</f>
        <v>rohit.singh@company.com</v>
      </c>
    </row>
    <row r="349" spans="1:5" ht="15" customHeight="1">
      <c r="A349" s="29" t="str">
        <f>Sales_data!B347</f>
        <v>C010</v>
      </c>
      <c r="B349" s="29" t="str">
        <f>Sales_data!F347</f>
        <v>Pooja Shah</v>
      </c>
      <c r="C349" s="29" t="str">
        <f>PROPER(TRIM(Sales_data!F347))</f>
        <v>Pooja Shah</v>
      </c>
      <c r="D349" s="29" t="str">
        <f>LEFT(C349,3)&amp;RIGHT(A349,3)&amp;LEFT(Sales_data!I347,2)</f>
        <v>Poo010Ah</v>
      </c>
      <c r="E349" s="29" t="str">
        <f>IF(ISNUMBER(SEARCH("@",Sales_data!T347)),LOWER(SUBSTITUTE(Sales_data!T347," ","")),"Invalid Email")</f>
        <v>pooja.shah@company.com</v>
      </c>
    </row>
    <row r="350" spans="1:5" ht="15" customHeight="1">
      <c r="A350" s="29" t="str">
        <f>Sales_data!B348</f>
        <v>C008</v>
      </c>
      <c r="B350" s="29" t="str">
        <f>Sales_data!F348</f>
        <v>Kavya Nair</v>
      </c>
      <c r="C350" s="29" t="str">
        <f>PROPER(TRIM(Sales_data!F348))</f>
        <v>Kavya Nair</v>
      </c>
      <c r="D350" s="29" t="str">
        <f>LEFT(C350,3)&amp;RIGHT(A350,3)&amp;LEFT(Sales_data!I348,2)</f>
        <v>Kav008Ah</v>
      </c>
      <c r="E350" s="29" t="str">
        <f>IF(ISNUMBER(SEARCH("@",Sales_data!T348)),LOWER(SUBSTITUTE(Sales_data!T348," ","")),"Invalid Email")</f>
        <v>kavya.nair@company.com</v>
      </c>
    </row>
    <row r="351" spans="1:5" ht="15" customHeight="1">
      <c r="A351" s="29" t="str">
        <f>Sales_data!B349</f>
        <v>C006</v>
      </c>
      <c r="B351" s="29" t="str">
        <f>Sales_data!F349</f>
        <v>Sneha Joshi</v>
      </c>
      <c r="C351" s="29" t="str">
        <f>PROPER(TRIM(Sales_data!F349))</f>
        <v>Sneha Joshi</v>
      </c>
      <c r="D351" s="29" t="str">
        <f>LEFT(C351,3)&amp;RIGHT(A351,3)&amp;LEFT(Sales_data!I349,2)</f>
        <v>Sne006De</v>
      </c>
      <c r="E351" s="29" t="str">
        <f>IF(ISNUMBER(SEARCH("@",Sales_data!T349)),LOWER(SUBSTITUTE(Sales_data!T349," ","")),"Invalid Email")</f>
        <v>sneha.joshi@company.com</v>
      </c>
    </row>
    <row r="352" spans="1:5" ht="15" customHeight="1">
      <c r="A352" s="29" t="str">
        <f>Sales_data!B350</f>
        <v>C010</v>
      </c>
      <c r="B352" s="29" t="str">
        <f>Sales_data!F350</f>
        <v>Pooja Shah</v>
      </c>
      <c r="C352" s="29" t="str">
        <f>PROPER(TRIM(Sales_data!F350))</f>
        <v>Pooja Shah</v>
      </c>
      <c r="D352" s="29" t="str">
        <f>LEFT(C352,3)&amp;RIGHT(A352,3)&amp;LEFT(Sales_data!I350,2)</f>
        <v>Poo010Ko</v>
      </c>
      <c r="E352" s="29" t="str">
        <f>IF(ISNUMBER(SEARCH("@",Sales_data!T350)),LOWER(SUBSTITUTE(Sales_data!T350," ","")),"Invalid Email")</f>
        <v>pooja.shah@company.com</v>
      </c>
    </row>
    <row r="353" spans="1:5" ht="15" customHeight="1">
      <c r="A353" s="29" t="str">
        <f>Sales_data!B351</f>
        <v>C010</v>
      </c>
      <c r="B353" s="29" t="str">
        <f>Sales_data!F351</f>
        <v>Pooja Shah</v>
      </c>
      <c r="C353" s="29" t="str">
        <f>PROPER(TRIM(Sales_data!F351))</f>
        <v>Pooja Shah</v>
      </c>
      <c r="D353" s="29" t="str">
        <f>LEFT(C353,3)&amp;RIGHT(A353,3)&amp;LEFT(Sales_data!I351,2)</f>
        <v>Poo010Ja</v>
      </c>
      <c r="E353" s="29" t="str">
        <f>IF(ISNUMBER(SEARCH("@",Sales_data!T351)),LOWER(SUBSTITUTE(Sales_data!T351," ","")),"Invalid Email")</f>
        <v>pooja.shah@company.com</v>
      </c>
    </row>
    <row r="354" spans="1:5" ht="15" customHeight="1">
      <c r="A354" s="29" t="str">
        <f>Sales_data!B352</f>
        <v>C007</v>
      </c>
      <c r="B354" s="29" t="str">
        <f>Sales_data!F352</f>
        <v>Arjun Rao</v>
      </c>
      <c r="C354" s="29" t="str">
        <f>PROPER(TRIM(Sales_data!F352))</f>
        <v>Arjun Rao</v>
      </c>
      <c r="D354" s="29" t="str">
        <f>LEFT(C354,3)&amp;RIGHT(A354,3)&amp;LEFT(Sales_data!I352,2)</f>
        <v>Arj007Mu</v>
      </c>
      <c r="E354" s="29" t="str">
        <f>IF(ISNUMBER(SEARCH("@",Sales_data!T352)),LOWER(SUBSTITUTE(Sales_data!T352," ","")),"Invalid Email")</f>
        <v>arjun.rao@company.com</v>
      </c>
    </row>
    <row r="355" spans="1:5" ht="15" customHeight="1">
      <c r="A355" s="29" t="str">
        <f>Sales_data!B353</f>
        <v>C003</v>
      </c>
      <c r="B355" s="29" t="str">
        <f>Sales_data!F353</f>
        <v>Rohit Singh</v>
      </c>
      <c r="C355" s="29" t="str">
        <f>PROPER(TRIM(Sales_data!F353))</f>
        <v>Rohit Singh</v>
      </c>
      <c r="D355" s="29" t="str">
        <f>LEFT(C355,3)&amp;RIGHT(A355,3)&amp;LEFT(Sales_data!I353,2)</f>
        <v>Roh003Ah</v>
      </c>
      <c r="E355" s="29" t="str">
        <f>IF(ISNUMBER(SEARCH("@",Sales_data!T353)),LOWER(SUBSTITUTE(Sales_data!T353," ","")),"Invalid Email")</f>
        <v>rohit.singh@company.com</v>
      </c>
    </row>
    <row r="356" spans="1:5" ht="15" customHeight="1">
      <c r="A356" s="29" t="str">
        <f>Sales_data!B354</f>
        <v>C007</v>
      </c>
      <c r="B356" s="29" t="str">
        <f>Sales_data!F354</f>
        <v>Arjun Rao</v>
      </c>
      <c r="C356" s="29" t="str">
        <f>PROPER(TRIM(Sales_data!F354))</f>
        <v>Arjun Rao</v>
      </c>
      <c r="D356" s="29" t="str">
        <f>LEFT(C356,3)&amp;RIGHT(A356,3)&amp;LEFT(Sales_data!I354,2)</f>
        <v>Arj007Ah</v>
      </c>
      <c r="E356" s="29" t="str">
        <f>IF(ISNUMBER(SEARCH("@",Sales_data!T354)),LOWER(SUBSTITUTE(Sales_data!T354," ","")),"Invalid Email")</f>
        <v>arjun.rao@company.com</v>
      </c>
    </row>
    <row r="357" spans="1:5" ht="15" customHeight="1">
      <c r="A357" s="29" t="str">
        <f>Sales_data!B355</f>
        <v>C006</v>
      </c>
      <c r="B357" s="29" t="str">
        <f>Sales_data!F355</f>
        <v>Sneha Joshi</v>
      </c>
      <c r="C357" s="29" t="str">
        <f>PROPER(TRIM(Sales_data!F355))</f>
        <v>Sneha Joshi</v>
      </c>
      <c r="D357" s="29" t="str">
        <f>LEFT(C357,3)&amp;RIGHT(A357,3)&amp;LEFT(Sales_data!I355,2)</f>
        <v>Sne006Mu</v>
      </c>
      <c r="E357" s="29" t="str">
        <f>IF(ISNUMBER(SEARCH("@",Sales_data!T355)),LOWER(SUBSTITUTE(Sales_data!T355," ","")),"Invalid Email")</f>
        <v>sneha.joshi@company.com</v>
      </c>
    </row>
    <row r="358" spans="1:5" ht="15" customHeight="1">
      <c r="A358" s="29" t="str">
        <f>Sales_data!B356</f>
        <v>C004</v>
      </c>
      <c r="B358" s="29" t="str">
        <f>Sales_data!F356</f>
        <v>Anita Gupta</v>
      </c>
      <c r="C358" s="29" t="str">
        <f>PROPER(TRIM(Sales_data!F356))</f>
        <v>Anita Gupta</v>
      </c>
      <c r="D358" s="29" t="str">
        <f>LEFT(C358,3)&amp;RIGHT(A358,3)&amp;LEFT(Sales_data!I356,2)</f>
        <v>Ani004Mu</v>
      </c>
      <c r="E358" s="29" t="str">
        <f>IF(ISNUMBER(SEARCH("@",Sales_data!T356)),LOWER(SUBSTITUTE(Sales_data!T356," ","")),"Invalid Email")</f>
        <v>anita.gupta@company.com</v>
      </c>
    </row>
    <row r="359" spans="1:5" ht="15" customHeight="1">
      <c r="A359" s="29" t="str">
        <f>Sales_data!B357</f>
        <v>C008</v>
      </c>
      <c r="B359" s="29" t="str">
        <f>Sales_data!F357</f>
        <v>Kavya Nair</v>
      </c>
      <c r="C359" s="29" t="str">
        <f>PROPER(TRIM(Sales_data!F357))</f>
        <v>Kavya Nair</v>
      </c>
      <c r="D359" s="29" t="str">
        <f>LEFT(C359,3)&amp;RIGHT(A359,3)&amp;LEFT(Sales_data!I357,2)</f>
        <v>Kav008Ja</v>
      </c>
      <c r="E359" s="29" t="str">
        <f>IF(ISNUMBER(SEARCH("@",Sales_data!T357)),LOWER(SUBSTITUTE(Sales_data!T357," ","")),"Invalid Email")</f>
        <v>kavya.nair@company.com</v>
      </c>
    </row>
    <row r="360" spans="1:5" ht="15" customHeight="1">
      <c r="A360" s="29" t="str">
        <f>Sales_data!B358</f>
        <v>C006</v>
      </c>
      <c r="B360" s="29" t="str">
        <f>Sales_data!F358</f>
        <v>Sneha Joshi</v>
      </c>
      <c r="C360" s="29" t="str">
        <f>PROPER(TRIM(Sales_data!F358))</f>
        <v>Sneha Joshi</v>
      </c>
      <c r="D360" s="29" t="str">
        <f>LEFT(C360,3)&amp;RIGHT(A360,3)&amp;LEFT(Sales_data!I358,2)</f>
        <v>Sne006Mu</v>
      </c>
      <c r="E360" s="29" t="str">
        <f>IF(ISNUMBER(SEARCH("@",Sales_data!T358)),LOWER(SUBSTITUTE(Sales_data!T358," ","")),"Invalid Email")</f>
        <v>sneha.joshi@company.com</v>
      </c>
    </row>
    <row r="361" spans="1:5" ht="15" customHeight="1">
      <c r="A361" s="29" t="str">
        <f>Sales_data!B359</f>
        <v>C009</v>
      </c>
      <c r="B361" s="29" t="str">
        <f>Sales_data!F359</f>
        <v>Mohit Verma</v>
      </c>
      <c r="C361" s="29" t="str">
        <f>PROPER(TRIM(Sales_data!F359))</f>
        <v>Mohit Verma</v>
      </c>
      <c r="D361" s="29" t="str">
        <f>LEFT(C361,3)&amp;RIGHT(A361,3)&amp;LEFT(Sales_data!I359,2)</f>
        <v>Moh009Ja</v>
      </c>
      <c r="E361" s="29" t="str">
        <f>IF(ISNUMBER(SEARCH("@",Sales_data!T359)),LOWER(SUBSTITUTE(Sales_data!T359," ","")),"Invalid Email")</f>
        <v>mohit.verma@company.com</v>
      </c>
    </row>
    <row r="362" spans="1:5" ht="15" customHeight="1">
      <c r="A362" s="29" t="str">
        <f>Sales_data!B360</f>
        <v>C006</v>
      </c>
      <c r="B362" s="29" t="str">
        <f>Sales_data!F360</f>
        <v>Sneha Joshi</v>
      </c>
      <c r="C362" s="29" t="str">
        <f>PROPER(TRIM(Sales_data!F360))</f>
        <v>Sneha Joshi</v>
      </c>
      <c r="D362" s="29" t="str">
        <f>LEFT(C362,3)&amp;RIGHT(A362,3)&amp;LEFT(Sales_data!I360,2)</f>
        <v>Sne006Pu</v>
      </c>
      <c r="E362" s="29" t="str">
        <f>IF(ISNUMBER(SEARCH("@",Sales_data!T360)),LOWER(SUBSTITUTE(Sales_data!T360," ","")),"Invalid Email")</f>
        <v>sneha.joshi@company.com</v>
      </c>
    </row>
    <row r="363" spans="1:5" ht="15" customHeight="1">
      <c r="A363" s="29" t="str">
        <f>Sales_data!B361</f>
        <v>C003</v>
      </c>
      <c r="B363" s="29" t="str">
        <f>Sales_data!F361</f>
        <v>Rohit Singh</v>
      </c>
      <c r="C363" s="29" t="str">
        <f>PROPER(TRIM(Sales_data!F361))</f>
        <v>Rohit Singh</v>
      </c>
      <c r="D363" s="29" t="str">
        <f>LEFT(C363,3)&amp;RIGHT(A363,3)&amp;LEFT(Sales_data!I361,2)</f>
        <v>Roh003Ja</v>
      </c>
      <c r="E363" s="29" t="str">
        <f>IF(ISNUMBER(SEARCH("@",Sales_data!T361)),LOWER(SUBSTITUTE(Sales_data!T361," ","")),"Invalid Email")</f>
        <v>rohit.singh@company.com</v>
      </c>
    </row>
    <row r="364" spans="1:5" ht="15" customHeight="1">
      <c r="A364" s="29" t="str">
        <f>Sales_data!B362</f>
        <v>C003</v>
      </c>
      <c r="B364" s="29" t="str">
        <f>Sales_data!F362</f>
        <v>Rohit Singh</v>
      </c>
      <c r="C364" s="29" t="str">
        <f>PROPER(TRIM(Sales_data!F362))</f>
        <v>Rohit Singh</v>
      </c>
      <c r="D364" s="29" t="str">
        <f>LEFT(C364,3)&amp;RIGHT(A364,3)&amp;LEFT(Sales_data!I362,2)</f>
        <v>Roh003Mu</v>
      </c>
      <c r="E364" s="29" t="str">
        <f>IF(ISNUMBER(SEARCH("@",Sales_data!T362)),LOWER(SUBSTITUTE(Sales_data!T362," ","")),"Invalid Email")</f>
        <v>rohit.singh@company.com</v>
      </c>
    </row>
    <row r="365" spans="1:5" ht="15" customHeight="1">
      <c r="A365" s="29" t="str">
        <f>Sales_data!B363</f>
        <v>C009</v>
      </c>
      <c r="B365" s="29" t="str">
        <f>Sales_data!F363</f>
        <v>Mohit Verma</v>
      </c>
      <c r="C365" s="29" t="str">
        <f>PROPER(TRIM(Sales_data!F363))</f>
        <v>Mohit Verma</v>
      </c>
      <c r="D365" s="29" t="str">
        <f>LEFT(C365,3)&amp;RIGHT(A365,3)&amp;LEFT(Sales_data!I363,2)</f>
        <v>Moh009Mu</v>
      </c>
      <c r="E365" s="29" t="str">
        <f>IF(ISNUMBER(SEARCH("@",Sales_data!T363)),LOWER(SUBSTITUTE(Sales_data!T363," ","")),"Invalid Email")</f>
        <v>mohit.verma@company.com</v>
      </c>
    </row>
    <row r="366" spans="1:5" ht="15" customHeight="1">
      <c r="A366" s="29" t="str">
        <f>Sales_data!B364</f>
        <v>C009</v>
      </c>
      <c r="B366" s="29" t="str">
        <f>Sales_data!F364</f>
        <v>Mohit Verma</v>
      </c>
      <c r="C366" s="29" t="str">
        <f>PROPER(TRIM(Sales_data!F364))</f>
        <v>Mohit Verma</v>
      </c>
      <c r="D366" s="29" t="str">
        <f>LEFT(C366,3)&amp;RIGHT(A366,3)&amp;LEFT(Sales_data!I364,2)</f>
        <v>Moh009Hy</v>
      </c>
      <c r="E366" s="29" t="str">
        <f>IF(ISNUMBER(SEARCH("@",Sales_data!T364)),LOWER(SUBSTITUTE(Sales_data!T364," ","")),"Invalid Email")</f>
        <v>mohit.verma@company.com</v>
      </c>
    </row>
    <row r="367" spans="1:5" ht="15" customHeight="1">
      <c r="A367" s="29" t="str">
        <f>Sales_data!B365</f>
        <v>C010</v>
      </c>
      <c r="B367" s="29" t="str">
        <f>Sales_data!F365</f>
        <v>Pooja Shah</v>
      </c>
      <c r="C367" s="29" t="str">
        <f>PROPER(TRIM(Sales_data!F365))</f>
        <v>Pooja Shah</v>
      </c>
      <c r="D367" s="29" t="str">
        <f>LEFT(C367,3)&amp;RIGHT(A367,3)&amp;LEFT(Sales_data!I365,2)</f>
        <v>Poo010Be</v>
      </c>
      <c r="E367" s="29" t="str">
        <f>IF(ISNUMBER(SEARCH("@",Sales_data!T365)),LOWER(SUBSTITUTE(Sales_data!T365," ","")),"Invalid Email")</f>
        <v>pooja.shah@company.com</v>
      </c>
    </row>
    <row r="368" spans="1:5" ht="15" customHeight="1">
      <c r="A368" s="29" t="str">
        <f>Sales_data!B366</f>
        <v>C002</v>
      </c>
      <c r="B368" s="29" t="str">
        <f>Sales_data!F366</f>
        <v>Priya Patel</v>
      </c>
      <c r="C368" s="29" t="str">
        <f>PROPER(TRIM(Sales_data!F366))</f>
        <v>Priya Patel</v>
      </c>
      <c r="D368" s="29" t="str">
        <f>LEFT(C368,3)&amp;RIGHT(A368,3)&amp;LEFT(Sales_data!I366,2)</f>
        <v>Pri002Hy</v>
      </c>
      <c r="E368" s="29" t="str">
        <f>IF(ISNUMBER(SEARCH("@",Sales_data!T366)),LOWER(SUBSTITUTE(Sales_data!T366," ","")),"Invalid Email")</f>
        <v>priya.patel@company.com</v>
      </c>
    </row>
    <row r="369" spans="1:5" ht="15" customHeight="1">
      <c r="A369" s="29" t="str">
        <f>Sales_data!B367</f>
        <v>C010</v>
      </c>
      <c r="B369" s="29" t="str">
        <f>Sales_data!F367</f>
        <v>Pooja Shah</v>
      </c>
      <c r="C369" s="29" t="str">
        <f>PROPER(TRIM(Sales_data!F367))</f>
        <v>Pooja Shah</v>
      </c>
      <c r="D369" s="29" t="str">
        <f>LEFT(C369,3)&amp;RIGHT(A369,3)&amp;LEFT(Sales_data!I367,2)</f>
        <v>Poo010Hy</v>
      </c>
      <c r="E369" s="29" t="str">
        <f>IF(ISNUMBER(SEARCH("@",Sales_data!T367)),LOWER(SUBSTITUTE(Sales_data!T367," ","")),"Invalid Email")</f>
        <v>pooja.shah@company.com</v>
      </c>
    </row>
    <row r="370" spans="1:5" ht="15" customHeight="1">
      <c r="A370" s="29" t="str">
        <f>Sales_data!B368</f>
        <v>C002</v>
      </c>
      <c r="B370" s="29" t="str">
        <f>Sales_data!F368</f>
        <v>Priya Patel</v>
      </c>
      <c r="C370" s="29" t="str">
        <f>PROPER(TRIM(Sales_data!F368))</f>
        <v>Priya Patel</v>
      </c>
      <c r="D370" s="29" t="str">
        <f>LEFT(C370,3)&amp;RIGHT(A370,3)&amp;LEFT(Sales_data!I368,2)</f>
        <v>Pri002Ja</v>
      </c>
      <c r="E370" s="29" t="str">
        <f>IF(ISNUMBER(SEARCH("@",Sales_data!T368)),LOWER(SUBSTITUTE(Sales_data!T368," ","")),"Invalid Email")</f>
        <v>priya.patel@company.com</v>
      </c>
    </row>
    <row r="371" spans="1:5" ht="15" customHeight="1">
      <c r="A371" s="29" t="str">
        <f>Sales_data!B369</f>
        <v>C008</v>
      </c>
      <c r="B371" s="29" t="str">
        <f>Sales_data!F369</f>
        <v>Kavya Nair</v>
      </c>
      <c r="C371" s="29" t="str">
        <f>PROPER(TRIM(Sales_data!F369))</f>
        <v>Kavya Nair</v>
      </c>
      <c r="D371" s="29" t="str">
        <f>LEFT(C371,3)&amp;RIGHT(A371,3)&amp;LEFT(Sales_data!I369,2)</f>
        <v>Kav008Ja</v>
      </c>
      <c r="E371" s="29" t="str">
        <f>IF(ISNUMBER(SEARCH("@",Sales_data!T369)),LOWER(SUBSTITUTE(Sales_data!T369," ","")),"Invalid Email")</f>
        <v>kavya.nair@company.com</v>
      </c>
    </row>
    <row r="372" spans="1:5" ht="15" customHeight="1">
      <c r="A372" s="29" t="str">
        <f>Sales_data!B370</f>
        <v>C010</v>
      </c>
      <c r="B372" s="29" t="str">
        <f>Sales_data!F370</f>
        <v>Pooja Shah</v>
      </c>
      <c r="C372" s="29" t="str">
        <f>PROPER(TRIM(Sales_data!F370))</f>
        <v>Pooja Shah</v>
      </c>
      <c r="D372" s="29" t="str">
        <f>LEFT(C372,3)&amp;RIGHT(A372,3)&amp;LEFT(Sales_data!I370,2)</f>
        <v>Poo010Hy</v>
      </c>
      <c r="E372" s="29" t="str">
        <f>IF(ISNUMBER(SEARCH("@",Sales_data!T370)),LOWER(SUBSTITUTE(Sales_data!T370," ","")),"Invalid Email")</f>
        <v>pooja.shah@company.com</v>
      </c>
    </row>
    <row r="373" spans="1:5" ht="15" customHeight="1">
      <c r="A373" s="29" t="str">
        <f>Sales_data!B371</f>
        <v>C001</v>
      </c>
      <c r="B373" s="29" t="str">
        <f>Sales_data!F371</f>
        <v>Amit Sharma</v>
      </c>
      <c r="C373" s="29" t="str">
        <f>PROPER(TRIM(Sales_data!F371))</f>
        <v>Amit Sharma</v>
      </c>
      <c r="D373" s="29" t="str">
        <f>LEFT(C373,3)&amp;RIGHT(A373,3)&amp;LEFT(Sales_data!I371,2)</f>
        <v>Ami001De</v>
      </c>
      <c r="E373" s="29" t="str">
        <f>IF(ISNUMBER(SEARCH("@",Sales_data!T371)),LOWER(SUBSTITUTE(Sales_data!T371," ","")),"Invalid Email")</f>
        <v>amit.sharma@company.com</v>
      </c>
    </row>
    <row r="374" spans="1:5" ht="15" customHeight="1">
      <c r="A374" s="29" t="str">
        <f>Sales_data!B372</f>
        <v>C009</v>
      </c>
      <c r="B374" s="29" t="str">
        <f>Sales_data!F372</f>
        <v>Mohit Verma</v>
      </c>
      <c r="C374" s="29" t="str">
        <f>PROPER(TRIM(Sales_data!F372))</f>
        <v>Mohit Verma</v>
      </c>
      <c r="D374" s="29" t="str">
        <f>LEFT(C374,3)&amp;RIGHT(A374,3)&amp;LEFT(Sales_data!I372,2)</f>
        <v>Moh009Be</v>
      </c>
      <c r="E374" s="29" t="str">
        <f>IF(ISNUMBER(SEARCH("@",Sales_data!T372)),LOWER(SUBSTITUTE(Sales_data!T372," ","")),"Invalid Email")</f>
        <v>mohit.verma@company.com</v>
      </c>
    </row>
    <row r="375" spans="1:5" ht="15" customHeight="1">
      <c r="A375" s="29" t="str">
        <f>Sales_data!B373</f>
        <v>C006</v>
      </c>
      <c r="B375" s="29" t="str">
        <f>Sales_data!F373</f>
        <v>Sneha Joshi</v>
      </c>
      <c r="C375" s="29" t="str">
        <f>PROPER(TRIM(Sales_data!F373))</f>
        <v>Sneha Joshi</v>
      </c>
      <c r="D375" s="29" t="str">
        <f>LEFT(C375,3)&amp;RIGHT(A375,3)&amp;LEFT(Sales_data!I373,2)</f>
        <v>Sne006Ja</v>
      </c>
      <c r="E375" s="29" t="str">
        <f>IF(ISNUMBER(SEARCH("@",Sales_data!T373)),LOWER(SUBSTITUTE(Sales_data!T373," ","")),"Invalid Email")</f>
        <v>sneha.joshi@company.com</v>
      </c>
    </row>
    <row r="376" spans="1:5" ht="15" customHeight="1">
      <c r="A376" s="29" t="str">
        <f>Sales_data!B374</f>
        <v>C004</v>
      </c>
      <c r="B376" s="29" t="str">
        <f>Sales_data!F374</f>
        <v>Anita Gupta</v>
      </c>
      <c r="C376" s="29" t="str">
        <f>PROPER(TRIM(Sales_data!F374))</f>
        <v>Anita Gupta</v>
      </c>
      <c r="D376" s="29" t="str">
        <f>LEFT(C376,3)&amp;RIGHT(A376,3)&amp;LEFT(Sales_data!I374,2)</f>
        <v>Ani004Be</v>
      </c>
      <c r="E376" s="29" t="str">
        <f>IF(ISNUMBER(SEARCH("@",Sales_data!T374)),LOWER(SUBSTITUTE(Sales_data!T374," ","")),"Invalid Email")</f>
        <v>anita.gupta@company.com</v>
      </c>
    </row>
    <row r="377" spans="1:5" ht="15" customHeight="1">
      <c r="A377" s="29" t="str">
        <f>Sales_data!B375</f>
        <v>C007</v>
      </c>
      <c r="B377" s="29" t="str">
        <f>Sales_data!F375</f>
        <v>Arjun Rao</v>
      </c>
      <c r="C377" s="29" t="str">
        <f>PROPER(TRIM(Sales_data!F375))</f>
        <v>Arjun Rao</v>
      </c>
      <c r="D377" s="29" t="str">
        <f>LEFT(C377,3)&amp;RIGHT(A377,3)&amp;LEFT(Sales_data!I375,2)</f>
        <v>Arj007Hy</v>
      </c>
      <c r="E377" s="29" t="str">
        <f>IF(ISNUMBER(SEARCH("@",Sales_data!T375)),LOWER(SUBSTITUTE(Sales_data!T375," ","")),"Invalid Email")</f>
        <v>arjun.rao@company.com</v>
      </c>
    </row>
    <row r="378" spans="1:5" ht="15" customHeight="1">
      <c r="A378" s="29" t="str">
        <f>Sales_data!B376</f>
        <v>C005</v>
      </c>
      <c r="B378" s="29" t="str">
        <f>Sales_data!F376</f>
        <v>Vikas Mehta</v>
      </c>
      <c r="C378" s="29" t="str">
        <f>PROPER(TRIM(Sales_data!F376))</f>
        <v>Vikas Mehta</v>
      </c>
      <c r="D378" s="29" t="str">
        <f>LEFT(C378,3)&amp;RIGHT(A378,3)&amp;LEFT(Sales_data!I376,2)</f>
        <v>Vik005Ko</v>
      </c>
      <c r="E378" s="29" t="str">
        <f>IF(ISNUMBER(SEARCH("@",Sales_data!T376)),LOWER(SUBSTITUTE(Sales_data!T376," ","")),"Invalid Email")</f>
        <v>vikas.mehta@company.com</v>
      </c>
    </row>
    <row r="379" spans="1:5" ht="15" customHeight="1">
      <c r="A379" s="29" t="str">
        <f>Sales_data!B377</f>
        <v>C008</v>
      </c>
      <c r="B379" s="29" t="str">
        <f>Sales_data!F377</f>
        <v>Kavya Nair</v>
      </c>
      <c r="C379" s="29" t="str">
        <f>PROPER(TRIM(Sales_data!F377))</f>
        <v>Kavya Nair</v>
      </c>
      <c r="D379" s="29" t="str">
        <f>LEFT(C379,3)&amp;RIGHT(A379,3)&amp;LEFT(Sales_data!I377,2)</f>
        <v>Kav008Mu</v>
      </c>
      <c r="E379" s="29" t="str">
        <f>IF(ISNUMBER(SEARCH("@",Sales_data!T377)),LOWER(SUBSTITUTE(Sales_data!T377," ","")),"Invalid Email")</f>
        <v>kavya.nair@company.com</v>
      </c>
    </row>
    <row r="380" spans="1:5" ht="15" customHeight="1">
      <c r="A380" s="29" t="str">
        <f>Sales_data!B378</f>
        <v>C009</v>
      </c>
      <c r="B380" s="29" t="str">
        <f>Sales_data!F378</f>
        <v>Mohit Verma</v>
      </c>
      <c r="C380" s="29" t="str">
        <f>PROPER(TRIM(Sales_data!F378))</f>
        <v>Mohit Verma</v>
      </c>
      <c r="D380" s="29" t="str">
        <f>LEFT(C380,3)&amp;RIGHT(A380,3)&amp;LEFT(Sales_data!I378,2)</f>
        <v>Moh009Pu</v>
      </c>
      <c r="E380" s="29" t="str">
        <f>IF(ISNUMBER(SEARCH("@",Sales_data!T378)),LOWER(SUBSTITUTE(Sales_data!T378," ","")),"Invalid Email")</f>
        <v>mohit.verma@company.com</v>
      </c>
    </row>
    <row r="381" spans="1:5" ht="15" customHeight="1">
      <c r="A381" s="29" t="str">
        <f>Sales_data!B379</f>
        <v>C007</v>
      </c>
      <c r="B381" s="29" t="str">
        <f>Sales_data!F379</f>
        <v>Arjun Rao</v>
      </c>
      <c r="C381" s="29" t="str">
        <f>PROPER(TRIM(Sales_data!F379))</f>
        <v>Arjun Rao</v>
      </c>
      <c r="D381" s="29" t="str">
        <f>LEFT(C381,3)&amp;RIGHT(A381,3)&amp;LEFT(Sales_data!I379,2)</f>
        <v>Arj007Ko</v>
      </c>
      <c r="E381" s="29" t="str">
        <f>IF(ISNUMBER(SEARCH("@",Sales_data!T379)),LOWER(SUBSTITUTE(Sales_data!T379," ","")),"Invalid Email")</f>
        <v>arjun.rao@company.com</v>
      </c>
    </row>
    <row r="382" spans="1:5" ht="15" customHeight="1">
      <c r="A382" s="29" t="str">
        <f>Sales_data!B380</f>
        <v>C007</v>
      </c>
      <c r="B382" s="29" t="str">
        <f>Sales_data!F380</f>
        <v>Arjun Rao</v>
      </c>
      <c r="C382" s="29" t="str">
        <f>PROPER(TRIM(Sales_data!F380))</f>
        <v>Arjun Rao</v>
      </c>
      <c r="D382" s="29" t="str">
        <f>LEFT(C382,3)&amp;RIGHT(A382,3)&amp;LEFT(Sales_data!I380,2)</f>
        <v>Arj007Ja</v>
      </c>
      <c r="E382" s="29" t="str">
        <f>IF(ISNUMBER(SEARCH("@",Sales_data!T380)),LOWER(SUBSTITUTE(Sales_data!T380," ","")),"Invalid Email")</f>
        <v>arjun.rao@company.com</v>
      </c>
    </row>
    <row r="383" spans="1:5" ht="15" customHeight="1">
      <c r="A383" s="29" t="str">
        <f>Sales_data!B381</f>
        <v>C006</v>
      </c>
      <c r="B383" s="29" t="str">
        <f>Sales_data!F381</f>
        <v>Sneha Joshi</v>
      </c>
      <c r="C383" s="29" t="str">
        <f>PROPER(TRIM(Sales_data!F381))</f>
        <v>Sneha Joshi</v>
      </c>
      <c r="D383" s="29" t="str">
        <f>LEFT(C383,3)&amp;RIGHT(A383,3)&amp;LEFT(Sales_data!I381,2)</f>
        <v>Sne006De</v>
      </c>
      <c r="E383" s="29" t="str">
        <f>IF(ISNUMBER(SEARCH("@",Sales_data!T381)),LOWER(SUBSTITUTE(Sales_data!T381," ","")),"Invalid Email")</f>
        <v>sneha.joshi@company.com</v>
      </c>
    </row>
    <row r="384" spans="1:5" ht="15" customHeight="1">
      <c r="A384" s="29" t="str">
        <f>Sales_data!B382</f>
        <v>C006</v>
      </c>
      <c r="B384" s="29" t="str">
        <f>Sales_data!F382</f>
        <v>Sneha Joshi</v>
      </c>
      <c r="C384" s="29" t="str">
        <f>PROPER(TRIM(Sales_data!F382))</f>
        <v>Sneha Joshi</v>
      </c>
      <c r="D384" s="29" t="str">
        <f>LEFT(C384,3)&amp;RIGHT(A384,3)&amp;LEFT(Sales_data!I382,2)</f>
        <v>Sne006De</v>
      </c>
      <c r="E384" s="29" t="str">
        <f>IF(ISNUMBER(SEARCH("@",Sales_data!T382)),LOWER(SUBSTITUTE(Sales_data!T382," ","")),"Invalid Email")</f>
        <v>sneha.joshi@company.com</v>
      </c>
    </row>
    <row r="385" spans="1:5" ht="15" customHeight="1">
      <c r="A385" s="29" t="str">
        <f>Sales_data!B383</f>
        <v>C003</v>
      </c>
      <c r="B385" s="29" t="str">
        <f>Sales_data!F383</f>
        <v>Rohit Singh</v>
      </c>
      <c r="C385" s="29" t="str">
        <f>PROPER(TRIM(Sales_data!F383))</f>
        <v>Rohit Singh</v>
      </c>
      <c r="D385" s="29" t="str">
        <f>LEFT(C385,3)&amp;RIGHT(A385,3)&amp;LEFT(Sales_data!I383,2)</f>
        <v>Roh003Be</v>
      </c>
      <c r="E385" s="29" t="str">
        <f>IF(ISNUMBER(SEARCH("@",Sales_data!T383)),LOWER(SUBSTITUTE(Sales_data!T383," ","")),"Invalid Email")</f>
        <v>rohit.singh@company.com</v>
      </c>
    </row>
    <row r="386" spans="1:5" ht="15" customHeight="1">
      <c r="A386" s="29" t="str">
        <f>Sales_data!B384</f>
        <v>C003</v>
      </c>
      <c r="B386" s="29" t="str">
        <f>Sales_data!F384</f>
        <v>Rohit      Singh</v>
      </c>
      <c r="C386" s="29" t="str">
        <f>PROPER(TRIM(Sales_data!F384))</f>
        <v>Rohit Singh</v>
      </c>
      <c r="D386" s="29" t="str">
        <f>LEFT(C386,3)&amp;RIGHT(A386,3)&amp;LEFT(Sales_data!I384,2)</f>
        <v>Roh003Ko</v>
      </c>
      <c r="E386" s="29" t="str">
        <f>IF(ISNUMBER(SEARCH("@",Sales_data!T384)),LOWER(SUBSTITUTE(Sales_data!T384," ","")),"Invalid Email")</f>
        <v>rohit.singh@company.com</v>
      </c>
    </row>
    <row r="387" spans="1:5" ht="15" customHeight="1">
      <c r="A387" s="29" t="str">
        <f>Sales_data!B385</f>
        <v>C005</v>
      </c>
      <c r="B387" s="29" t="str">
        <f>Sales_data!F385</f>
        <v>Vikas Mehta</v>
      </c>
      <c r="C387" s="29" t="str">
        <f>PROPER(TRIM(Sales_data!F385))</f>
        <v>Vikas Mehta</v>
      </c>
      <c r="D387" s="29" t="str">
        <f>LEFT(C387,3)&amp;RIGHT(A387,3)&amp;LEFT(Sales_data!I385,2)</f>
        <v>Vik005Be</v>
      </c>
      <c r="E387" s="29" t="str">
        <f>IF(ISNUMBER(SEARCH("@",Sales_data!T385)),LOWER(SUBSTITUTE(Sales_data!T385," ","")),"Invalid Email")</f>
        <v>vikas.mehta@company.com</v>
      </c>
    </row>
    <row r="388" spans="1:5" ht="15" customHeight="1">
      <c r="A388" s="29" t="str">
        <f>Sales_data!B386</f>
        <v>C003</v>
      </c>
      <c r="B388" s="29" t="str">
        <f>Sales_data!F386</f>
        <v>Rohit Singh</v>
      </c>
      <c r="C388" s="29" t="str">
        <f>PROPER(TRIM(Sales_data!F386))</f>
        <v>Rohit Singh</v>
      </c>
      <c r="D388" s="29" t="str">
        <f>LEFT(C388,3)&amp;RIGHT(A388,3)&amp;LEFT(Sales_data!I386,2)</f>
        <v>Roh003De</v>
      </c>
      <c r="E388" s="29" t="str">
        <f>IF(ISNUMBER(SEARCH("@",Sales_data!T386)),LOWER(SUBSTITUTE(Sales_data!T386," ","")),"Invalid Email")</f>
        <v>rohit.singh@company.com</v>
      </c>
    </row>
    <row r="389" spans="1:5" ht="15" customHeight="1">
      <c r="A389" s="29" t="str">
        <f>Sales_data!B387</f>
        <v>C004</v>
      </c>
      <c r="B389" s="29" t="str">
        <f>Sales_data!F387</f>
        <v>Anita Gupta</v>
      </c>
      <c r="C389" s="29" t="str">
        <f>PROPER(TRIM(Sales_data!F387))</f>
        <v>Anita Gupta</v>
      </c>
      <c r="D389" s="29" t="str">
        <f>LEFT(C389,3)&amp;RIGHT(A389,3)&amp;LEFT(Sales_data!I387,2)</f>
        <v>Ani004Ah</v>
      </c>
      <c r="E389" s="29" t="str">
        <f>IF(ISNUMBER(SEARCH("@",Sales_data!T387)),LOWER(SUBSTITUTE(Sales_data!T387," ","")),"Invalid Email")</f>
        <v>anita.gupta@company.com</v>
      </c>
    </row>
    <row r="390" spans="1:5" ht="15" customHeight="1">
      <c r="A390" s="29" t="str">
        <f>Sales_data!B388</f>
        <v>C005</v>
      </c>
      <c r="B390" s="29" t="str">
        <f>Sales_data!F388</f>
        <v>Vikas Mehta</v>
      </c>
      <c r="C390" s="29" t="str">
        <f>PROPER(TRIM(Sales_data!F388))</f>
        <v>Vikas Mehta</v>
      </c>
      <c r="D390" s="29" t="str">
        <f>LEFT(C390,3)&amp;RIGHT(A390,3)&amp;LEFT(Sales_data!I388,2)</f>
        <v>Vik005Hy</v>
      </c>
      <c r="E390" s="29" t="str">
        <f>IF(ISNUMBER(SEARCH("@",Sales_data!T388)),LOWER(SUBSTITUTE(Sales_data!T388," ","")),"Invalid Email")</f>
        <v>vikas.mehta@company.com</v>
      </c>
    </row>
    <row r="391" spans="1:5" ht="15" customHeight="1">
      <c r="A391" s="29" t="str">
        <f>Sales_data!B389</f>
        <v>C009</v>
      </c>
      <c r="B391" s="29" t="str">
        <f>Sales_data!F389</f>
        <v>Mohit Verma</v>
      </c>
      <c r="C391" s="29" t="str">
        <f>PROPER(TRIM(Sales_data!F389))</f>
        <v>Mohit Verma</v>
      </c>
      <c r="D391" s="29" t="str">
        <f>LEFT(C391,3)&amp;RIGHT(A391,3)&amp;LEFT(Sales_data!I389,2)</f>
        <v>Moh009Hy</v>
      </c>
      <c r="E391" s="29" t="str">
        <f>IF(ISNUMBER(SEARCH("@",Sales_data!T389)),LOWER(SUBSTITUTE(Sales_data!T389," ","")),"Invalid Email")</f>
        <v>mohit.verma@company.com</v>
      </c>
    </row>
    <row r="392" spans="1:5" ht="15" customHeight="1">
      <c r="A392" s="29" t="str">
        <f>Sales_data!B390</f>
        <v>C008</v>
      </c>
      <c r="B392" s="29" t="str">
        <f>Sales_data!F390</f>
        <v>Kavya Nair</v>
      </c>
      <c r="C392" s="29" t="str">
        <f>PROPER(TRIM(Sales_data!F390))</f>
        <v>Kavya Nair</v>
      </c>
      <c r="D392" s="29" t="str">
        <f>LEFT(C392,3)&amp;RIGHT(A392,3)&amp;LEFT(Sales_data!I390,2)</f>
        <v>Kav008Ko</v>
      </c>
      <c r="E392" s="29" t="str">
        <f>IF(ISNUMBER(SEARCH("@",Sales_data!T390)),LOWER(SUBSTITUTE(Sales_data!T390," ","")),"Invalid Email")</f>
        <v>kavya.nair@company.com</v>
      </c>
    </row>
    <row r="393" spans="1:5" ht="15" customHeight="1">
      <c r="A393" s="29" t="str">
        <f>Sales_data!B391</f>
        <v>C002</v>
      </c>
      <c r="B393" s="29" t="str">
        <f>Sales_data!F391</f>
        <v>Priya Patel</v>
      </c>
      <c r="C393" s="29" t="str">
        <f>PROPER(TRIM(Sales_data!F391))</f>
        <v>Priya Patel</v>
      </c>
      <c r="D393" s="29" t="str">
        <f>LEFT(C393,3)&amp;RIGHT(A393,3)&amp;LEFT(Sales_data!I391,2)</f>
        <v>Pri002Pu</v>
      </c>
      <c r="E393" s="29" t="str">
        <f>IF(ISNUMBER(SEARCH("@",Sales_data!T391)),LOWER(SUBSTITUTE(Sales_data!T391," ","")),"Invalid Email")</f>
        <v>priya.patel@company.com</v>
      </c>
    </row>
    <row r="394" spans="1:5" ht="15" customHeight="1">
      <c r="A394" s="29" t="str">
        <f>Sales_data!B392</f>
        <v>C002</v>
      </c>
      <c r="B394" s="29" t="str">
        <f>Sales_data!F392</f>
        <v>Priya Patel</v>
      </c>
      <c r="C394" s="29" t="str">
        <f>PROPER(TRIM(Sales_data!F392))</f>
        <v>Priya Patel</v>
      </c>
      <c r="D394" s="29" t="str">
        <f>LEFT(C394,3)&amp;RIGHT(A394,3)&amp;LEFT(Sales_data!I392,2)</f>
        <v>Pri002Pu</v>
      </c>
      <c r="E394" s="29" t="str">
        <f>IF(ISNUMBER(SEARCH("@",Sales_data!T392)),LOWER(SUBSTITUTE(Sales_data!T392," ","")),"Invalid Email")</f>
        <v>priya.patel@company.com</v>
      </c>
    </row>
    <row r="395" spans="1:5" ht="15" customHeight="1">
      <c r="A395" s="29" t="str">
        <f>Sales_data!B393</f>
        <v>C010</v>
      </c>
      <c r="B395" s="29" t="str">
        <f>Sales_data!F393</f>
        <v>Pooja Shah</v>
      </c>
      <c r="C395" s="29" t="str">
        <f>PROPER(TRIM(Sales_data!F393))</f>
        <v>Pooja Shah</v>
      </c>
      <c r="D395" s="29" t="str">
        <f>LEFT(C395,3)&amp;RIGHT(A395,3)&amp;LEFT(Sales_data!I393,2)</f>
        <v>Poo010Hy</v>
      </c>
      <c r="E395" s="29" t="str">
        <f>IF(ISNUMBER(SEARCH("@",Sales_data!T393)),LOWER(SUBSTITUTE(Sales_data!T393," ","")),"Invalid Email")</f>
        <v>pooja.shah@company.com</v>
      </c>
    </row>
    <row r="396" spans="1:5" ht="15" customHeight="1">
      <c r="A396" s="29" t="str">
        <f>Sales_data!B394</f>
        <v>C006</v>
      </c>
      <c r="B396" s="29" t="str">
        <f>Sales_data!F394</f>
        <v>Sneha Joshi</v>
      </c>
      <c r="C396" s="29" t="str">
        <f>PROPER(TRIM(Sales_data!F394))</f>
        <v>Sneha Joshi</v>
      </c>
      <c r="D396" s="29" t="str">
        <f>LEFT(C396,3)&amp;RIGHT(A396,3)&amp;LEFT(Sales_data!I394,2)</f>
        <v>Sne006De</v>
      </c>
      <c r="E396" s="29" t="str">
        <f>IF(ISNUMBER(SEARCH("@",Sales_data!T394)),LOWER(SUBSTITUTE(Sales_data!T394," ","")),"Invalid Email")</f>
        <v>sneha.joshi@company.com</v>
      </c>
    </row>
    <row r="397" spans="1:5" ht="15" customHeight="1">
      <c r="A397" s="29" t="str">
        <f>Sales_data!B395</f>
        <v>C002</v>
      </c>
      <c r="B397" s="29" t="str">
        <f>Sales_data!F395</f>
        <v>Priya Patel</v>
      </c>
      <c r="C397" s="29" t="str">
        <f>PROPER(TRIM(Sales_data!F395))</f>
        <v>Priya Patel</v>
      </c>
      <c r="D397" s="29" t="str">
        <f>LEFT(C397,3)&amp;RIGHT(A397,3)&amp;LEFT(Sales_data!I395,2)</f>
        <v>Pri002Ko</v>
      </c>
      <c r="E397" s="29" t="str">
        <f>IF(ISNUMBER(SEARCH("@",Sales_data!T395)),LOWER(SUBSTITUTE(Sales_data!T395," ","")),"Invalid Email")</f>
        <v>priya.patel@company.com</v>
      </c>
    </row>
    <row r="398" spans="1:5" ht="15" customHeight="1">
      <c r="A398" s="29" t="str">
        <f>Sales_data!B396</f>
        <v>C008</v>
      </c>
      <c r="B398" s="29" t="str">
        <f>Sales_data!F396</f>
        <v>Kavya Nair</v>
      </c>
      <c r="C398" s="29" t="str">
        <f>PROPER(TRIM(Sales_data!F396))</f>
        <v>Kavya Nair</v>
      </c>
      <c r="D398" s="29" t="str">
        <f>LEFT(C398,3)&amp;RIGHT(A398,3)&amp;LEFT(Sales_data!I396,2)</f>
        <v>Kav008Ah</v>
      </c>
      <c r="E398" s="29" t="str">
        <f>IF(ISNUMBER(SEARCH("@",Sales_data!T396)),LOWER(SUBSTITUTE(Sales_data!T396," ","")),"Invalid Email")</f>
        <v>kavya.nair@company.com</v>
      </c>
    </row>
    <row r="399" spans="1:5" ht="15" customHeight="1">
      <c r="A399" s="29" t="str">
        <f>Sales_data!B397</f>
        <v>C003</v>
      </c>
      <c r="B399" s="29" t="str">
        <f>Sales_data!F397</f>
        <v>Rohit Singh</v>
      </c>
      <c r="C399" s="29" t="str">
        <f>PROPER(TRIM(Sales_data!F397))</f>
        <v>Rohit Singh</v>
      </c>
      <c r="D399" s="29" t="str">
        <f>LEFT(C399,3)&amp;RIGHT(A399,3)&amp;LEFT(Sales_data!I397,2)</f>
        <v>Roh003Hy</v>
      </c>
      <c r="E399" s="29" t="str">
        <f>IF(ISNUMBER(SEARCH("@",Sales_data!T397)),LOWER(SUBSTITUTE(Sales_data!T397," ","")),"Invalid Email")</f>
        <v>rohit.singh@company.com</v>
      </c>
    </row>
    <row r="400" spans="1:5" ht="15" customHeight="1">
      <c r="A400" s="29" t="str">
        <f>Sales_data!B398</f>
        <v>C007</v>
      </c>
      <c r="B400" s="29" t="str">
        <f>Sales_data!F398</f>
        <v>Arjun Rao</v>
      </c>
      <c r="C400" s="29" t="str">
        <f>PROPER(TRIM(Sales_data!F398))</f>
        <v>Arjun Rao</v>
      </c>
      <c r="D400" s="29" t="str">
        <f>LEFT(C400,3)&amp;RIGHT(A400,3)&amp;LEFT(Sales_data!I398,2)</f>
        <v>Arj007De</v>
      </c>
      <c r="E400" s="29" t="str">
        <f>IF(ISNUMBER(SEARCH("@",Sales_data!T398)),LOWER(SUBSTITUTE(Sales_data!T398," ","")),"Invalid Email")</f>
        <v>arjun.rao@company.com</v>
      </c>
    </row>
    <row r="401" spans="1:5" ht="15" customHeight="1">
      <c r="A401" s="29" t="str">
        <f>Sales_data!B399</f>
        <v>C007</v>
      </c>
      <c r="B401" s="29" t="str">
        <f>Sales_data!F399</f>
        <v>Arjun Rao</v>
      </c>
      <c r="C401" s="29" t="str">
        <f>PROPER(TRIM(Sales_data!F399))</f>
        <v>Arjun Rao</v>
      </c>
      <c r="D401" s="29" t="str">
        <f>LEFT(C401,3)&amp;RIGHT(A401,3)&amp;LEFT(Sales_data!I399,2)</f>
        <v>Arj007Ko</v>
      </c>
      <c r="E401" s="29" t="str">
        <f>IF(ISNUMBER(SEARCH("@",Sales_data!T399)),LOWER(SUBSTITUTE(Sales_data!T399," ","")),"Invalid Email")</f>
        <v>arjun.rao@company.com</v>
      </c>
    </row>
    <row r="402" spans="1:5" ht="15" customHeight="1">
      <c r="A402" s="29" t="str">
        <f>Sales_data!B400</f>
        <v>C001</v>
      </c>
      <c r="B402" s="29" t="str">
        <f>Sales_data!F400</f>
        <v>Amit Sharma</v>
      </c>
      <c r="C402" s="29" t="str">
        <f>PROPER(TRIM(Sales_data!F400))</f>
        <v>Amit Sharma</v>
      </c>
      <c r="D402" s="29" t="str">
        <f>LEFT(C402,3)&amp;RIGHT(A402,3)&amp;LEFT(Sales_data!I400,2)</f>
        <v>Ami001Be</v>
      </c>
      <c r="E402" s="29" t="str">
        <f>IF(ISNUMBER(SEARCH("@",Sales_data!T400)),LOWER(SUBSTITUTE(Sales_data!T400," ","")),"Invalid Email")</f>
        <v>amit.sharma@company.com</v>
      </c>
    </row>
    <row r="403" spans="1:5" ht="15" customHeight="1">
      <c r="A403" s="29" t="str">
        <f>Sales_data!B401</f>
        <v>C008</v>
      </c>
      <c r="B403" s="29" t="str">
        <f>Sales_data!F401</f>
        <v>Kavya Nair</v>
      </c>
      <c r="C403" s="29" t="str">
        <f>PROPER(TRIM(Sales_data!F401))</f>
        <v>Kavya Nair</v>
      </c>
      <c r="D403" s="29" t="str">
        <f>LEFT(C403,3)&amp;RIGHT(A403,3)&amp;LEFT(Sales_data!I401,2)</f>
        <v>Kav008De</v>
      </c>
      <c r="E403" s="29" t="str">
        <f>IF(ISNUMBER(SEARCH("@",Sales_data!T401)),LOWER(SUBSTITUTE(Sales_data!T401," ","")),"Invalid Email")</f>
        <v>kavya.nair@company.com</v>
      </c>
    </row>
    <row r="404" spans="1:5" ht="15" customHeight="1">
      <c r="A404" s="29" t="str">
        <f>Sales_data!B402</f>
        <v>C009</v>
      </c>
      <c r="B404" s="29" t="str">
        <f>Sales_data!F402</f>
        <v>Mohit Verma</v>
      </c>
      <c r="C404" s="29" t="str">
        <f>PROPER(TRIM(Sales_data!F402))</f>
        <v>Mohit Verma</v>
      </c>
      <c r="D404" s="29" t="str">
        <f>LEFT(C404,3)&amp;RIGHT(A404,3)&amp;LEFT(Sales_data!I402,2)</f>
        <v>Moh009Hy</v>
      </c>
      <c r="E404" s="29" t="str">
        <f>IF(ISNUMBER(SEARCH("@",Sales_data!T402)),LOWER(SUBSTITUTE(Sales_data!T402," ","")),"Invalid Email")</f>
        <v>mohit.verma@company.com</v>
      </c>
    </row>
    <row r="405" spans="1:5" ht="15" customHeight="1">
      <c r="A405" s="29" t="str">
        <f>Sales_data!B403</f>
        <v>C008</v>
      </c>
      <c r="B405" s="29" t="str">
        <f>Sales_data!F403</f>
        <v>Kavya Nair</v>
      </c>
      <c r="C405" s="29" t="str">
        <f>PROPER(TRIM(Sales_data!F403))</f>
        <v>Kavya Nair</v>
      </c>
      <c r="D405" s="29" t="str">
        <f>LEFT(C405,3)&amp;RIGHT(A405,3)&amp;LEFT(Sales_data!I403,2)</f>
        <v>Kav008Ah</v>
      </c>
      <c r="E405" s="29" t="str">
        <f>IF(ISNUMBER(SEARCH("@",Sales_data!T403)),LOWER(SUBSTITUTE(Sales_data!T403," ","")),"Invalid Email")</f>
        <v>kavya.nair@company.com</v>
      </c>
    </row>
    <row r="406" spans="1:5" ht="15" customHeight="1">
      <c r="A406" s="29" t="str">
        <f>Sales_data!B404</f>
        <v>C009</v>
      </c>
      <c r="B406" s="29" t="str">
        <f>Sales_data!F404</f>
        <v>Mohit Verma</v>
      </c>
      <c r="C406" s="29" t="str">
        <f>PROPER(TRIM(Sales_data!F404))</f>
        <v>Mohit Verma</v>
      </c>
      <c r="D406" s="29" t="str">
        <f>LEFT(C406,3)&amp;RIGHT(A406,3)&amp;LEFT(Sales_data!I404,2)</f>
        <v>Moh009Mu</v>
      </c>
      <c r="E406" s="29" t="str">
        <f>IF(ISNUMBER(SEARCH("@",Sales_data!T404)),LOWER(SUBSTITUTE(Sales_data!T404," ","")),"Invalid Email")</f>
        <v>mohit.verma@company.com</v>
      </c>
    </row>
    <row r="407" spans="1:5" ht="15" customHeight="1">
      <c r="A407" s="29" t="str">
        <f>Sales_data!B405</f>
        <v>C008</v>
      </c>
      <c r="B407" s="29" t="str">
        <f>Sales_data!F405</f>
        <v>Kavya Nair</v>
      </c>
      <c r="C407" s="29" t="str">
        <f>PROPER(TRIM(Sales_data!F405))</f>
        <v>Kavya Nair</v>
      </c>
      <c r="D407" s="29" t="str">
        <f>LEFT(C407,3)&amp;RIGHT(A407,3)&amp;LEFT(Sales_data!I405,2)</f>
        <v>Kav008Mu</v>
      </c>
      <c r="E407" s="29" t="str">
        <f>IF(ISNUMBER(SEARCH("@",Sales_data!T405)),LOWER(SUBSTITUTE(Sales_data!T405," ","")),"Invalid Email")</f>
        <v>kavya.nair@company.com</v>
      </c>
    </row>
    <row r="408" spans="1:5" ht="15" customHeight="1">
      <c r="A408" s="29" t="str">
        <f>Sales_data!B406</f>
        <v>C010</v>
      </c>
      <c r="B408" s="29" t="str">
        <f>Sales_data!F406</f>
        <v>Pooja Shah</v>
      </c>
      <c r="C408" s="29" t="str">
        <f>PROPER(TRIM(Sales_data!F406))</f>
        <v>Pooja Shah</v>
      </c>
      <c r="D408" s="29" t="str">
        <f>LEFT(C408,3)&amp;RIGHT(A408,3)&amp;LEFT(Sales_data!I406,2)</f>
        <v>Poo010Pu</v>
      </c>
      <c r="E408" s="29" t="str">
        <f>IF(ISNUMBER(SEARCH("@",Sales_data!T406)),LOWER(SUBSTITUTE(Sales_data!T406," ","")),"Invalid Email")</f>
        <v>pooja.shah@company.com</v>
      </c>
    </row>
    <row r="409" spans="1:5" ht="15" customHeight="1">
      <c r="A409" s="29" t="str">
        <f>Sales_data!B407</f>
        <v>C004</v>
      </c>
      <c r="B409" s="29" t="str">
        <f>Sales_data!F407</f>
        <v>Anita Gupta</v>
      </c>
      <c r="C409" s="29" t="str">
        <f>PROPER(TRIM(Sales_data!F407))</f>
        <v>Anita Gupta</v>
      </c>
      <c r="D409" s="29" t="str">
        <f>LEFT(C409,3)&amp;RIGHT(A409,3)&amp;LEFT(Sales_data!I407,2)</f>
        <v>Ani004Ko</v>
      </c>
      <c r="E409" s="29" t="str">
        <f>IF(ISNUMBER(SEARCH("@",Sales_data!T407)),LOWER(SUBSTITUTE(Sales_data!T407," ","")),"Invalid Email")</f>
        <v>anita.gupta@company.com</v>
      </c>
    </row>
    <row r="410" spans="1:5" ht="15" customHeight="1">
      <c r="A410" s="29" t="str">
        <f>Sales_data!B408</f>
        <v>C010</v>
      </c>
      <c r="B410" s="29" t="str">
        <f>Sales_data!F408</f>
        <v>Pooja Shah</v>
      </c>
      <c r="C410" s="29" t="str">
        <f>PROPER(TRIM(Sales_data!F408))</f>
        <v>Pooja Shah</v>
      </c>
      <c r="D410" s="29" t="str">
        <f>LEFT(C410,3)&amp;RIGHT(A410,3)&amp;LEFT(Sales_data!I408,2)</f>
        <v>Poo010Pu</v>
      </c>
      <c r="E410" s="29" t="str">
        <f>IF(ISNUMBER(SEARCH("@",Sales_data!T408)),LOWER(SUBSTITUTE(Sales_data!T408," ","")),"Invalid Email")</f>
        <v>pooja.shah@company.com</v>
      </c>
    </row>
    <row r="411" spans="1:5" ht="15" customHeight="1">
      <c r="A411" s="29" t="str">
        <f>Sales_data!B409</f>
        <v>C009</v>
      </c>
      <c r="B411" s="29" t="str">
        <f>Sales_data!F409</f>
        <v>Mohit Verma</v>
      </c>
      <c r="C411" s="29" t="str">
        <f>PROPER(TRIM(Sales_data!F409))</f>
        <v>Mohit Verma</v>
      </c>
      <c r="D411" s="29" t="str">
        <f>LEFT(C411,3)&amp;RIGHT(A411,3)&amp;LEFT(Sales_data!I409,2)</f>
        <v>Moh009Mu</v>
      </c>
      <c r="E411" s="29" t="str">
        <f>IF(ISNUMBER(SEARCH("@",Sales_data!T409)),LOWER(SUBSTITUTE(Sales_data!T409," ","")),"Invalid Email")</f>
        <v>mohit.verma@company.com</v>
      </c>
    </row>
    <row r="412" spans="1:5" ht="15" customHeight="1">
      <c r="A412" s="29" t="str">
        <f>Sales_data!B410</f>
        <v>C002</v>
      </c>
      <c r="B412" s="29" t="str">
        <f>Sales_data!F410</f>
        <v>Priya Patel</v>
      </c>
      <c r="C412" s="29" t="str">
        <f>PROPER(TRIM(Sales_data!F410))</f>
        <v>Priya Patel</v>
      </c>
      <c r="D412" s="29" t="str">
        <f>LEFT(C412,3)&amp;RIGHT(A412,3)&amp;LEFT(Sales_data!I410,2)</f>
        <v>Pri002Hy</v>
      </c>
      <c r="E412" s="29" t="str">
        <f>IF(ISNUMBER(SEARCH("@",Sales_data!T410)),LOWER(SUBSTITUTE(Sales_data!T410," ","")),"Invalid Email")</f>
        <v>priya.patel@company.com</v>
      </c>
    </row>
    <row r="413" spans="1:5" ht="15" customHeight="1">
      <c r="A413" s="29" t="str">
        <f>Sales_data!B411</f>
        <v>C003</v>
      </c>
      <c r="B413" s="29" t="str">
        <f>Sales_data!F411</f>
        <v>Rohit Singh</v>
      </c>
      <c r="C413" s="29" t="str">
        <f>PROPER(TRIM(Sales_data!F411))</f>
        <v>Rohit Singh</v>
      </c>
      <c r="D413" s="29" t="str">
        <f>LEFT(C413,3)&amp;RIGHT(A413,3)&amp;LEFT(Sales_data!I411,2)</f>
        <v>Roh003Ko</v>
      </c>
      <c r="E413" s="29" t="str">
        <f>IF(ISNUMBER(SEARCH("@",Sales_data!T411)),LOWER(SUBSTITUTE(Sales_data!T411," ","")),"Invalid Email")</f>
        <v>rohit.singh@company.com</v>
      </c>
    </row>
    <row r="414" spans="1:5" ht="15" customHeight="1">
      <c r="A414" s="29" t="str">
        <f>Sales_data!B412</f>
        <v>C008</v>
      </c>
      <c r="B414" s="29" t="str">
        <f>Sales_data!F412</f>
        <v>Kavya Nair</v>
      </c>
      <c r="C414" s="29" t="str">
        <f>PROPER(TRIM(Sales_data!F412))</f>
        <v>Kavya Nair</v>
      </c>
      <c r="D414" s="29" t="str">
        <f>LEFT(C414,3)&amp;RIGHT(A414,3)&amp;LEFT(Sales_data!I412,2)</f>
        <v>Kav008Hy</v>
      </c>
      <c r="E414" s="29" t="str">
        <f>IF(ISNUMBER(SEARCH("@",Sales_data!T412)),LOWER(SUBSTITUTE(Sales_data!T412," ","")),"Invalid Email")</f>
        <v>kavya.nair@company.com</v>
      </c>
    </row>
    <row r="415" spans="1:5" ht="15" customHeight="1">
      <c r="A415" s="29" t="str">
        <f>Sales_data!B413</f>
        <v>C002</v>
      </c>
      <c r="B415" s="29" t="str">
        <f>Sales_data!F413</f>
        <v>Priya Patel</v>
      </c>
      <c r="C415" s="29" t="str">
        <f>PROPER(TRIM(Sales_data!F413))</f>
        <v>Priya Patel</v>
      </c>
      <c r="D415" s="29" t="str">
        <f>LEFT(C415,3)&amp;RIGHT(A415,3)&amp;LEFT(Sales_data!I413,2)</f>
        <v>Pri002Hy</v>
      </c>
      <c r="E415" s="29" t="str">
        <f>IF(ISNUMBER(SEARCH("@",Sales_data!T413)),LOWER(SUBSTITUTE(Sales_data!T413," ","")),"Invalid Email")</f>
        <v>priya.patel@company.com</v>
      </c>
    </row>
    <row r="416" spans="1:5" ht="15" customHeight="1">
      <c r="A416" s="29" t="str">
        <f>Sales_data!B414</f>
        <v>C006</v>
      </c>
      <c r="B416" s="29" t="str">
        <f>Sales_data!F414</f>
        <v>Sneha Joshi</v>
      </c>
      <c r="C416" s="29" t="str">
        <f>PROPER(TRIM(Sales_data!F414))</f>
        <v>Sneha Joshi</v>
      </c>
      <c r="D416" s="29" t="str">
        <f>LEFT(C416,3)&amp;RIGHT(A416,3)&amp;LEFT(Sales_data!I414,2)</f>
        <v>Sne006Be</v>
      </c>
      <c r="E416" s="29" t="str">
        <f>IF(ISNUMBER(SEARCH("@",Sales_data!T414)),LOWER(SUBSTITUTE(Sales_data!T414," ","")),"Invalid Email")</f>
        <v>sneha.joshi@company.com</v>
      </c>
    </row>
    <row r="417" spans="1:5" ht="15" customHeight="1">
      <c r="A417" s="29" t="str">
        <f>Sales_data!B415</f>
        <v>C004</v>
      </c>
      <c r="B417" s="29" t="str">
        <f>Sales_data!F415</f>
        <v>Anita Gupta</v>
      </c>
      <c r="C417" s="29" t="str">
        <f>PROPER(TRIM(Sales_data!F415))</f>
        <v>Anita Gupta</v>
      </c>
      <c r="D417" s="29" t="str">
        <f>LEFT(C417,3)&amp;RIGHT(A417,3)&amp;LEFT(Sales_data!I415,2)</f>
        <v>Ani004Ah</v>
      </c>
      <c r="E417" s="29" t="str">
        <f>IF(ISNUMBER(SEARCH("@",Sales_data!T415)),LOWER(SUBSTITUTE(Sales_data!T415," ","")),"Invalid Email")</f>
        <v>anita.gupta@company.com</v>
      </c>
    </row>
    <row r="418" spans="1:5" ht="15" customHeight="1">
      <c r="A418" s="29" t="str">
        <f>Sales_data!B416</f>
        <v>C002</v>
      </c>
      <c r="B418" s="29" t="str">
        <f>Sales_data!F416</f>
        <v>Priya Patel</v>
      </c>
      <c r="C418" s="29" t="str">
        <f>PROPER(TRIM(Sales_data!F416))</f>
        <v>Priya Patel</v>
      </c>
      <c r="D418" s="29" t="str">
        <f>LEFT(C418,3)&amp;RIGHT(A418,3)&amp;LEFT(Sales_data!I416,2)</f>
        <v>Pri002Ah</v>
      </c>
      <c r="E418" s="29" t="str">
        <f>IF(ISNUMBER(SEARCH("@",Sales_data!T416)),LOWER(SUBSTITUTE(Sales_data!T416," ","")),"Invalid Email")</f>
        <v>priya.patel@company.com</v>
      </c>
    </row>
    <row r="419" spans="1:5" ht="15" customHeight="1">
      <c r="A419" s="29" t="str">
        <f>Sales_data!B417</f>
        <v>C007</v>
      </c>
      <c r="B419" s="29" t="str">
        <f>Sales_data!F417</f>
        <v>Arjun Rao</v>
      </c>
      <c r="C419" s="29" t="str">
        <f>PROPER(TRIM(Sales_data!F417))</f>
        <v>Arjun Rao</v>
      </c>
      <c r="D419" s="29" t="str">
        <f>LEFT(C419,3)&amp;RIGHT(A419,3)&amp;LEFT(Sales_data!I417,2)</f>
        <v>Arj007Mu</v>
      </c>
      <c r="E419" s="29" t="str">
        <f>IF(ISNUMBER(SEARCH("@",Sales_data!T417)),LOWER(SUBSTITUTE(Sales_data!T417," ","")),"Invalid Email")</f>
        <v>arjun.rao@company.com</v>
      </c>
    </row>
    <row r="420" spans="1:5" ht="15" customHeight="1">
      <c r="A420" s="29" t="str">
        <f>Sales_data!B418</f>
        <v>C005</v>
      </c>
      <c r="B420" s="29" t="str">
        <f>Sales_data!F418</f>
        <v>Vikas Mehta</v>
      </c>
      <c r="C420" s="29" t="str">
        <f>PROPER(TRIM(Sales_data!F418))</f>
        <v>Vikas Mehta</v>
      </c>
      <c r="D420" s="29" t="str">
        <f>LEFT(C420,3)&amp;RIGHT(A420,3)&amp;LEFT(Sales_data!I418,2)</f>
        <v>Vik005Ko</v>
      </c>
      <c r="E420" s="29" t="str">
        <f>IF(ISNUMBER(SEARCH("@",Sales_data!T418)),LOWER(SUBSTITUTE(Sales_data!T418," ","")),"Invalid Email")</f>
        <v>vikas.mehta@company.com</v>
      </c>
    </row>
    <row r="421" spans="1:5" ht="15" customHeight="1">
      <c r="A421" s="29" t="str">
        <f>Sales_data!B419</f>
        <v>C007</v>
      </c>
      <c r="B421" s="29" t="str">
        <f>Sales_data!F419</f>
        <v>Arjun Rao</v>
      </c>
      <c r="C421" s="29" t="str">
        <f>PROPER(TRIM(Sales_data!F419))</f>
        <v>Arjun Rao</v>
      </c>
      <c r="D421" s="29" t="str">
        <f>LEFT(C421,3)&amp;RIGHT(A421,3)&amp;LEFT(Sales_data!I419,2)</f>
        <v>Arj007Hy</v>
      </c>
      <c r="E421" s="29" t="str">
        <f>IF(ISNUMBER(SEARCH("@",Sales_data!T419)),LOWER(SUBSTITUTE(Sales_data!T419," ","")),"Invalid Email")</f>
        <v>arjun.rao@company.com</v>
      </c>
    </row>
    <row r="422" spans="1:5" ht="15" customHeight="1">
      <c r="A422" s="29" t="str">
        <f>Sales_data!B420</f>
        <v>C007</v>
      </c>
      <c r="B422" s="29" t="str">
        <f>Sales_data!F420</f>
        <v>Arjun Rao</v>
      </c>
      <c r="C422" s="29" t="str">
        <f>PROPER(TRIM(Sales_data!F420))</f>
        <v>Arjun Rao</v>
      </c>
      <c r="D422" s="29" t="str">
        <f>LEFT(C422,3)&amp;RIGHT(A422,3)&amp;LEFT(Sales_data!I420,2)</f>
        <v>Arj007Mu</v>
      </c>
      <c r="E422" s="29" t="str">
        <f>IF(ISNUMBER(SEARCH("@",Sales_data!T420)),LOWER(SUBSTITUTE(Sales_data!T420," ","")),"Invalid Email")</f>
        <v>arjun.rao@company.com</v>
      </c>
    </row>
    <row r="423" spans="1:5" ht="15" customHeight="1">
      <c r="A423" s="29" t="str">
        <f>Sales_data!B421</f>
        <v>C003</v>
      </c>
      <c r="B423" s="29" t="str">
        <f>Sales_data!F421</f>
        <v>Rohit Singh</v>
      </c>
      <c r="C423" s="29" t="str">
        <f>PROPER(TRIM(Sales_data!F421))</f>
        <v>Rohit Singh</v>
      </c>
      <c r="D423" s="29" t="str">
        <f>LEFT(C423,3)&amp;RIGHT(A423,3)&amp;LEFT(Sales_data!I421,2)</f>
        <v>Roh003Mu</v>
      </c>
      <c r="E423" s="29" t="str">
        <f>IF(ISNUMBER(SEARCH("@",Sales_data!T421)),LOWER(SUBSTITUTE(Sales_data!T421," ","")),"Invalid Email")</f>
        <v>rohit.singh@company.com</v>
      </c>
    </row>
    <row r="424" spans="1:5" ht="15" customHeight="1">
      <c r="A424" s="29" t="str">
        <f>Sales_data!B422</f>
        <v>C009</v>
      </c>
      <c r="B424" s="29" t="str">
        <f>Sales_data!F422</f>
        <v>Mohit Verma</v>
      </c>
      <c r="C424" s="29" t="str">
        <f>PROPER(TRIM(Sales_data!F422))</f>
        <v>Mohit Verma</v>
      </c>
      <c r="D424" s="29" t="str">
        <f>LEFT(C424,3)&amp;RIGHT(A424,3)&amp;LEFT(Sales_data!I422,2)</f>
        <v>Moh009Pu</v>
      </c>
      <c r="E424" s="29" t="str">
        <f>IF(ISNUMBER(SEARCH("@",Sales_data!T422)),LOWER(SUBSTITUTE(Sales_data!T422," ","")),"Invalid Email")</f>
        <v>mohit.verma@company.com</v>
      </c>
    </row>
    <row r="425" spans="1:5" ht="15" customHeight="1">
      <c r="A425" s="29" t="str">
        <f>Sales_data!B423</f>
        <v>C003</v>
      </c>
      <c r="B425" s="29" t="str">
        <f>Sales_data!F423</f>
        <v>Rohit Singh</v>
      </c>
      <c r="C425" s="29" t="str">
        <f>PROPER(TRIM(Sales_data!F423))</f>
        <v>Rohit Singh</v>
      </c>
      <c r="D425" s="29" t="str">
        <f>LEFT(C425,3)&amp;RIGHT(A425,3)&amp;LEFT(Sales_data!I423,2)</f>
        <v>Roh003Ja</v>
      </c>
      <c r="E425" s="29" t="str">
        <f>IF(ISNUMBER(SEARCH("@",Sales_data!T423)),LOWER(SUBSTITUTE(Sales_data!T423," ","")),"Invalid Email")</f>
        <v>rohit.singh@company.com</v>
      </c>
    </row>
    <row r="426" spans="1:5" ht="15" customHeight="1">
      <c r="A426" s="29" t="str">
        <f>Sales_data!B424</f>
        <v>C001</v>
      </c>
      <c r="B426" s="29" t="str">
        <f>Sales_data!F424</f>
        <v>Amit Sharma</v>
      </c>
      <c r="C426" s="29" t="str">
        <f>PROPER(TRIM(Sales_data!F424))</f>
        <v>Amit Sharma</v>
      </c>
      <c r="D426" s="29" t="str">
        <f>LEFT(C426,3)&amp;RIGHT(A426,3)&amp;LEFT(Sales_data!I424,2)</f>
        <v>Ami001Ja</v>
      </c>
      <c r="E426" s="29" t="str">
        <f>IF(ISNUMBER(SEARCH("@",Sales_data!T424)),LOWER(SUBSTITUTE(Sales_data!T424," ","")),"Invalid Email")</f>
        <v>amit.sharma@company.com</v>
      </c>
    </row>
    <row r="427" spans="1:5" ht="15" customHeight="1">
      <c r="A427" s="29" t="str">
        <f>Sales_data!B425</f>
        <v>C003</v>
      </c>
      <c r="B427" s="29" t="str">
        <f>Sales_data!F425</f>
        <v>Rohit Singh</v>
      </c>
      <c r="C427" s="29" t="str">
        <f>PROPER(TRIM(Sales_data!F425))</f>
        <v>Rohit Singh</v>
      </c>
      <c r="D427" s="29" t="str">
        <f>LEFT(C427,3)&amp;RIGHT(A427,3)&amp;LEFT(Sales_data!I425,2)</f>
        <v>Roh003Ko</v>
      </c>
      <c r="E427" s="29" t="str">
        <f>IF(ISNUMBER(SEARCH("@",Sales_data!T425)),LOWER(SUBSTITUTE(Sales_data!T425," ","")),"Invalid Email")</f>
        <v>rohit.singh@company.com</v>
      </c>
    </row>
    <row r="428" spans="1:5" ht="15" customHeight="1">
      <c r="A428" s="29" t="str">
        <f>Sales_data!B426</f>
        <v>C005</v>
      </c>
      <c r="B428" s="29" t="str">
        <f>Sales_data!F426</f>
        <v>Vikas Mehta</v>
      </c>
      <c r="C428" s="29" t="str">
        <f>PROPER(TRIM(Sales_data!F426))</f>
        <v>Vikas Mehta</v>
      </c>
      <c r="D428" s="29" t="str">
        <f>LEFT(C428,3)&amp;RIGHT(A428,3)&amp;LEFT(Sales_data!I426,2)</f>
        <v>Vik005Pu</v>
      </c>
      <c r="E428" s="29" t="str">
        <f>IF(ISNUMBER(SEARCH("@",Sales_data!T426)),LOWER(SUBSTITUTE(Sales_data!T426," ","")),"Invalid Email")</f>
        <v>vikas.mehta@company.com</v>
      </c>
    </row>
    <row r="429" spans="1:5" ht="15" customHeight="1">
      <c r="A429" s="29" t="str">
        <f>Sales_data!B427</f>
        <v>C002</v>
      </c>
      <c r="B429" s="29" t="str">
        <f>Sales_data!F427</f>
        <v>Priya Patel</v>
      </c>
      <c r="C429" s="29" t="str">
        <f>PROPER(TRIM(Sales_data!F427))</f>
        <v>Priya Patel</v>
      </c>
      <c r="D429" s="29" t="str">
        <f>LEFT(C429,3)&amp;RIGHT(A429,3)&amp;LEFT(Sales_data!I427,2)</f>
        <v>Pri002Mu</v>
      </c>
      <c r="E429" s="29" t="str">
        <f>IF(ISNUMBER(SEARCH("@",Sales_data!T427)),LOWER(SUBSTITUTE(Sales_data!T427," ","")),"Invalid Email")</f>
        <v>priya.patel@company.com</v>
      </c>
    </row>
    <row r="430" spans="1:5" ht="15" customHeight="1">
      <c r="A430" s="29" t="str">
        <f>Sales_data!B428</f>
        <v>C007</v>
      </c>
      <c r="B430" s="29" t="str">
        <f>Sales_data!F428</f>
        <v>Arjun Rao</v>
      </c>
      <c r="C430" s="29" t="str">
        <f>PROPER(TRIM(Sales_data!F428))</f>
        <v>Arjun Rao</v>
      </c>
      <c r="D430" s="29" t="str">
        <f>LEFT(C430,3)&amp;RIGHT(A430,3)&amp;LEFT(Sales_data!I428,2)</f>
        <v>Arj007Ja</v>
      </c>
      <c r="E430" s="29" t="str">
        <f>IF(ISNUMBER(SEARCH("@",Sales_data!T428)),LOWER(SUBSTITUTE(Sales_data!T428," ","")),"Invalid Email")</f>
        <v>arjun.rao@company.com</v>
      </c>
    </row>
    <row r="431" spans="1:5" ht="15" customHeight="1">
      <c r="A431" s="29" t="str">
        <f>Sales_data!B429</f>
        <v>C009</v>
      </c>
      <c r="B431" s="29" t="str">
        <f>Sales_data!F429</f>
        <v>Mohit Verma</v>
      </c>
      <c r="C431" s="29" t="str">
        <f>PROPER(TRIM(Sales_data!F429))</f>
        <v>Mohit Verma</v>
      </c>
      <c r="D431" s="29" t="str">
        <f>LEFT(C431,3)&amp;RIGHT(A431,3)&amp;LEFT(Sales_data!I429,2)</f>
        <v>Moh009Pu</v>
      </c>
      <c r="E431" s="29" t="str">
        <f>IF(ISNUMBER(SEARCH("@",Sales_data!T429)),LOWER(SUBSTITUTE(Sales_data!T429," ","")),"Invalid Email")</f>
        <v>mohit.verma@company.com</v>
      </c>
    </row>
    <row r="432" spans="1:5" ht="15" customHeight="1">
      <c r="A432" s="29" t="str">
        <f>Sales_data!B430</f>
        <v>C006</v>
      </c>
      <c r="B432" s="29" t="str">
        <f>Sales_data!F430</f>
        <v>Sneha Joshi</v>
      </c>
      <c r="C432" s="29" t="str">
        <f>PROPER(TRIM(Sales_data!F430))</f>
        <v>Sneha Joshi</v>
      </c>
      <c r="D432" s="29" t="str">
        <f>LEFT(C432,3)&amp;RIGHT(A432,3)&amp;LEFT(Sales_data!I430,2)</f>
        <v>Sne006Be</v>
      </c>
      <c r="E432" s="29" t="str">
        <f>IF(ISNUMBER(SEARCH("@",Sales_data!T430)),LOWER(SUBSTITUTE(Sales_data!T430," ","")),"Invalid Email")</f>
        <v>sneha.joshi@company.com</v>
      </c>
    </row>
    <row r="433" spans="1:5" ht="15" customHeight="1">
      <c r="A433" s="29" t="str">
        <f>Sales_data!B431</f>
        <v>C007</v>
      </c>
      <c r="B433" s="29" t="str">
        <f>Sales_data!F431</f>
        <v>Arjun Rao</v>
      </c>
      <c r="C433" s="29" t="str">
        <f>PROPER(TRIM(Sales_data!F431))</f>
        <v>Arjun Rao</v>
      </c>
      <c r="D433" s="29" t="str">
        <f>LEFT(C433,3)&amp;RIGHT(A433,3)&amp;LEFT(Sales_data!I431,2)</f>
        <v>Arj007Ja</v>
      </c>
      <c r="E433" s="29" t="str">
        <f>IF(ISNUMBER(SEARCH("@",Sales_data!T431)),LOWER(SUBSTITUTE(Sales_data!T431," ","")),"Invalid Email")</f>
        <v>arjun.rao@company.com</v>
      </c>
    </row>
    <row r="434" spans="1:5" ht="15" customHeight="1">
      <c r="A434" s="29" t="str">
        <f>Sales_data!B432</f>
        <v>C010</v>
      </c>
      <c r="B434" s="29" t="str">
        <f>Sales_data!F432</f>
        <v>Pooja Shah</v>
      </c>
      <c r="C434" s="29" t="str">
        <f>PROPER(TRIM(Sales_data!F432))</f>
        <v>Pooja Shah</v>
      </c>
      <c r="D434" s="29" t="str">
        <f>LEFT(C434,3)&amp;RIGHT(A434,3)&amp;LEFT(Sales_data!I432,2)</f>
        <v>Poo010Ja</v>
      </c>
      <c r="E434" s="29" t="str">
        <f>IF(ISNUMBER(SEARCH("@",Sales_data!T432)),LOWER(SUBSTITUTE(Sales_data!T432," ","")),"Invalid Email")</f>
        <v>pooja.shah@company.com</v>
      </c>
    </row>
    <row r="435" spans="1:5" ht="15" customHeight="1">
      <c r="A435" s="29" t="str">
        <f>Sales_data!B433</f>
        <v>C006</v>
      </c>
      <c r="B435" s="29" t="str">
        <f>Sales_data!F433</f>
        <v>Sneha Joshi</v>
      </c>
      <c r="C435" s="29" t="str">
        <f>PROPER(TRIM(Sales_data!F433))</f>
        <v>Sneha Joshi</v>
      </c>
      <c r="D435" s="29" t="str">
        <f>LEFT(C435,3)&amp;RIGHT(A435,3)&amp;LEFT(Sales_data!I433,2)</f>
        <v>Sne006Mu</v>
      </c>
      <c r="E435" s="29" t="str">
        <f>IF(ISNUMBER(SEARCH("@",Sales_data!T433)),LOWER(SUBSTITUTE(Sales_data!T433," ","")),"Invalid Email")</f>
        <v>sneha.joshi@company.com</v>
      </c>
    </row>
    <row r="436" spans="1:5" ht="15" customHeight="1">
      <c r="A436" s="29" t="str">
        <f>Sales_data!B434</f>
        <v>C001</v>
      </c>
      <c r="B436" s="29" t="str">
        <f>Sales_data!F434</f>
        <v>Amit Sharma</v>
      </c>
      <c r="C436" s="29" t="str">
        <f>PROPER(TRIM(Sales_data!F434))</f>
        <v>Amit Sharma</v>
      </c>
      <c r="D436" s="29" t="str">
        <f>LEFT(C436,3)&amp;RIGHT(A436,3)&amp;LEFT(Sales_data!I434,2)</f>
        <v>Ami001Ko</v>
      </c>
      <c r="E436" s="29" t="str">
        <f>IF(ISNUMBER(SEARCH("@",Sales_data!T434)),LOWER(SUBSTITUTE(Sales_data!T434," ","")),"Invalid Email")</f>
        <v>amit.sharma@company.com</v>
      </c>
    </row>
    <row r="437" spans="1:5" ht="15" customHeight="1">
      <c r="A437" s="29" t="str">
        <f>Sales_data!B435</f>
        <v>C008</v>
      </c>
      <c r="B437" s="29" t="str">
        <f>Sales_data!F435</f>
        <v>Kavya Nair</v>
      </c>
      <c r="C437" s="29" t="str">
        <f>PROPER(TRIM(Sales_data!F435))</f>
        <v>Kavya Nair</v>
      </c>
      <c r="D437" s="29" t="str">
        <f>LEFT(C437,3)&amp;RIGHT(A437,3)&amp;LEFT(Sales_data!I435,2)</f>
        <v>Kav008Ko</v>
      </c>
      <c r="E437" s="29" t="str">
        <f>IF(ISNUMBER(SEARCH("@",Sales_data!T435)),LOWER(SUBSTITUTE(Sales_data!T435," ","")),"Invalid Email")</f>
        <v>kavya.nair@company.com</v>
      </c>
    </row>
    <row r="438" spans="1:5" ht="15" customHeight="1">
      <c r="A438" s="29" t="str">
        <f>Sales_data!B436</f>
        <v>C001</v>
      </c>
      <c r="B438" s="29" t="str">
        <f>Sales_data!F436</f>
        <v>Amit Sharma</v>
      </c>
      <c r="C438" s="29" t="str">
        <f>PROPER(TRIM(Sales_data!F436))</f>
        <v>Amit Sharma</v>
      </c>
      <c r="D438" s="29" t="str">
        <f>LEFT(C438,3)&amp;RIGHT(A438,3)&amp;LEFT(Sales_data!I436,2)</f>
        <v>Ami001Mu</v>
      </c>
      <c r="E438" s="29" t="str">
        <f>IF(ISNUMBER(SEARCH("@",Sales_data!T436)),LOWER(SUBSTITUTE(Sales_data!T436," ","")),"Invalid Email")</f>
        <v>amit.sharma@company.com</v>
      </c>
    </row>
    <row r="439" spans="1:5" ht="15" customHeight="1">
      <c r="A439" s="29" t="str">
        <f>Sales_data!B437</f>
        <v>C008</v>
      </c>
      <c r="B439" s="29" t="str">
        <f>Sales_data!F437</f>
        <v>Kavya Nair</v>
      </c>
      <c r="C439" s="29" t="str">
        <f>PROPER(TRIM(Sales_data!F437))</f>
        <v>Kavya Nair</v>
      </c>
      <c r="D439" s="29" t="str">
        <f>LEFT(C439,3)&amp;RIGHT(A439,3)&amp;LEFT(Sales_data!I437,2)</f>
        <v>Kav008Ah</v>
      </c>
      <c r="E439" s="29" t="str">
        <f>IF(ISNUMBER(SEARCH("@",Sales_data!T437)),LOWER(SUBSTITUTE(Sales_data!T437," ","")),"Invalid Email")</f>
        <v>kavya.nair@company.com</v>
      </c>
    </row>
    <row r="440" spans="1:5" ht="15" customHeight="1">
      <c r="A440" s="29" t="str">
        <f>Sales_data!B438</f>
        <v>C003</v>
      </c>
      <c r="B440" s="29" t="str">
        <f>Sales_data!F438</f>
        <v>Rohit Singh</v>
      </c>
      <c r="C440" s="29" t="str">
        <f>PROPER(TRIM(Sales_data!F438))</f>
        <v>Rohit Singh</v>
      </c>
      <c r="D440" s="29" t="str">
        <f>LEFT(C440,3)&amp;RIGHT(A440,3)&amp;LEFT(Sales_data!I438,2)</f>
        <v>Roh003Hy</v>
      </c>
      <c r="E440" s="29" t="str">
        <f>IF(ISNUMBER(SEARCH("@",Sales_data!T438)),LOWER(SUBSTITUTE(Sales_data!T438," ","")),"Invalid Email")</f>
        <v>rohit.singh@company.com</v>
      </c>
    </row>
    <row r="441" spans="1:5" ht="15" customHeight="1">
      <c r="A441" s="29" t="str">
        <f>Sales_data!B439</f>
        <v>C002</v>
      </c>
      <c r="B441" s="29" t="str">
        <f>Sales_data!F439</f>
        <v>Priya Patel</v>
      </c>
      <c r="C441" s="29" t="str">
        <f>PROPER(TRIM(Sales_data!F439))</f>
        <v>Priya Patel</v>
      </c>
      <c r="D441" s="29" t="str">
        <f>LEFT(C441,3)&amp;RIGHT(A441,3)&amp;LEFT(Sales_data!I439,2)</f>
        <v>Pri002Ko</v>
      </c>
      <c r="E441" s="29" t="str">
        <f>IF(ISNUMBER(SEARCH("@",Sales_data!T439)),LOWER(SUBSTITUTE(Sales_data!T439," ","")),"Invalid Email")</f>
        <v>priya.patel@company.com</v>
      </c>
    </row>
    <row r="442" spans="1:5" ht="15" customHeight="1">
      <c r="A442" s="29" t="str">
        <f>Sales_data!B440</f>
        <v>C007</v>
      </c>
      <c r="B442" s="29" t="str">
        <f>Sales_data!F440</f>
        <v>Arjun Rao</v>
      </c>
      <c r="C442" s="29" t="str">
        <f>PROPER(TRIM(Sales_data!F440))</f>
        <v>Arjun Rao</v>
      </c>
      <c r="D442" s="29" t="str">
        <f>LEFT(C442,3)&amp;RIGHT(A442,3)&amp;LEFT(Sales_data!I440,2)</f>
        <v>Arj007Ah</v>
      </c>
      <c r="E442" s="29" t="str">
        <f>IF(ISNUMBER(SEARCH("@",Sales_data!T440)),LOWER(SUBSTITUTE(Sales_data!T440," ","")),"Invalid Email")</f>
        <v>arjun.rao@company.com</v>
      </c>
    </row>
    <row r="443" spans="1:5" ht="15" customHeight="1">
      <c r="A443" s="29" t="str">
        <f>Sales_data!B441</f>
        <v>C007</v>
      </c>
      <c r="B443" s="29" t="str">
        <f>Sales_data!F441</f>
        <v>Arjun Rao</v>
      </c>
      <c r="C443" s="29" t="str">
        <f>PROPER(TRIM(Sales_data!F441))</f>
        <v>Arjun Rao</v>
      </c>
      <c r="D443" s="29" t="str">
        <f>LEFT(C443,3)&amp;RIGHT(A443,3)&amp;LEFT(Sales_data!I441,2)</f>
        <v>Arj007De</v>
      </c>
      <c r="E443" s="29" t="str">
        <f>IF(ISNUMBER(SEARCH("@",Sales_data!T441)),LOWER(SUBSTITUTE(Sales_data!T441," ","")),"Invalid Email")</f>
        <v>arjun.rao@company.com</v>
      </c>
    </row>
    <row r="444" spans="1:5" ht="15" customHeight="1">
      <c r="A444" s="29" t="str">
        <f>Sales_data!B442</f>
        <v>C001</v>
      </c>
      <c r="B444" s="29" t="str">
        <f>Sales_data!F442</f>
        <v>Amit Sharma</v>
      </c>
      <c r="C444" s="29" t="str">
        <f>PROPER(TRIM(Sales_data!F442))</f>
        <v>Amit Sharma</v>
      </c>
      <c r="D444" s="29" t="str">
        <f>LEFT(C444,3)&amp;RIGHT(A444,3)&amp;LEFT(Sales_data!I442,2)</f>
        <v>Ami001Ah</v>
      </c>
      <c r="E444" s="29" t="str">
        <f>IF(ISNUMBER(SEARCH("@",Sales_data!T442)),LOWER(SUBSTITUTE(Sales_data!T442," ","")),"Invalid Email")</f>
        <v>amit.sharma@company.com</v>
      </c>
    </row>
    <row r="445" spans="1:5" ht="15" customHeight="1">
      <c r="A445" s="29" t="str">
        <f>Sales_data!B443</f>
        <v>C007</v>
      </c>
      <c r="B445" s="29" t="str">
        <f>Sales_data!F443</f>
        <v>Arjun Rao</v>
      </c>
      <c r="C445" s="29" t="str">
        <f>PROPER(TRIM(Sales_data!F443))</f>
        <v>Arjun Rao</v>
      </c>
      <c r="D445" s="29" t="str">
        <f>LEFT(C445,3)&amp;RIGHT(A445,3)&amp;LEFT(Sales_data!I443,2)</f>
        <v>Arj007Ja</v>
      </c>
      <c r="E445" s="29" t="str">
        <f>IF(ISNUMBER(SEARCH("@",Sales_data!T443)),LOWER(SUBSTITUTE(Sales_data!T443," ","")),"Invalid Email")</f>
        <v>arjun.rao@company.com</v>
      </c>
    </row>
    <row r="446" spans="1:5" ht="15" customHeight="1">
      <c r="A446" s="29" t="str">
        <f>Sales_data!B444</f>
        <v>C003</v>
      </c>
      <c r="B446" s="29" t="str">
        <f>Sales_data!F444</f>
        <v>Rohit Singh</v>
      </c>
      <c r="C446" s="29" t="str">
        <f>PROPER(TRIM(Sales_data!F444))</f>
        <v>Rohit Singh</v>
      </c>
      <c r="D446" s="29" t="str">
        <f>LEFT(C446,3)&amp;RIGHT(A446,3)&amp;LEFT(Sales_data!I444,2)</f>
        <v>Roh003Mu</v>
      </c>
      <c r="E446" s="29" t="str">
        <f>IF(ISNUMBER(SEARCH("@",Sales_data!T444)),LOWER(SUBSTITUTE(Sales_data!T444," ","")),"Invalid Email")</f>
        <v>rohit.singh@company.com</v>
      </c>
    </row>
    <row r="447" spans="1:5" ht="15" customHeight="1">
      <c r="A447" s="29" t="str">
        <f>Sales_data!B445</f>
        <v>C004</v>
      </c>
      <c r="B447" s="29" t="str">
        <f>Sales_data!F445</f>
        <v>Anita Gupta</v>
      </c>
      <c r="C447" s="29" t="str">
        <f>PROPER(TRIM(Sales_data!F445))</f>
        <v>Anita Gupta</v>
      </c>
      <c r="D447" s="29" t="str">
        <f>LEFT(C447,3)&amp;RIGHT(A447,3)&amp;LEFT(Sales_data!I445,2)</f>
        <v>Ani004Ah</v>
      </c>
      <c r="E447" s="29" t="str">
        <f>IF(ISNUMBER(SEARCH("@",Sales_data!T445)),LOWER(SUBSTITUTE(Sales_data!T445," ","")),"Invalid Email")</f>
        <v>anita.gupta@company.com</v>
      </c>
    </row>
    <row r="448" spans="1:5" ht="15" customHeight="1">
      <c r="A448" s="29" t="str">
        <f>Sales_data!B446</f>
        <v>C010</v>
      </c>
      <c r="B448" s="29" t="str">
        <f>Sales_data!F446</f>
        <v>Pooja Shah</v>
      </c>
      <c r="C448" s="29" t="str">
        <f>PROPER(TRIM(Sales_data!F446))</f>
        <v>Pooja Shah</v>
      </c>
      <c r="D448" s="29" t="str">
        <f>LEFT(C448,3)&amp;RIGHT(A448,3)&amp;LEFT(Sales_data!I446,2)</f>
        <v>Poo010Hy</v>
      </c>
      <c r="E448" s="29" t="str">
        <f>IF(ISNUMBER(SEARCH("@",Sales_data!T446)),LOWER(SUBSTITUTE(Sales_data!T446," ","")),"Invalid Email")</f>
        <v>pooja.shah@company.com</v>
      </c>
    </row>
    <row r="449" spans="1:5" ht="15" customHeight="1">
      <c r="A449" s="29" t="str">
        <f>Sales_data!B447</f>
        <v>C005</v>
      </c>
      <c r="B449" s="29" t="str">
        <f>Sales_data!F447</f>
        <v>Vikas Mehta</v>
      </c>
      <c r="C449" s="29" t="str">
        <f>PROPER(TRIM(Sales_data!F447))</f>
        <v>Vikas Mehta</v>
      </c>
      <c r="D449" s="29" t="str">
        <f>LEFT(C449,3)&amp;RIGHT(A449,3)&amp;LEFT(Sales_data!I447,2)</f>
        <v>Vik005Hy</v>
      </c>
      <c r="E449" s="29" t="str">
        <f>IF(ISNUMBER(SEARCH("@",Sales_data!T447)),LOWER(SUBSTITUTE(Sales_data!T447," ","")),"Invalid Email")</f>
        <v>vikas.mehta@company.com</v>
      </c>
    </row>
    <row r="450" spans="1:5" ht="15" customHeight="1">
      <c r="A450" s="29" t="str">
        <f>Sales_data!B448</f>
        <v>C008</v>
      </c>
      <c r="B450" s="29" t="str">
        <f>Sales_data!F448</f>
        <v>Kavya Nair</v>
      </c>
      <c r="C450" s="29" t="str">
        <f>PROPER(TRIM(Sales_data!F448))</f>
        <v>Kavya Nair</v>
      </c>
      <c r="D450" s="29" t="str">
        <f>LEFT(C450,3)&amp;RIGHT(A450,3)&amp;LEFT(Sales_data!I448,2)</f>
        <v>Kav008Mu</v>
      </c>
      <c r="E450" s="29" t="str">
        <f>IF(ISNUMBER(SEARCH("@",Sales_data!T448)),LOWER(SUBSTITUTE(Sales_data!T448," ","")),"Invalid Email")</f>
        <v>kavya.nair@company.com</v>
      </c>
    </row>
    <row r="451" spans="1:5" ht="15" customHeight="1">
      <c r="A451" s="29" t="str">
        <f>Sales_data!B449</f>
        <v>C008</v>
      </c>
      <c r="B451" s="29" t="str">
        <f>Sales_data!F449</f>
        <v>Kavya Nair</v>
      </c>
      <c r="C451" s="29" t="str">
        <f>PROPER(TRIM(Sales_data!F449))</f>
        <v>Kavya Nair</v>
      </c>
      <c r="D451" s="29" t="str">
        <f>LEFT(C451,3)&amp;RIGHT(A451,3)&amp;LEFT(Sales_data!I449,2)</f>
        <v>Kav008Pu</v>
      </c>
      <c r="E451" s="29" t="str">
        <f>IF(ISNUMBER(SEARCH("@",Sales_data!T449)),LOWER(SUBSTITUTE(Sales_data!T449," ","")),"Invalid Email")</f>
        <v>kavya.nair@company.com</v>
      </c>
    </row>
    <row r="452" spans="1:5" ht="15" customHeight="1">
      <c r="A452" s="29" t="str">
        <f>Sales_data!B450</f>
        <v>C001</v>
      </c>
      <c r="B452" s="29" t="str">
        <f>Sales_data!F450</f>
        <v>Amit Sharma</v>
      </c>
      <c r="C452" s="29" t="str">
        <f>PROPER(TRIM(Sales_data!F450))</f>
        <v>Amit Sharma</v>
      </c>
      <c r="D452" s="29" t="str">
        <f>LEFT(C452,3)&amp;RIGHT(A452,3)&amp;LEFT(Sales_data!I450,2)</f>
        <v>Ami001Ah</v>
      </c>
      <c r="E452" s="29" t="str">
        <f>IF(ISNUMBER(SEARCH("@",Sales_data!T450)),LOWER(SUBSTITUTE(Sales_data!T450," ","")),"Invalid Email")</f>
        <v>amit.sharma@company.com</v>
      </c>
    </row>
    <row r="453" spans="1:5" ht="15" customHeight="1">
      <c r="A453" s="29" t="str">
        <f>Sales_data!B451</f>
        <v>C001</v>
      </c>
      <c r="B453" s="29" t="str">
        <f>Sales_data!F451</f>
        <v>Amit Sharma</v>
      </c>
      <c r="C453" s="29" t="str">
        <f>PROPER(TRIM(Sales_data!F451))</f>
        <v>Amit Sharma</v>
      </c>
      <c r="D453" s="29" t="str">
        <f>LEFT(C453,3)&amp;RIGHT(A453,3)&amp;LEFT(Sales_data!I451,2)</f>
        <v>Ami001Ko</v>
      </c>
      <c r="E453" s="29" t="str">
        <f>IF(ISNUMBER(SEARCH("@",Sales_data!T451)),LOWER(SUBSTITUTE(Sales_data!T451," ","")),"Invalid Email")</f>
        <v>amit.sharma@company.com</v>
      </c>
    </row>
    <row r="454" spans="1:5" ht="15" customHeight="1">
      <c r="A454" s="29" t="str">
        <f>Sales_data!B452</f>
        <v>C009</v>
      </c>
      <c r="B454" s="29" t="str">
        <f>Sales_data!F452</f>
        <v>Mohit Verma</v>
      </c>
      <c r="C454" s="29" t="str">
        <f>PROPER(TRIM(Sales_data!F452))</f>
        <v>Mohit Verma</v>
      </c>
      <c r="D454" s="29" t="str">
        <f>LEFT(C454,3)&amp;RIGHT(A454,3)&amp;LEFT(Sales_data!I452,2)</f>
        <v>Moh009Hy</v>
      </c>
      <c r="E454" s="29" t="str">
        <f>IF(ISNUMBER(SEARCH("@",Sales_data!T452)),LOWER(SUBSTITUTE(Sales_data!T452," ","")),"Invalid Email")</f>
        <v>mohit.verma@company.com</v>
      </c>
    </row>
    <row r="455" spans="1:5" ht="15" customHeight="1">
      <c r="A455" s="29" t="str">
        <f>Sales_data!B453</f>
        <v>C009</v>
      </c>
      <c r="B455" s="29" t="str">
        <f>Sales_data!F453</f>
        <v>Mohit Verma</v>
      </c>
      <c r="C455" s="29" t="str">
        <f>PROPER(TRIM(Sales_data!F453))</f>
        <v>Mohit Verma</v>
      </c>
      <c r="D455" s="29" t="str">
        <f>LEFT(C455,3)&amp;RIGHT(A455,3)&amp;LEFT(Sales_data!I453,2)</f>
        <v>Moh009De</v>
      </c>
      <c r="E455" s="29" t="str">
        <f>IF(ISNUMBER(SEARCH("@",Sales_data!T453)),LOWER(SUBSTITUTE(Sales_data!T453," ","")),"Invalid Email")</f>
        <v>mohit.verma@company.com</v>
      </c>
    </row>
    <row r="456" spans="1:5" ht="15" customHeight="1">
      <c r="A456" s="29" t="str">
        <f>Sales_data!B454</f>
        <v>C010</v>
      </c>
      <c r="B456" s="29" t="str">
        <f>Sales_data!F454</f>
        <v>Pooja Shah</v>
      </c>
      <c r="C456" s="29" t="str">
        <f>PROPER(TRIM(Sales_data!F454))</f>
        <v>Pooja Shah</v>
      </c>
      <c r="D456" s="29" t="str">
        <f>LEFT(C456,3)&amp;RIGHT(A456,3)&amp;LEFT(Sales_data!I454,2)</f>
        <v>Poo010Ah</v>
      </c>
      <c r="E456" s="29" t="str">
        <f>IF(ISNUMBER(SEARCH("@",Sales_data!T454)),LOWER(SUBSTITUTE(Sales_data!T454," ","")),"Invalid Email")</f>
        <v>pooja.shah@company.com</v>
      </c>
    </row>
    <row r="457" spans="1:5" ht="15" customHeight="1">
      <c r="A457" s="29" t="str">
        <f>Sales_data!B455</f>
        <v>C006</v>
      </c>
      <c r="B457" s="29" t="str">
        <f>Sales_data!F455</f>
        <v>Sneha Joshi</v>
      </c>
      <c r="C457" s="29" t="str">
        <f>PROPER(TRIM(Sales_data!F455))</f>
        <v>Sneha Joshi</v>
      </c>
      <c r="D457" s="29" t="str">
        <f>LEFT(C457,3)&amp;RIGHT(A457,3)&amp;LEFT(Sales_data!I455,2)</f>
        <v>Sne006Ah</v>
      </c>
      <c r="E457" s="29" t="str">
        <f>IF(ISNUMBER(SEARCH("@",Sales_data!T455)),LOWER(SUBSTITUTE(Sales_data!T455," ","")),"Invalid Email")</f>
        <v>sneha.joshi@company.com</v>
      </c>
    </row>
    <row r="458" spans="1:5" ht="15" customHeight="1">
      <c r="A458" s="29" t="str">
        <f>Sales_data!B456</f>
        <v>C009</v>
      </c>
      <c r="B458" s="29" t="str">
        <f>Sales_data!F456</f>
        <v>Mohit Verma</v>
      </c>
      <c r="C458" s="29" t="str">
        <f>PROPER(TRIM(Sales_data!F456))</f>
        <v>Mohit Verma</v>
      </c>
      <c r="D458" s="29" t="str">
        <f>LEFT(C458,3)&amp;RIGHT(A458,3)&amp;LEFT(Sales_data!I456,2)</f>
        <v>Moh009Ko</v>
      </c>
      <c r="E458" s="29" t="str">
        <f>IF(ISNUMBER(SEARCH("@",Sales_data!T456)),LOWER(SUBSTITUTE(Sales_data!T456," ","")),"Invalid Email")</f>
        <v>mohit.verma@company.com</v>
      </c>
    </row>
    <row r="459" spans="1:5" ht="15" customHeight="1">
      <c r="A459" s="29" t="str">
        <f>Sales_data!B457</f>
        <v>C010</v>
      </c>
      <c r="B459" s="29" t="str">
        <f>Sales_data!F457</f>
        <v>Pooja Shah</v>
      </c>
      <c r="C459" s="29" t="str">
        <f>PROPER(TRIM(Sales_data!F457))</f>
        <v>Pooja Shah</v>
      </c>
      <c r="D459" s="29" t="str">
        <f>LEFT(C459,3)&amp;RIGHT(A459,3)&amp;LEFT(Sales_data!I457,2)</f>
        <v>Poo010Pu</v>
      </c>
      <c r="E459" s="29" t="str">
        <f>IF(ISNUMBER(SEARCH("@",Sales_data!T457)),LOWER(SUBSTITUTE(Sales_data!T457," ","")),"Invalid Email")</f>
        <v>pooja.shah@company.com</v>
      </c>
    </row>
    <row r="460" spans="1:5" ht="15" customHeight="1">
      <c r="A460" s="29" t="str">
        <f>Sales_data!B458</f>
        <v>C001</v>
      </c>
      <c r="B460" s="29" t="str">
        <f>Sales_data!F458</f>
        <v>Amit Sharma</v>
      </c>
      <c r="C460" s="29" t="str">
        <f>PROPER(TRIM(Sales_data!F458))</f>
        <v>Amit Sharma</v>
      </c>
      <c r="D460" s="29" t="str">
        <f>LEFT(C460,3)&amp;RIGHT(A460,3)&amp;LEFT(Sales_data!I458,2)</f>
        <v>Ami001Be</v>
      </c>
      <c r="E460" s="29" t="str">
        <f>IF(ISNUMBER(SEARCH("@",Sales_data!T458)),LOWER(SUBSTITUTE(Sales_data!T458," ","")),"Invalid Email")</f>
        <v>amit.sharma@company.com</v>
      </c>
    </row>
    <row r="461" spans="1:5" ht="15" customHeight="1">
      <c r="A461" s="29" t="str">
        <f>Sales_data!B459</f>
        <v>C002</v>
      </c>
      <c r="B461" s="29" t="str">
        <f>Sales_data!F459</f>
        <v>Priya Patel</v>
      </c>
      <c r="C461" s="29" t="str">
        <f>PROPER(TRIM(Sales_data!F459))</f>
        <v>Priya Patel</v>
      </c>
      <c r="D461" s="29" t="str">
        <f>LEFT(C461,3)&amp;RIGHT(A461,3)&amp;LEFT(Sales_data!I459,2)</f>
        <v>Pri002Ah</v>
      </c>
      <c r="E461" s="29" t="str">
        <f>IF(ISNUMBER(SEARCH("@",Sales_data!T459)),LOWER(SUBSTITUTE(Sales_data!T459," ","")),"Invalid Email")</f>
        <v>priya.patel@company.com</v>
      </c>
    </row>
    <row r="462" spans="1:5" ht="15" customHeight="1">
      <c r="A462" s="29" t="str">
        <f>Sales_data!B460</f>
        <v>C005</v>
      </c>
      <c r="B462" s="29" t="str">
        <f>Sales_data!F460</f>
        <v>Vikas Mehta</v>
      </c>
      <c r="C462" s="29" t="str">
        <f>PROPER(TRIM(Sales_data!F460))</f>
        <v>Vikas Mehta</v>
      </c>
      <c r="D462" s="29" t="str">
        <f>LEFT(C462,3)&amp;RIGHT(A462,3)&amp;LEFT(Sales_data!I460,2)</f>
        <v>Vik005Mu</v>
      </c>
      <c r="E462" s="29" t="str">
        <f>IF(ISNUMBER(SEARCH("@",Sales_data!T460)),LOWER(SUBSTITUTE(Sales_data!T460," ","")),"Invalid Email")</f>
        <v>vikas.mehta@company.com</v>
      </c>
    </row>
    <row r="463" spans="1:5" ht="15" customHeight="1">
      <c r="A463" s="29" t="str">
        <f>Sales_data!B461</f>
        <v>C001</v>
      </c>
      <c r="B463" s="29" t="str">
        <f>Sales_data!F461</f>
        <v>Amit Sharma</v>
      </c>
      <c r="C463" s="29" t="str">
        <f>PROPER(TRIM(Sales_data!F461))</f>
        <v>Amit Sharma</v>
      </c>
      <c r="D463" s="29" t="str">
        <f>LEFT(C463,3)&amp;RIGHT(A463,3)&amp;LEFT(Sales_data!I461,2)</f>
        <v>Ami001Be</v>
      </c>
      <c r="E463" s="29" t="str">
        <f>IF(ISNUMBER(SEARCH("@",Sales_data!T461)),LOWER(SUBSTITUTE(Sales_data!T461," ","")),"Invalid Email")</f>
        <v>amit.sharma@company.com</v>
      </c>
    </row>
    <row r="464" spans="1:5" ht="15" customHeight="1">
      <c r="A464" s="29" t="str">
        <f>Sales_data!B462</f>
        <v>C001</v>
      </c>
      <c r="B464" s="29" t="str">
        <f>Sales_data!F462</f>
        <v>Amit Sharma</v>
      </c>
      <c r="C464" s="29" t="str">
        <f>PROPER(TRIM(Sales_data!F462))</f>
        <v>Amit Sharma</v>
      </c>
      <c r="D464" s="29" t="str">
        <f>LEFT(C464,3)&amp;RIGHT(A464,3)&amp;LEFT(Sales_data!I462,2)</f>
        <v>Ami001De</v>
      </c>
      <c r="E464" s="29" t="str">
        <f>IF(ISNUMBER(SEARCH("@",Sales_data!T462)),LOWER(SUBSTITUTE(Sales_data!T462," ","")),"Invalid Email")</f>
        <v>amit.sharma@company.com</v>
      </c>
    </row>
    <row r="465" spans="1:5" ht="15" customHeight="1">
      <c r="A465" s="29" t="str">
        <f>Sales_data!B463</f>
        <v>C003</v>
      </c>
      <c r="B465" s="29" t="str">
        <f>Sales_data!F463</f>
        <v>Rohit Singh</v>
      </c>
      <c r="C465" s="29" t="str">
        <f>PROPER(TRIM(Sales_data!F463))</f>
        <v>Rohit Singh</v>
      </c>
      <c r="D465" s="29" t="str">
        <f>LEFT(C465,3)&amp;RIGHT(A465,3)&amp;LEFT(Sales_data!I463,2)</f>
        <v>Roh003De</v>
      </c>
      <c r="E465" s="29" t="str">
        <f>IF(ISNUMBER(SEARCH("@",Sales_data!T463)),LOWER(SUBSTITUTE(Sales_data!T463," ","")),"Invalid Email")</f>
        <v>rohit.singh@company.com</v>
      </c>
    </row>
    <row r="466" spans="1:5" ht="15" customHeight="1">
      <c r="A466" s="29" t="str">
        <f>Sales_data!B464</f>
        <v>C009</v>
      </c>
      <c r="B466" s="29" t="str">
        <f>Sales_data!F464</f>
        <v>Mohit Verma</v>
      </c>
      <c r="C466" s="29" t="str">
        <f>PROPER(TRIM(Sales_data!F464))</f>
        <v>Mohit Verma</v>
      </c>
      <c r="D466" s="29" t="str">
        <f>LEFT(C466,3)&amp;RIGHT(A466,3)&amp;LEFT(Sales_data!I464,2)</f>
        <v>Moh009Hy</v>
      </c>
      <c r="E466" s="29" t="str">
        <f>IF(ISNUMBER(SEARCH("@",Sales_data!T464)),LOWER(SUBSTITUTE(Sales_data!T464," ","")),"Invalid Email")</f>
        <v>mohit.verma@company.com</v>
      </c>
    </row>
    <row r="467" spans="1:5" ht="15" customHeight="1">
      <c r="A467" s="29" t="str">
        <f>Sales_data!B465</f>
        <v>C003</v>
      </c>
      <c r="B467" s="29" t="str">
        <f>Sales_data!F465</f>
        <v>Rohit Singh</v>
      </c>
      <c r="C467" s="29" t="str">
        <f>PROPER(TRIM(Sales_data!F465))</f>
        <v>Rohit Singh</v>
      </c>
      <c r="D467" s="29" t="str">
        <f>LEFT(C467,3)&amp;RIGHT(A467,3)&amp;LEFT(Sales_data!I465,2)</f>
        <v>Roh003Pu</v>
      </c>
      <c r="E467" s="29" t="str">
        <f>IF(ISNUMBER(SEARCH("@",Sales_data!T465)),LOWER(SUBSTITUTE(Sales_data!T465," ","")),"Invalid Email")</f>
        <v>rohit.singh@company.com</v>
      </c>
    </row>
    <row r="468" spans="1:5" ht="15" customHeight="1">
      <c r="A468" s="29" t="str">
        <f>Sales_data!B466</f>
        <v>C009</v>
      </c>
      <c r="B468" s="29" t="str">
        <f>Sales_data!F466</f>
        <v>Mohit Verma</v>
      </c>
      <c r="C468" s="29" t="str">
        <f>PROPER(TRIM(Sales_data!F466))</f>
        <v>Mohit Verma</v>
      </c>
      <c r="D468" s="29" t="str">
        <f>LEFT(C468,3)&amp;RIGHT(A468,3)&amp;LEFT(Sales_data!I466,2)</f>
        <v>Moh009Be</v>
      </c>
      <c r="E468" s="29" t="str">
        <f>IF(ISNUMBER(SEARCH("@",Sales_data!T466)),LOWER(SUBSTITUTE(Sales_data!T466," ","")),"Invalid Email")</f>
        <v>mohit.verma@company.com</v>
      </c>
    </row>
    <row r="469" spans="1:5" ht="15" customHeight="1">
      <c r="A469" s="29" t="str">
        <f>Sales_data!B467</f>
        <v>C007</v>
      </c>
      <c r="B469" s="29" t="str">
        <f>Sales_data!F467</f>
        <v>Arjun Rao</v>
      </c>
      <c r="C469" s="29" t="str">
        <f>PROPER(TRIM(Sales_data!F467))</f>
        <v>Arjun Rao</v>
      </c>
      <c r="D469" s="29" t="str">
        <f>LEFT(C469,3)&amp;RIGHT(A469,3)&amp;LEFT(Sales_data!I467,2)</f>
        <v>Arj007Ja</v>
      </c>
      <c r="E469" s="29" t="str">
        <f>IF(ISNUMBER(SEARCH("@",Sales_data!T467)),LOWER(SUBSTITUTE(Sales_data!T467," ","")),"Invalid Email")</f>
        <v>arjun.rao@company.com</v>
      </c>
    </row>
    <row r="470" spans="1:5" ht="15" customHeight="1">
      <c r="A470" s="29" t="str">
        <f>Sales_data!B468</f>
        <v>C010</v>
      </c>
      <c r="B470" s="29" t="str">
        <f>Sales_data!F468</f>
        <v>Pooja Shah</v>
      </c>
      <c r="C470" s="29" t="str">
        <f>PROPER(TRIM(Sales_data!F468))</f>
        <v>Pooja Shah</v>
      </c>
      <c r="D470" s="29" t="str">
        <f>LEFT(C470,3)&amp;RIGHT(A470,3)&amp;LEFT(Sales_data!I468,2)</f>
        <v>Poo010Pu</v>
      </c>
      <c r="E470" s="29" t="str">
        <f>IF(ISNUMBER(SEARCH("@",Sales_data!T468)),LOWER(SUBSTITUTE(Sales_data!T468," ","")),"Invalid Email")</f>
        <v>pooja.shah@company.com</v>
      </c>
    </row>
    <row r="471" spans="1:5" ht="15" customHeight="1">
      <c r="A471" s="29" t="str">
        <f>Sales_data!B469</f>
        <v>C008</v>
      </c>
      <c r="B471" s="29" t="str">
        <f>Sales_data!F469</f>
        <v>Kavya Nair</v>
      </c>
      <c r="C471" s="29" t="str">
        <f>PROPER(TRIM(Sales_data!F469))</f>
        <v>Kavya Nair</v>
      </c>
      <c r="D471" s="29" t="str">
        <f>LEFT(C471,3)&amp;RIGHT(A471,3)&amp;LEFT(Sales_data!I469,2)</f>
        <v>Kav008Ah</v>
      </c>
      <c r="E471" s="29" t="str">
        <f>IF(ISNUMBER(SEARCH("@",Sales_data!T469)),LOWER(SUBSTITUTE(Sales_data!T469," ","")),"Invalid Email")</f>
        <v>kavya.nair@company.com</v>
      </c>
    </row>
    <row r="472" spans="1:5" ht="15" customHeight="1">
      <c r="A472" s="29" t="str">
        <f>Sales_data!B470</f>
        <v>C002</v>
      </c>
      <c r="B472" s="29" t="str">
        <f>Sales_data!F470</f>
        <v>Priya Patel</v>
      </c>
      <c r="C472" s="29" t="str">
        <f>PROPER(TRIM(Sales_data!F470))</f>
        <v>Priya Patel</v>
      </c>
      <c r="D472" s="29" t="str">
        <f>LEFT(C472,3)&amp;RIGHT(A472,3)&amp;LEFT(Sales_data!I470,2)</f>
        <v>Pri002Mu</v>
      </c>
      <c r="E472" s="29" t="str">
        <f>IF(ISNUMBER(SEARCH("@",Sales_data!T470)),LOWER(SUBSTITUTE(Sales_data!T470," ","")),"Invalid Email")</f>
        <v>priya.patel@company.com</v>
      </c>
    </row>
    <row r="473" spans="1:5" ht="15" customHeight="1">
      <c r="A473" s="29" t="str">
        <f>Sales_data!B471</f>
        <v>C001</v>
      </c>
      <c r="B473" s="29" t="str">
        <f>Sales_data!F471</f>
        <v>Amit Sharma</v>
      </c>
      <c r="C473" s="29" t="str">
        <f>PROPER(TRIM(Sales_data!F471))</f>
        <v>Amit Sharma</v>
      </c>
      <c r="D473" s="29" t="str">
        <f>LEFT(C473,3)&amp;RIGHT(A473,3)&amp;LEFT(Sales_data!I471,2)</f>
        <v>Ami001Pu</v>
      </c>
      <c r="E473" s="29" t="str">
        <f>IF(ISNUMBER(SEARCH("@",Sales_data!T471)),LOWER(SUBSTITUTE(Sales_data!T471," ","")),"Invalid Email")</f>
        <v>amit.sharma@company.com</v>
      </c>
    </row>
    <row r="474" spans="1:5" ht="15" customHeight="1">
      <c r="A474" s="29" t="str">
        <f>Sales_data!B472</f>
        <v>C008</v>
      </c>
      <c r="B474" s="29" t="str">
        <f>Sales_data!F472</f>
        <v>Kavya Nair</v>
      </c>
      <c r="C474" s="29" t="str">
        <f>PROPER(TRIM(Sales_data!F472))</f>
        <v>Kavya Nair</v>
      </c>
      <c r="D474" s="29" t="str">
        <f>LEFT(C474,3)&amp;RIGHT(A474,3)&amp;LEFT(Sales_data!I472,2)</f>
        <v>Kav008Be</v>
      </c>
      <c r="E474" s="29" t="str">
        <f>IF(ISNUMBER(SEARCH("@",Sales_data!T472)),LOWER(SUBSTITUTE(Sales_data!T472," ","")),"Invalid Email")</f>
        <v>kavya.nair@company.com</v>
      </c>
    </row>
    <row r="475" spans="1:5" ht="15" customHeight="1">
      <c r="A475" s="29" t="str">
        <f>Sales_data!B473</f>
        <v>C010</v>
      </c>
      <c r="B475" s="29" t="str">
        <f>Sales_data!F473</f>
        <v>Pooja Shah</v>
      </c>
      <c r="C475" s="29" t="str">
        <f>PROPER(TRIM(Sales_data!F473))</f>
        <v>Pooja Shah</v>
      </c>
      <c r="D475" s="29" t="str">
        <f>LEFT(C475,3)&amp;RIGHT(A475,3)&amp;LEFT(Sales_data!I473,2)</f>
        <v>Poo010Pu</v>
      </c>
      <c r="E475" s="29" t="str">
        <f>IF(ISNUMBER(SEARCH("@",Sales_data!T473)),LOWER(SUBSTITUTE(Sales_data!T473," ","")),"Invalid Email")</f>
        <v>pooja.shah@company.com</v>
      </c>
    </row>
    <row r="476" spans="1:5" ht="15" customHeight="1">
      <c r="A476" s="29" t="str">
        <f>Sales_data!B474</f>
        <v>C006</v>
      </c>
      <c r="B476" s="29" t="str">
        <f>Sales_data!F474</f>
        <v>Sneha Joshi</v>
      </c>
      <c r="C476" s="29" t="str">
        <f>PROPER(TRIM(Sales_data!F474))</f>
        <v>Sneha Joshi</v>
      </c>
      <c r="D476" s="29" t="str">
        <f>LEFT(C476,3)&amp;RIGHT(A476,3)&amp;LEFT(Sales_data!I474,2)</f>
        <v>Sne006De</v>
      </c>
      <c r="E476" s="29" t="str">
        <f>IF(ISNUMBER(SEARCH("@",Sales_data!T474)),LOWER(SUBSTITUTE(Sales_data!T474," ","")),"Invalid Email")</f>
        <v>sneha.joshi@company.com</v>
      </c>
    </row>
    <row r="477" spans="1:5" ht="15" customHeight="1">
      <c r="A477" s="29" t="str">
        <f>Sales_data!B475</f>
        <v>C009</v>
      </c>
      <c r="B477" s="29" t="str">
        <f>Sales_data!F475</f>
        <v>Mohit Verma</v>
      </c>
      <c r="C477" s="29" t="str">
        <f>PROPER(TRIM(Sales_data!F475))</f>
        <v>Mohit Verma</v>
      </c>
      <c r="D477" s="29" t="str">
        <f>LEFT(C477,3)&amp;RIGHT(A477,3)&amp;LEFT(Sales_data!I475,2)</f>
        <v>Moh009De</v>
      </c>
      <c r="E477" s="29" t="str">
        <f>IF(ISNUMBER(SEARCH("@",Sales_data!T475)),LOWER(SUBSTITUTE(Sales_data!T475," ","")),"Invalid Email")</f>
        <v>mohit.verma@company.com</v>
      </c>
    </row>
    <row r="478" spans="1:5" ht="15" customHeight="1">
      <c r="A478" s="29" t="str">
        <f>Sales_data!B476</f>
        <v>C001</v>
      </c>
      <c r="B478" s="29" t="str">
        <f>Sales_data!F476</f>
        <v>Amit Sharma</v>
      </c>
      <c r="C478" s="29" t="str">
        <f>PROPER(TRIM(Sales_data!F476))</f>
        <v>Amit Sharma</v>
      </c>
      <c r="D478" s="29" t="str">
        <f>LEFT(C478,3)&amp;RIGHT(A478,3)&amp;LEFT(Sales_data!I476,2)</f>
        <v>Ami001Mu</v>
      </c>
      <c r="E478" s="29" t="str">
        <f>IF(ISNUMBER(SEARCH("@",Sales_data!T476)),LOWER(SUBSTITUTE(Sales_data!T476," ","")),"Invalid Email")</f>
        <v>amit.sharma@company.com</v>
      </c>
    </row>
    <row r="479" spans="1:5" ht="15" customHeight="1">
      <c r="A479" s="29" t="str">
        <f>Sales_data!B477</f>
        <v>C003</v>
      </c>
      <c r="B479" s="29" t="str">
        <f>Sales_data!F477</f>
        <v>Rohit Singh</v>
      </c>
      <c r="C479" s="29" t="str">
        <f>PROPER(TRIM(Sales_data!F477))</f>
        <v>Rohit Singh</v>
      </c>
      <c r="D479" s="29" t="str">
        <f>LEFT(C479,3)&amp;RIGHT(A479,3)&amp;LEFT(Sales_data!I477,2)</f>
        <v>Roh003Ko</v>
      </c>
      <c r="E479" s="29" t="str">
        <f>IF(ISNUMBER(SEARCH("@",Sales_data!T477)),LOWER(SUBSTITUTE(Sales_data!T477," ","")),"Invalid Email")</f>
        <v>rohit.singh@company.com</v>
      </c>
    </row>
    <row r="480" spans="1:5" ht="15" customHeight="1">
      <c r="A480" s="29" t="str">
        <f>Sales_data!B478</f>
        <v>C010</v>
      </c>
      <c r="B480" s="29" t="str">
        <f>Sales_data!F478</f>
        <v>Pooja Shah</v>
      </c>
      <c r="C480" s="29" t="str">
        <f>PROPER(TRIM(Sales_data!F478))</f>
        <v>Pooja Shah</v>
      </c>
      <c r="D480" s="29" t="str">
        <f>LEFT(C480,3)&amp;RIGHT(A480,3)&amp;LEFT(Sales_data!I478,2)</f>
        <v>Poo010Mu</v>
      </c>
      <c r="E480" s="29" t="str">
        <f>IF(ISNUMBER(SEARCH("@",Sales_data!T478)),LOWER(SUBSTITUTE(Sales_data!T478," ","")),"Invalid Email")</f>
        <v>pooja.shah@company.com</v>
      </c>
    </row>
    <row r="481" spans="1:5" ht="15" customHeight="1">
      <c r="A481" s="29" t="str">
        <f>Sales_data!B479</f>
        <v>C008</v>
      </c>
      <c r="B481" s="29" t="str">
        <f>Sales_data!F479</f>
        <v>Kavya Nair</v>
      </c>
      <c r="C481" s="29" t="str">
        <f>PROPER(TRIM(Sales_data!F479))</f>
        <v>Kavya Nair</v>
      </c>
      <c r="D481" s="29" t="str">
        <f>LEFT(C481,3)&amp;RIGHT(A481,3)&amp;LEFT(Sales_data!I479,2)</f>
        <v>Kav008Be</v>
      </c>
      <c r="E481" s="29" t="str">
        <f>IF(ISNUMBER(SEARCH("@",Sales_data!T479)),LOWER(SUBSTITUTE(Sales_data!T479," ","")),"Invalid Email")</f>
        <v>kavya.nair@company.com</v>
      </c>
    </row>
    <row r="482" spans="1:5" ht="15" customHeight="1">
      <c r="A482" s="29" t="str">
        <f>Sales_data!B480</f>
        <v>C004</v>
      </c>
      <c r="B482" s="29" t="str">
        <f>Sales_data!F480</f>
        <v>Anita     Gupta</v>
      </c>
      <c r="C482" s="29" t="str">
        <f>PROPER(TRIM(Sales_data!F480))</f>
        <v>Anita Gupta</v>
      </c>
      <c r="D482" s="29" t="str">
        <f>LEFT(C482,3)&amp;RIGHT(A482,3)&amp;LEFT(Sales_data!I480,2)</f>
        <v>Ani004Ko</v>
      </c>
      <c r="E482" s="29" t="str">
        <f>IF(ISNUMBER(SEARCH("@",Sales_data!T480)),LOWER(SUBSTITUTE(Sales_data!T480," ","")),"Invalid Email")</f>
        <v>anita.gupta@company.com</v>
      </c>
    </row>
    <row r="483" spans="1:5" ht="15" customHeight="1">
      <c r="A483" s="29" t="str">
        <f>Sales_data!B481</f>
        <v>C003</v>
      </c>
      <c r="B483" s="29" t="str">
        <f>Sales_data!F481</f>
        <v>Rohit Singh</v>
      </c>
      <c r="C483" s="29" t="str">
        <f>PROPER(TRIM(Sales_data!F481))</f>
        <v>Rohit Singh</v>
      </c>
      <c r="D483" s="29" t="str">
        <f>LEFT(C483,3)&amp;RIGHT(A483,3)&amp;LEFT(Sales_data!I481,2)</f>
        <v>Roh003Ah</v>
      </c>
      <c r="E483" s="29" t="str">
        <f>IF(ISNUMBER(SEARCH("@",Sales_data!T481)),LOWER(SUBSTITUTE(Sales_data!T481," ","")),"Invalid Email")</f>
        <v>rohit.singh@company.com</v>
      </c>
    </row>
    <row r="484" spans="1:5" ht="15" customHeight="1">
      <c r="A484" s="29" t="str">
        <f>Sales_data!B482</f>
        <v>C008</v>
      </c>
      <c r="B484" s="29" t="str">
        <f>Sales_data!F482</f>
        <v>Kavya      Nair</v>
      </c>
      <c r="C484" s="29" t="str">
        <f>PROPER(TRIM(Sales_data!F482))</f>
        <v>Kavya Nair</v>
      </c>
      <c r="D484" s="29" t="str">
        <f>LEFT(C484,3)&amp;RIGHT(A484,3)&amp;LEFT(Sales_data!I482,2)</f>
        <v>Kav008Be</v>
      </c>
      <c r="E484" s="29" t="str">
        <f>IF(ISNUMBER(SEARCH("@",Sales_data!T482)),LOWER(SUBSTITUTE(Sales_data!T482," ","")),"Invalid Email")</f>
        <v>kavya.nair@company.com</v>
      </c>
    </row>
    <row r="485" spans="1:5" ht="15" customHeight="1">
      <c r="A485" s="29" t="str">
        <f>Sales_data!B483</f>
        <v>C003</v>
      </c>
      <c r="B485" s="29" t="str">
        <f>Sales_data!F483</f>
        <v>Rohit Singh</v>
      </c>
      <c r="C485" s="29" t="str">
        <f>PROPER(TRIM(Sales_data!F483))</f>
        <v>Rohit Singh</v>
      </c>
      <c r="D485" s="29" t="str">
        <f>LEFT(C485,3)&amp;RIGHT(A485,3)&amp;LEFT(Sales_data!I483,2)</f>
        <v>Roh003Ko</v>
      </c>
      <c r="E485" s="29" t="str">
        <f>IF(ISNUMBER(SEARCH("@",Sales_data!T483)),LOWER(SUBSTITUTE(Sales_data!T483," ","")),"Invalid Email")</f>
        <v>rohit.singh@company.com</v>
      </c>
    </row>
    <row r="486" spans="1:5" ht="15" customHeight="1">
      <c r="A486" s="29" t="str">
        <f>Sales_data!B484</f>
        <v>C009</v>
      </c>
      <c r="B486" s="29" t="str">
        <f>Sales_data!F484</f>
        <v>Mohit verma</v>
      </c>
      <c r="C486" s="29" t="str">
        <f>PROPER(TRIM(Sales_data!F484))</f>
        <v>Mohit Verma</v>
      </c>
      <c r="D486" s="29" t="str">
        <f>LEFT(C486,3)&amp;RIGHT(A486,3)&amp;LEFT(Sales_data!I484,2)</f>
        <v>Moh009Ko</v>
      </c>
      <c r="E486" s="29" t="str">
        <f>IF(ISNUMBER(SEARCH("@",Sales_data!T484)),LOWER(SUBSTITUTE(Sales_data!T484," ","")),"Invalid Email")</f>
        <v>mohit.verma@company.com</v>
      </c>
    </row>
    <row r="487" spans="1:5" ht="15" customHeight="1">
      <c r="A487" s="29" t="str">
        <f>Sales_data!B485</f>
        <v>C008</v>
      </c>
      <c r="B487" s="29" t="str">
        <f>Sales_data!F485</f>
        <v>Kavya Nair</v>
      </c>
      <c r="C487" s="29" t="str">
        <f>PROPER(TRIM(Sales_data!F485))</f>
        <v>Kavya Nair</v>
      </c>
      <c r="D487" s="29" t="str">
        <f>LEFT(C487,3)&amp;RIGHT(A487,3)&amp;LEFT(Sales_data!I485,2)</f>
        <v>Kav008Hy</v>
      </c>
      <c r="E487" s="29" t="str">
        <f>IF(ISNUMBER(SEARCH("@",Sales_data!T485)),LOWER(SUBSTITUTE(Sales_data!T485," ","")),"Invalid Email")</f>
        <v>kavya.nair@company.com</v>
      </c>
    </row>
    <row r="488" spans="1:5" ht="15" customHeight="1">
      <c r="A488" s="29" t="str">
        <f>Sales_data!B486</f>
        <v>C001</v>
      </c>
      <c r="B488" s="29" t="str">
        <f>Sales_data!F486</f>
        <v xml:space="preserve">         Amit Sharma</v>
      </c>
      <c r="C488" s="29" t="str">
        <f>PROPER(TRIM(Sales_data!F486))</f>
        <v>Amit Sharma</v>
      </c>
      <c r="D488" s="29" t="str">
        <f>LEFT(C488,3)&amp;RIGHT(A488,3)&amp;LEFT(Sales_data!I486,2)</f>
        <v>Ami001Ah</v>
      </c>
      <c r="E488" s="29" t="str">
        <f>IF(ISNUMBER(SEARCH("@",Sales_data!T486)),LOWER(SUBSTITUTE(Sales_data!T486," ","")),"Invalid Email")</f>
        <v>amit.sharma@company.com</v>
      </c>
    </row>
    <row r="489" spans="1:5" ht="15" customHeight="1">
      <c r="A489" s="29" t="str">
        <f>Sales_data!B487</f>
        <v>C002</v>
      </c>
      <c r="B489" s="29" t="str">
        <f>Sales_data!F487</f>
        <v>Priya Patel</v>
      </c>
      <c r="C489" s="29" t="str">
        <f>PROPER(TRIM(Sales_data!F487))</f>
        <v>Priya Patel</v>
      </c>
      <c r="D489" s="29" t="str">
        <f>LEFT(C489,3)&amp;RIGHT(A489,3)&amp;LEFT(Sales_data!I487,2)</f>
        <v>Pri002Ja</v>
      </c>
      <c r="E489" s="29" t="str">
        <f>IF(ISNUMBER(SEARCH("@",Sales_data!T487)),LOWER(SUBSTITUTE(Sales_data!T487," ","")),"Invalid Email")</f>
        <v>priya.patel@company.com</v>
      </c>
    </row>
    <row r="490" spans="1:5" ht="15" customHeight="1">
      <c r="A490" s="29" t="str">
        <f>Sales_data!B488</f>
        <v>C006</v>
      </c>
      <c r="B490" s="29" t="str">
        <f>Sales_data!F488</f>
        <v>Sneha Joshi</v>
      </c>
      <c r="C490" s="29" t="str">
        <f>PROPER(TRIM(Sales_data!F488))</f>
        <v>Sneha Joshi</v>
      </c>
      <c r="D490" s="29" t="str">
        <f>LEFT(C490,3)&amp;RIGHT(A490,3)&amp;LEFT(Sales_data!I488,2)</f>
        <v>Sne006Ko</v>
      </c>
      <c r="E490" s="29" t="str">
        <f>IF(ISNUMBER(SEARCH("@",Sales_data!T488)),LOWER(SUBSTITUTE(Sales_data!T488," ","")),"Invalid Email")</f>
        <v>sneha.joshi@company.com</v>
      </c>
    </row>
    <row r="491" spans="1:5" ht="15" customHeight="1">
      <c r="A491" s="29" t="str">
        <f>Sales_data!B489</f>
        <v>C010</v>
      </c>
      <c r="B491" s="29" t="str">
        <f>Sales_data!F489</f>
        <v>Pooja Shah</v>
      </c>
      <c r="C491" s="29" t="str">
        <f>PROPER(TRIM(Sales_data!F489))</f>
        <v>Pooja Shah</v>
      </c>
      <c r="D491" s="29" t="str">
        <f>LEFT(C491,3)&amp;RIGHT(A491,3)&amp;LEFT(Sales_data!I489,2)</f>
        <v>Poo010Ko</v>
      </c>
      <c r="E491" s="29" t="str">
        <f>IF(ISNUMBER(SEARCH("@",Sales_data!T489)),LOWER(SUBSTITUTE(Sales_data!T489," ","")),"Invalid Email")</f>
        <v>pooja.shah@company.com</v>
      </c>
    </row>
    <row r="492" spans="1:5" ht="15" customHeight="1">
      <c r="A492" s="29" t="str">
        <f>Sales_data!B490</f>
        <v>C004</v>
      </c>
      <c r="B492" s="29" t="str">
        <f>Sales_data!F490</f>
        <v>Anita Gupta</v>
      </c>
      <c r="C492" s="29" t="str">
        <f>PROPER(TRIM(Sales_data!F490))</f>
        <v>Anita Gupta</v>
      </c>
      <c r="D492" s="29" t="str">
        <f>LEFT(C492,3)&amp;RIGHT(A492,3)&amp;LEFT(Sales_data!I490,2)</f>
        <v>Ani004Pu</v>
      </c>
      <c r="E492" s="29" t="str">
        <f>IF(ISNUMBER(SEARCH("@",Sales_data!T490)),LOWER(SUBSTITUTE(Sales_data!T490," ","")),"Invalid Email")</f>
        <v>anita.gupta@company.com</v>
      </c>
    </row>
    <row r="493" spans="1:5" ht="15" customHeight="1">
      <c r="A493" s="29" t="str">
        <f>Sales_data!B491</f>
        <v>C001</v>
      </c>
      <c r="B493" s="29" t="str">
        <f>Sales_data!F491</f>
        <v>Amit Sharma</v>
      </c>
      <c r="C493" s="29" t="str">
        <f>PROPER(TRIM(Sales_data!F491))</f>
        <v>Amit Sharma</v>
      </c>
      <c r="D493" s="29" t="str">
        <f>LEFT(C493,3)&amp;RIGHT(A493,3)&amp;LEFT(Sales_data!I491,2)</f>
        <v>Ami001Hy</v>
      </c>
      <c r="E493" s="29" t="str">
        <f>IF(ISNUMBER(SEARCH("@",Sales_data!T491)),LOWER(SUBSTITUTE(Sales_data!T491," ","")),"Invalid Email")</f>
        <v>amit.sharma@company.com</v>
      </c>
    </row>
    <row r="494" spans="1:5" ht="15" customHeight="1">
      <c r="A494" s="29" t="str">
        <f>Sales_data!B492</f>
        <v>C002</v>
      </c>
      <c r="B494" s="29" t="str">
        <f>Sales_data!F492</f>
        <v xml:space="preserve">Priya Patel      </v>
      </c>
      <c r="C494" s="29" t="str">
        <f>PROPER(TRIM(Sales_data!F492))</f>
        <v>Priya Patel</v>
      </c>
      <c r="D494" s="29" t="str">
        <f>LEFT(C494,3)&amp;RIGHT(A494,3)&amp;LEFT(Sales_data!I492,2)</f>
        <v>Pri002Pu</v>
      </c>
      <c r="E494" s="29" t="str">
        <f>IF(ISNUMBER(SEARCH("@",Sales_data!T492)),LOWER(SUBSTITUTE(Sales_data!T492," ","")),"Invalid Email")</f>
        <v>priya.patel@company.com</v>
      </c>
    </row>
    <row r="495" spans="1:5" ht="15" customHeight="1">
      <c r="A495" s="29" t="str">
        <f>Sales_data!B493</f>
        <v>C007</v>
      </c>
      <c r="B495" s="29" t="str">
        <f>Sales_data!F493</f>
        <v>Arjun Rao</v>
      </c>
      <c r="C495" s="29" t="str">
        <f>PROPER(TRIM(Sales_data!F493))</f>
        <v>Arjun Rao</v>
      </c>
      <c r="D495" s="29" t="str">
        <f>LEFT(C495,3)&amp;RIGHT(A495,3)&amp;LEFT(Sales_data!I493,2)</f>
        <v>Arj007De</v>
      </c>
      <c r="E495" s="29" t="str">
        <f>IF(ISNUMBER(SEARCH("@",Sales_data!T493)),LOWER(SUBSTITUTE(Sales_data!T493," ","")),"Invalid Email")</f>
        <v>arjun.rao@company.com</v>
      </c>
    </row>
    <row r="496" spans="1:5" ht="15" customHeight="1">
      <c r="A496" s="29" t="str">
        <f>Sales_data!B494</f>
        <v>C003</v>
      </c>
      <c r="B496" s="29" t="str">
        <f>Sales_data!F494</f>
        <v xml:space="preserve">     Rohit Singh</v>
      </c>
      <c r="C496" s="29" t="str">
        <f>PROPER(TRIM(Sales_data!F494))</f>
        <v>Rohit Singh</v>
      </c>
      <c r="D496" s="29" t="str">
        <f>LEFT(C496,3)&amp;RIGHT(A496,3)&amp;LEFT(Sales_data!I494,2)</f>
        <v>Roh003Hy</v>
      </c>
      <c r="E496" s="29" t="str">
        <f>IF(ISNUMBER(SEARCH("@",Sales_data!T494)),LOWER(SUBSTITUTE(Sales_data!T494," ","")),"Invalid Email")</f>
        <v>rohit.singh@company.com</v>
      </c>
    </row>
    <row r="497" spans="1:5" ht="15" customHeight="1">
      <c r="A497" s="29" t="str">
        <f>Sales_data!B495</f>
        <v>C007</v>
      </c>
      <c r="B497" s="29" t="str">
        <f>Sales_data!F495</f>
        <v>Arjun Rao</v>
      </c>
      <c r="C497" s="29" t="str">
        <f>PROPER(TRIM(Sales_data!F495))</f>
        <v>Arjun Rao</v>
      </c>
      <c r="D497" s="29" t="str">
        <f>LEFT(C497,3)&amp;RIGHT(A497,3)&amp;LEFT(Sales_data!I495,2)</f>
        <v>Arj007Ah</v>
      </c>
      <c r="E497" s="29" t="str">
        <f>IF(ISNUMBER(SEARCH("@",Sales_data!T495)),LOWER(SUBSTITUTE(Sales_data!T495," ","")),"Invalid Email")</f>
        <v>arjun.rao@company.com</v>
      </c>
    </row>
    <row r="498" spans="1:5" ht="15" customHeight="1">
      <c r="A498" s="29" t="str">
        <f>Sales_data!B496</f>
        <v>C009</v>
      </c>
      <c r="B498" s="29" t="str">
        <f>Sales_data!F496</f>
        <v>Mohit Verma</v>
      </c>
      <c r="C498" s="29" t="str">
        <f>PROPER(TRIM(Sales_data!F496))</f>
        <v>Mohit Verma</v>
      </c>
      <c r="D498" s="29" t="str">
        <f>LEFT(C498,3)&amp;RIGHT(A498,3)&amp;LEFT(Sales_data!I496,2)</f>
        <v>Moh009Pu</v>
      </c>
      <c r="E498" s="29" t="str">
        <f>IF(ISNUMBER(SEARCH("@",Sales_data!T496)),LOWER(SUBSTITUTE(Sales_data!T496," ","")),"Invalid Email")</f>
        <v>mohit.verma@company.com</v>
      </c>
    </row>
    <row r="499" spans="1:5" ht="15" customHeight="1">
      <c r="A499" s="29" t="str">
        <f>Sales_data!B497</f>
        <v>C004</v>
      </c>
      <c r="B499" s="29" t="str">
        <f>Sales_data!F497</f>
        <v>Anita      Gupta</v>
      </c>
      <c r="C499" s="29" t="str">
        <f>PROPER(TRIM(Sales_data!F497))</f>
        <v>Anita Gupta</v>
      </c>
      <c r="D499" s="29" t="str">
        <f>LEFT(C499,3)&amp;RIGHT(A499,3)&amp;LEFT(Sales_data!I497,2)</f>
        <v>Ani004Ja</v>
      </c>
      <c r="E499" s="29" t="str">
        <f>IF(ISNUMBER(SEARCH("@",Sales_data!T497)),LOWER(SUBSTITUTE(Sales_data!T497," ","")),"Invalid Email")</f>
        <v>anita.gupta@company.com</v>
      </c>
    </row>
    <row r="500" spans="1:5" ht="15" customHeight="1">
      <c r="A500" s="29" t="str">
        <f>Sales_data!B498</f>
        <v>C007</v>
      </c>
      <c r="B500" s="29" t="str">
        <f>Sales_data!F498</f>
        <v>Arjun Rao</v>
      </c>
      <c r="C500" s="29" t="str">
        <f>PROPER(TRIM(Sales_data!F498))</f>
        <v>Arjun Rao</v>
      </c>
      <c r="D500" s="29" t="str">
        <f>LEFT(C500,3)&amp;RIGHT(A500,3)&amp;LEFT(Sales_data!I498,2)</f>
        <v>Arj007Ja</v>
      </c>
      <c r="E500" s="29" t="str">
        <f>IF(ISNUMBER(SEARCH("@",Sales_data!T498)),LOWER(SUBSTITUTE(Sales_data!T498," ","")),"Invalid Email")</f>
        <v>arjun.rao@company.com</v>
      </c>
    </row>
    <row r="501" spans="1:5" ht="15" customHeight="1">
      <c r="A501" s="29" t="str">
        <f>Sales_data!B499</f>
        <v>C005</v>
      </c>
      <c r="B501" s="29" t="str">
        <f>Sales_data!F499</f>
        <v>Vikas Mehta</v>
      </c>
      <c r="C501" s="29" t="str">
        <f>PROPER(TRIM(Sales_data!F499))</f>
        <v>Vikas Mehta</v>
      </c>
      <c r="D501" s="29" t="str">
        <f>LEFT(C501,3)&amp;RIGHT(A501,3)&amp;LEFT(Sales_data!I499,2)</f>
        <v>Vik005De</v>
      </c>
      <c r="E501" s="29" t="str">
        <f>IF(ISNUMBER(SEARCH("@",Sales_data!T499)),LOWER(SUBSTITUTE(Sales_data!T499," ","")),"Invalid Email")</f>
        <v>Invalid Email</v>
      </c>
    </row>
    <row r="502" spans="1:5" ht="15" customHeight="1">
      <c r="A502" s="29" t="str">
        <f>Sales_data!B500</f>
        <v>C002</v>
      </c>
      <c r="B502" s="29" t="str">
        <f>Sales_data!F500</f>
        <v>Priya Patel</v>
      </c>
      <c r="C502" s="29" t="str">
        <f>PROPER(TRIM(Sales_data!F500))</f>
        <v>Priya Patel</v>
      </c>
      <c r="D502" s="29" t="str">
        <f>LEFT(C502,3)&amp;RIGHT(A502,3)&amp;LEFT(Sales_data!I500,2)</f>
        <v>Pri002Mu</v>
      </c>
      <c r="E502" s="29" t="str">
        <f>IF(ISNUMBER(SEARCH("@",Sales_data!T500)),LOWER(SUBSTITUTE(Sales_data!T500," ","")),"Invalid Email")</f>
        <v>priya.patel@company.com</v>
      </c>
    </row>
    <row r="503" spans="1:5" ht="15" customHeight="1">
      <c r="A503" s="29" t="str">
        <f>Sales_data!B501</f>
        <v>C002</v>
      </c>
      <c r="B503" s="29" t="str">
        <f>Sales_data!F501</f>
        <v>Priya Patel</v>
      </c>
      <c r="C503" s="29" t="str">
        <f>PROPER(TRIM(Sales_data!F501))</f>
        <v>Priya Patel</v>
      </c>
      <c r="D503" s="29" t="str">
        <f>LEFT(C503,3)&amp;RIGHT(A503,3)&amp;LEFT(Sales_data!I501,2)</f>
        <v>Pri002Be</v>
      </c>
      <c r="E503" s="29" t="str">
        <f>IF(ISNUMBER(SEARCH("@",Sales_data!T501)),LOWER(SUBSTITUTE(Sales_data!T501," ","")),"Invalid Email")</f>
        <v>priya.patel@company.com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3"/>
  <sheetViews>
    <sheetView zoomScaleNormal="100" workbookViewId="0">
      <pane ySplit="3" topLeftCell="A4" activePane="bottomLeft" state="frozen"/>
      <selection pane="bottomLeft" activeCell="J496" sqref="J496"/>
    </sheetView>
  </sheetViews>
  <sheetFormatPr defaultColWidth="8.5546875" defaultRowHeight="15" customHeight="1"/>
  <cols>
    <col min="1" max="2" width="14" customWidth="1"/>
    <col min="3" max="3" width="15" customWidth="1"/>
    <col min="4" max="4" width="14" customWidth="1"/>
    <col min="5" max="5" width="16" customWidth="1"/>
    <col min="6" max="6" width="20" customWidth="1"/>
    <col min="7" max="7" width="18" customWidth="1"/>
  </cols>
  <sheetData>
    <row r="1" spans="1:7" ht="27.75" customHeight="1">
      <c r="A1" s="30" t="s">
        <v>2116</v>
      </c>
      <c r="B1" s="30"/>
      <c r="C1" s="30"/>
      <c r="D1" s="30"/>
      <c r="E1" s="30"/>
      <c r="F1" s="30"/>
      <c r="G1" s="30"/>
    </row>
    <row r="2" spans="1:7" ht="15" customHeight="1">
      <c r="A2" s="31"/>
      <c r="B2" s="31"/>
      <c r="C2" s="31"/>
      <c r="D2" s="31"/>
      <c r="E2" s="31"/>
      <c r="F2" s="31"/>
      <c r="G2" s="31"/>
    </row>
    <row r="3" spans="1:7" ht="15" customHeight="1">
      <c r="A3" s="33" t="s">
        <v>2117</v>
      </c>
      <c r="B3" s="33" t="s">
        <v>7</v>
      </c>
      <c r="C3" s="33" t="s">
        <v>2118</v>
      </c>
      <c r="D3" s="33" t="s">
        <v>2119</v>
      </c>
      <c r="E3" s="33" t="s">
        <v>2120</v>
      </c>
      <c r="F3" s="33" t="s">
        <v>2121</v>
      </c>
      <c r="G3" s="33" t="s">
        <v>2122</v>
      </c>
    </row>
    <row r="4" spans="1:7" ht="15" customHeight="1">
      <c r="A4" s="29" t="str">
        <f>Sales_data!A2</f>
        <v>ORD10001</v>
      </c>
      <c r="B4" s="29" t="str">
        <f>Sales_data!H2</f>
        <v>01/08/1976</v>
      </c>
      <c r="C4" s="29">
        <f t="shared" ref="C4:C67" ca="1" si="0">IFERROR(DATEDIF(DATE(VALUE(RIGHT(B4,4)),VALUE(MID(B4,4,2)),VALUE(LEFT(B4,2))),TODAY(),"Y"),"")</f>
        <v>50</v>
      </c>
      <c r="D4" s="29" t="str">
        <f>Sales_data!D2</f>
        <v>18/09/2025</v>
      </c>
      <c r="E4" s="29" t="str">
        <f>Sales_data!E2</f>
        <v>22/09/2025</v>
      </c>
      <c r="F4" s="29">
        <f t="shared" ref="F4:F67" si="1">IF(E4="","",IFERROR(DATE(VALUE(RIGHT(E4,4)),VALUE(MID(E4,4,2)),VALUE(LEFT(E4,2)))-DATE(VALUE(RIGHT(D4,4)),VALUE(MID(D4,4,2)),VALUE(LEFT(D4,2))),""))</f>
        <v>4</v>
      </c>
      <c r="G4" s="29" t="str">
        <f t="shared" ref="G4:G67" si="2">IF(E4="","Pending",IF(F4="","Pending",IF(F4&lt;=5,"OnTime","Delayed")))</f>
        <v>OnTime</v>
      </c>
    </row>
    <row r="5" spans="1:7" ht="15" customHeight="1">
      <c r="A5" s="29" t="str">
        <f>Sales_data!A3</f>
        <v>ORD10002</v>
      </c>
      <c r="B5" s="29" t="str">
        <f>Sales_data!H3</f>
        <v>16/10/2000</v>
      </c>
      <c r="C5" s="29">
        <f t="shared" ca="1" si="0"/>
        <v>25</v>
      </c>
      <c r="D5" s="29" t="str">
        <f>Sales_data!D3</f>
        <v>27/04/2025</v>
      </c>
      <c r="E5" s="29" t="str">
        <f>Sales_data!E3</f>
        <v>04/05/2025</v>
      </c>
      <c r="F5" s="29">
        <f t="shared" si="1"/>
        <v>7</v>
      </c>
      <c r="G5" s="29" t="str">
        <f t="shared" si="2"/>
        <v>Delayed</v>
      </c>
    </row>
    <row r="6" spans="1:7" ht="15" customHeight="1">
      <c r="A6" s="29" t="str">
        <f>Sales_data!A4</f>
        <v>ORD10003</v>
      </c>
      <c r="B6" s="29" t="str">
        <f>Sales_data!H4</f>
        <v>16/09/1994</v>
      </c>
      <c r="C6" s="29">
        <f t="shared" ca="1" si="0"/>
        <v>32</v>
      </c>
      <c r="D6" s="29" t="str">
        <f>Sales_data!D4</f>
        <v>03/09/2025</v>
      </c>
      <c r="E6" s="29" t="str">
        <f>Sales_data!E4</f>
        <v>14/09/2025</v>
      </c>
      <c r="F6" s="29">
        <f t="shared" si="1"/>
        <v>11</v>
      </c>
      <c r="G6" s="29" t="str">
        <f t="shared" si="2"/>
        <v>Delayed</v>
      </c>
    </row>
    <row r="7" spans="1:7" ht="15" customHeight="1">
      <c r="A7" s="29" t="str">
        <f>Sales_data!A5</f>
        <v>ORD10002</v>
      </c>
      <c r="B7" s="29" t="str">
        <f>Sales_data!H5</f>
        <v>07/03/2004</v>
      </c>
      <c r="C7" s="29">
        <f t="shared" ca="1" si="0"/>
        <v>22</v>
      </c>
      <c r="D7" s="29" t="str">
        <f>Sales_data!D5</f>
        <v>21/03/2026</v>
      </c>
      <c r="E7" s="29" t="str">
        <f>Sales_data!E5</f>
        <v>02/04/2026</v>
      </c>
      <c r="F7" s="29">
        <f t="shared" si="1"/>
        <v>12</v>
      </c>
      <c r="G7" s="29" t="str">
        <f t="shared" si="2"/>
        <v>Delayed</v>
      </c>
    </row>
    <row r="8" spans="1:7" ht="15" customHeight="1">
      <c r="A8" s="29" t="str">
        <f>Sales_data!A6</f>
        <v>ORD10005</v>
      </c>
      <c r="B8" s="29" t="str">
        <f>Sales_data!H6</f>
        <v>13/04/1976</v>
      </c>
      <c r="C8" s="29">
        <f t="shared" ca="1" si="0"/>
        <v>50</v>
      </c>
      <c r="D8" s="29" t="str">
        <f>Sales_data!D6</f>
        <v>27/09/2025</v>
      </c>
      <c r="E8" s="29" t="str">
        <f>Sales_data!E6</f>
        <v>07/10/2025</v>
      </c>
      <c r="F8" s="29">
        <f t="shared" si="1"/>
        <v>10</v>
      </c>
      <c r="G8" s="29" t="str">
        <f t="shared" si="2"/>
        <v>Delayed</v>
      </c>
    </row>
    <row r="9" spans="1:7" ht="15" customHeight="1">
      <c r="A9" s="29" t="str">
        <f>Sales_data!A7</f>
        <v>ORD10006</v>
      </c>
      <c r="B9" s="29" t="str">
        <f>Sales_data!H7</f>
        <v>07/02/1988</v>
      </c>
      <c r="C9" s="29">
        <f t="shared" ca="1" si="0"/>
        <v>38</v>
      </c>
      <c r="D9" s="29" t="str">
        <f>Sales_data!D7</f>
        <v>04/01/2026</v>
      </c>
      <c r="E9" s="29" t="str">
        <f>Sales_data!E7</f>
        <v>12/01/2026</v>
      </c>
      <c r="F9" s="29">
        <f t="shared" si="1"/>
        <v>8</v>
      </c>
      <c r="G9" s="29" t="str">
        <f t="shared" si="2"/>
        <v>Delayed</v>
      </c>
    </row>
    <row r="10" spans="1:7" ht="15" customHeight="1">
      <c r="A10" s="29" t="str">
        <f>Sales_data!A8</f>
        <v>ORD10007</v>
      </c>
      <c r="B10" s="29" t="str">
        <f>Sales_data!H8</f>
        <v>20/03/2003</v>
      </c>
      <c r="C10" s="29">
        <f t="shared" ca="1" si="0"/>
        <v>23</v>
      </c>
      <c r="D10" s="29" t="str">
        <f>Sales_data!D8</f>
        <v>31/02/2025</v>
      </c>
      <c r="E10" s="29" t="str">
        <f>Sales_data!E8</f>
        <v>25/02/2026</v>
      </c>
      <c r="F10" s="29">
        <f t="shared" si="1"/>
        <v>359</v>
      </c>
      <c r="G10" s="29" t="str">
        <f t="shared" si="2"/>
        <v>Delayed</v>
      </c>
    </row>
    <row r="11" spans="1:7" ht="15" customHeight="1">
      <c r="A11" s="29" t="str">
        <f>Sales_data!A9</f>
        <v>ORD10008</v>
      </c>
      <c r="B11" s="29" t="str">
        <f>Sales_data!H9</f>
        <v>07/03/1995</v>
      </c>
      <c r="C11" s="29">
        <f t="shared" ca="1" si="0"/>
        <v>31</v>
      </c>
      <c r="D11" s="29" t="str">
        <f>Sales_data!D9</f>
        <v>13/04/2025</v>
      </c>
      <c r="E11" s="29" t="str">
        <f>Sales_data!E9</f>
        <v>19/04/2025</v>
      </c>
      <c r="F11" s="29">
        <f t="shared" si="1"/>
        <v>6</v>
      </c>
      <c r="G11" s="29" t="str">
        <f t="shared" si="2"/>
        <v>Delayed</v>
      </c>
    </row>
    <row r="12" spans="1:7" ht="15" customHeight="1">
      <c r="A12" s="29" t="str">
        <f>Sales_data!A10</f>
        <v>ORD10009</v>
      </c>
      <c r="B12" s="29" t="str">
        <f>Sales_data!H10</f>
        <v>06/04/1997</v>
      </c>
      <c r="C12" s="29">
        <f t="shared" ca="1" si="0"/>
        <v>29</v>
      </c>
      <c r="D12" s="29" t="str">
        <f>Sales_data!D10</f>
        <v>31/01/2026</v>
      </c>
      <c r="E12" s="29" t="str">
        <f>Sales_data!E10</f>
        <v>02/02/2026</v>
      </c>
      <c r="F12" s="29">
        <f t="shared" si="1"/>
        <v>2</v>
      </c>
      <c r="G12" s="29" t="str">
        <f t="shared" si="2"/>
        <v>OnTime</v>
      </c>
    </row>
    <row r="13" spans="1:7" ht="15" customHeight="1">
      <c r="A13" s="29" t="str">
        <f>Sales_data!A11</f>
        <v>ORD10010</v>
      </c>
      <c r="B13" s="29" t="str">
        <f>Sales_data!H11</f>
        <v>07/01/1990</v>
      </c>
      <c r="C13" s="29">
        <f t="shared" ca="1" si="0"/>
        <v>36</v>
      </c>
      <c r="D13" s="29" t="str">
        <f>Sales_data!D11</f>
        <v>25/03/2025</v>
      </c>
      <c r="E13" s="29" t="str">
        <f>Sales_data!E11</f>
        <v>27/03/2025</v>
      </c>
      <c r="F13" s="29">
        <f t="shared" si="1"/>
        <v>2</v>
      </c>
      <c r="G13" s="29" t="str">
        <f t="shared" si="2"/>
        <v>OnTime</v>
      </c>
    </row>
    <row r="14" spans="1:7" ht="15" customHeight="1">
      <c r="A14" s="29" t="str">
        <f>Sales_data!A12</f>
        <v>ORD10011</v>
      </c>
      <c r="B14" s="29" t="str">
        <f>Sales_data!H12</f>
        <v>10/05/1982</v>
      </c>
      <c r="C14" s="29">
        <f t="shared" ca="1" si="0"/>
        <v>44</v>
      </c>
      <c r="D14" s="29" t="str">
        <f>Sales_data!D12</f>
        <v>19/09/2025</v>
      </c>
      <c r="E14" s="29" t="str">
        <f>Sales_data!E12</f>
        <v>23/09/2025</v>
      </c>
      <c r="F14" s="29">
        <f t="shared" si="1"/>
        <v>4</v>
      </c>
      <c r="G14" s="29" t="str">
        <f t="shared" si="2"/>
        <v>OnTime</v>
      </c>
    </row>
    <row r="15" spans="1:7" ht="15" customHeight="1">
      <c r="A15" s="29" t="str">
        <f>Sales_data!A13</f>
        <v>ORD10012</v>
      </c>
      <c r="B15" s="29" t="str">
        <f>Sales_data!H13</f>
        <v>23/01/1982</v>
      </c>
      <c r="C15" s="29">
        <f t="shared" ca="1" si="0"/>
        <v>44</v>
      </c>
      <c r="D15" s="29" t="str">
        <f>Sales_data!D13</f>
        <v>08/03/2025</v>
      </c>
      <c r="E15" s="29" t="str">
        <f>Sales_data!E13</f>
        <v>15/03/2025</v>
      </c>
      <c r="F15" s="29">
        <f t="shared" si="1"/>
        <v>7</v>
      </c>
      <c r="G15" s="29" t="str">
        <f t="shared" si="2"/>
        <v>Delayed</v>
      </c>
    </row>
    <row r="16" spans="1:7" ht="15" customHeight="1">
      <c r="A16" s="29" t="str">
        <f>Sales_data!A14</f>
        <v>ORD10013</v>
      </c>
      <c r="B16" s="29" t="str">
        <f>Sales_data!H14</f>
        <v>06/07/1992</v>
      </c>
      <c r="C16" s="29">
        <f t="shared" ca="1" si="0"/>
        <v>34</v>
      </c>
      <c r="D16" s="29" t="str">
        <f>Sales_data!D14</f>
        <v>10/01/2025</v>
      </c>
      <c r="E16" s="29" t="str">
        <f>Sales_data!E14</f>
        <v>15/01/2025</v>
      </c>
      <c r="F16" s="29">
        <f t="shared" si="1"/>
        <v>5</v>
      </c>
      <c r="G16" s="29" t="str">
        <f t="shared" si="2"/>
        <v>OnTime</v>
      </c>
    </row>
    <row r="17" spans="1:7" ht="15" customHeight="1">
      <c r="A17" s="29" t="str">
        <f>Sales_data!A15</f>
        <v>ORD10014</v>
      </c>
      <c r="B17" s="29" t="str">
        <f>Sales_data!H15</f>
        <v>19/03/2002</v>
      </c>
      <c r="C17" s="29">
        <f t="shared" ca="1" si="0"/>
        <v>24</v>
      </c>
      <c r="D17" s="29" t="str">
        <f>Sales_data!D15</f>
        <v>09/03/2025</v>
      </c>
      <c r="E17" s="29" t="str">
        <f>Sales_data!E15</f>
        <v>13/03/2025</v>
      </c>
      <c r="F17" s="29">
        <f t="shared" si="1"/>
        <v>4</v>
      </c>
      <c r="G17" s="29" t="str">
        <f t="shared" si="2"/>
        <v>OnTime</v>
      </c>
    </row>
    <row r="18" spans="1:7" ht="15" customHeight="1">
      <c r="A18" s="29" t="str">
        <f>Sales_data!A16</f>
        <v>ORD10015</v>
      </c>
      <c r="B18" s="29" t="str">
        <f>Sales_data!H16</f>
        <v>17/01/2001</v>
      </c>
      <c r="C18" s="29">
        <f t="shared" ca="1" si="0"/>
        <v>25</v>
      </c>
      <c r="D18" s="29" t="str">
        <f>Sales_data!D16</f>
        <v>26/07/2025</v>
      </c>
      <c r="E18" s="29" t="str">
        <f>Sales_data!E16</f>
        <v>07/08/2025</v>
      </c>
      <c r="F18" s="29">
        <f t="shared" si="1"/>
        <v>12</v>
      </c>
      <c r="G18" s="29" t="str">
        <f t="shared" si="2"/>
        <v>Delayed</v>
      </c>
    </row>
    <row r="19" spans="1:7" ht="15" customHeight="1">
      <c r="A19" s="29" t="str">
        <f>Sales_data!A17</f>
        <v>ORD10016</v>
      </c>
      <c r="B19" s="29" t="str">
        <f>Sales_data!H17</f>
        <v>11/04/2002</v>
      </c>
      <c r="C19" s="29">
        <f t="shared" ca="1" si="0"/>
        <v>24</v>
      </c>
      <c r="D19" s="29" t="str">
        <f>Sales_data!D17</f>
        <v>08/04/2026</v>
      </c>
      <c r="E19" s="29" t="str">
        <f>Sales_data!E17</f>
        <v>11/04/2026</v>
      </c>
      <c r="F19" s="29">
        <f t="shared" si="1"/>
        <v>3</v>
      </c>
      <c r="G19" s="29" t="str">
        <f t="shared" si="2"/>
        <v>OnTime</v>
      </c>
    </row>
    <row r="20" spans="1:7" ht="15" customHeight="1">
      <c r="A20" s="29" t="str">
        <f>Sales_data!A18</f>
        <v>ORD10017</v>
      </c>
      <c r="B20" s="29" t="str">
        <f>Sales_data!H18</f>
        <v>16/01/2002</v>
      </c>
      <c r="C20" s="29">
        <f t="shared" ca="1" si="0"/>
        <v>24</v>
      </c>
      <c r="D20" s="29" t="str">
        <f>Sales_data!D18</f>
        <v>22/02/2026</v>
      </c>
      <c r="E20" s="29" t="str">
        <f>Sales_data!E18</f>
        <v>03/03/2026</v>
      </c>
      <c r="F20" s="29">
        <f t="shared" si="1"/>
        <v>9</v>
      </c>
      <c r="G20" s="29" t="str">
        <f t="shared" si="2"/>
        <v>Delayed</v>
      </c>
    </row>
    <row r="21" spans="1:7" ht="15" customHeight="1">
      <c r="A21" s="29" t="str">
        <f>Sales_data!A19</f>
        <v>ORD10018</v>
      </c>
      <c r="B21" s="29" t="str">
        <f>Sales_data!H19</f>
        <v>09/10/1989</v>
      </c>
      <c r="C21" s="29">
        <f t="shared" ca="1" si="0"/>
        <v>37</v>
      </c>
      <c r="D21" s="29" t="str">
        <f>Sales_data!D19</f>
        <v>28/02/2026</v>
      </c>
      <c r="E21" s="29" t="str">
        <f>Sales_data!E19</f>
        <v>05/03/2026</v>
      </c>
      <c r="F21" s="29">
        <f t="shared" si="1"/>
        <v>5</v>
      </c>
      <c r="G21" s="29" t="str">
        <f t="shared" si="2"/>
        <v>OnTime</v>
      </c>
    </row>
    <row r="22" spans="1:7" ht="15" customHeight="1">
      <c r="A22" s="29" t="str">
        <f>Sales_data!A20</f>
        <v>ORD10019</v>
      </c>
      <c r="B22" s="29" t="str">
        <f>Sales_data!H20</f>
        <v>28/10/1991</v>
      </c>
      <c r="C22" s="29">
        <f t="shared" ca="1" si="0"/>
        <v>34</v>
      </c>
      <c r="D22" s="29" t="str">
        <f>Sales_data!D20</f>
        <v>01/12/2025</v>
      </c>
      <c r="E22" s="29" t="str">
        <f>Sales_data!E20</f>
        <v>04/12/2025</v>
      </c>
      <c r="F22" s="29">
        <f t="shared" si="1"/>
        <v>3</v>
      </c>
      <c r="G22" s="29" t="str">
        <f t="shared" si="2"/>
        <v>OnTime</v>
      </c>
    </row>
    <row r="23" spans="1:7" ht="15" customHeight="1">
      <c r="A23" s="29" t="str">
        <f>Sales_data!A21</f>
        <v>ORD10020</v>
      </c>
      <c r="B23" s="29" t="str">
        <f>Sales_data!H21</f>
        <v>01/03/1990</v>
      </c>
      <c r="C23" s="29">
        <f t="shared" ca="1" si="0"/>
        <v>36</v>
      </c>
      <c r="D23" s="29" t="str">
        <f>Sales_data!D21</f>
        <v>25/06/2025</v>
      </c>
      <c r="E23" s="29" t="str">
        <f>Sales_data!E21</f>
        <v>03/07/2025</v>
      </c>
      <c r="F23" s="29">
        <f t="shared" si="1"/>
        <v>8</v>
      </c>
      <c r="G23" s="29" t="str">
        <f t="shared" si="2"/>
        <v>Delayed</v>
      </c>
    </row>
    <row r="24" spans="1:7" ht="15" customHeight="1">
      <c r="A24" s="29" t="str">
        <f>Sales_data!A22</f>
        <v>ORD10021</v>
      </c>
      <c r="B24" s="29" t="str">
        <f>Sales_data!H22</f>
        <v>18/07/2002</v>
      </c>
      <c r="C24" s="29">
        <f t="shared" ca="1" si="0"/>
        <v>24</v>
      </c>
      <c r="D24" s="29" t="str">
        <f>Sales_data!D22</f>
        <v>26/04/2025</v>
      </c>
      <c r="E24" s="29" t="str">
        <f>Sales_data!E22</f>
        <v>05/05/2025</v>
      </c>
      <c r="F24" s="29">
        <f t="shared" si="1"/>
        <v>9</v>
      </c>
      <c r="G24" s="29" t="str">
        <f t="shared" si="2"/>
        <v>Delayed</v>
      </c>
    </row>
    <row r="25" spans="1:7" ht="15" customHeight="1">
      <c r="A25" s="29" t="str">
        <f>Sales_data!A23</f>
        <v>ORD10022</v>
      </c>
      <c r="B25" s="29" t="str">
        <f>Sales_data!H23</f>
        <v>15/12/2004</v>
      </c>
      <c r="C25" s="29">
        <f t="shared" ca="1" si="0"/>
        <v>21</v>
      </c>
      <c r="D25" s="29" t="str">
        <f>Sales_data!D23</f>
        <v>03/01/2025</v>
      </c>
      <c r="E25" s="29" t="str">
        <f>Sales_data!E23</f>
        <v>08/01/2025</v>
      </c>
      <c r="F25" s="29">
        <f t="shared" si="1"/>
        <v>5</v>
      </c>
      <c r="G25" s="29" t="str">
        <f t="shared" si="2"/>
        <v>OnTime</v>
      </c>
    </row>
    <row r="26" spans="1:7" ht="15" customHeight="1">
      <c r="A26" s="29" t="str">
        <f>Sales_data!A24</f>
        <v>ORD10023</v>
      </c>
      <c r="B26" s="29" t="str">
        <f>Sales_data!H24</f>
        <v>04/07/1984</v>
      </c>
      <c r="C26" s="29">
        <f t="shared" ca="1" si="0"/>
        <v>42</v>
      </c>
      <c r="D26" s="29" t="str">
        <f>Sales_data!D24</f>
        <v>19/04/2025</v>
      </c>
      <c r="E26" s="29" t="str">
        <f>Sales_data!E24</f>
        <v>30/04/2025</v>
      </c>
      <c r="F26" s="29">
        <f t="shared" si="1"/>
        <v>11</v>
      </c>
      <c r="G26" s="29" t="str">
        <f t="shared" si="2"/>
        <v>Delayed</v>
      </c>
    </row>
    <row r="27" spans="1:7" ht="15" customHeight="1">
      <c r="A27" s="29" t="str">
        <f>Sales_data!A25</f>
        <v>ORD10024</v>
      </c>
      <c r="B27" s="29" t="str">
        <f>Sales_data!H25</f>
        <v>25/02/1978</v>
      </c>
      <c r="C27" s="29">
        <f t="shared" ca="1" si="0"/>
        <v>48</v>
      </c>
      <c r="D27" s="29" t="str">
        <f>Sales_data!D25</f>
        <v>22/12/2025</v>
      </c>
      <c r="E27" s="29" t="str">
        <f>Sales_data!E25</f>
        <v>01/01/2026</v>
      </c>
      <c r="F27" s="29">
        <f t="shared" si="1"/>
        <v>10</v>
      </c>
      <c r="G27" s="29" t="str">
        <f t="shared" si="2"/>
        <v>Delayed</v>
      </c>
    </row>
    <row r="28" spans="1:7" ht="15" customHeight="1">
      <c r="A28" s="29" t="str">
        <f>Sales_data!A26</f>
        <v>ORD10025</v>
      </c>
      <c r="B28" s="29" t="str">
        <f>Sales_data!H26</f>
        <v>03/08/1991</v>
      </c>
      <c r="C28" s="29">
        <f t="shared" ca="1" si="0"/>
        <v>35</v>
      </c>
      <c r="D28" s="29" t="str">
        <f>Sales_data!D26</f>
        <v>09/04/2026</v>
      </c>
      <c r="E28" s="29" t="str">
        <f>Sales_data!E26</f>
        <v>20/04/2026</v>
      </c>
      <c r="F28" s="29">
        <f t="shared" si="1"/>
        <v>11</v>
      </c>
      <c r="G28" s="29" t="str">
        <f t="shared" si="2"/>
        <v>Delayed</v>
      </c>
    </row>
    <row r="29" spans="1:7" ht="15" customHeight="1">
      <c r="A29" s="29" t="str">
        <f>Sales_data!A27</f>
        <v>ORD10026</v>
      </c>
      <c r="B29" s="29" t="str">
        <f>Sales_data!H27</f>
        <v>11/12/1977</v>
      </c>
      <c r="C29" s="29">
        <f t="shared" ca="1" si="0"/>
        <v>48</v>
      </c>
      <c r="D29" s="29" t="str">
        <f>Sales_data!D27</f>
        <v>24/06/2025</v>
      </c>
      <c r="E29" s="29" t="str">
        <f>Sales_data!E27</f>
        <v>02/07/2025</v>
      </c>
      <c r="F29" s="29">
        <f t="shared" si="1"/>
        <v>8</v>
      </c>
      <c r="G29" s="29" t="str">
        <f t="shared" si="2"/>
        <v>Delayed</v>
      </c>
    </row>
    <row r="30" spans="1:7" ht="15" customHeight="1">
      <c r="A30" s="29" t="str">
        <f>Sales_data!A28</f>
        <v>ORD10027</v>
      </c>
      <c r="B30" s="29" t="str">
        <f>Sales_data!H28</f>
        <v>08/02/1992</v>
      </c>
      <c r="C30" s="29">
        <f t="shared" ca="1" si="0"/>
        <v>34</v>
      </c>
      <c r="D30" s="29" t="str">
        <f>Sales_data!D28</f>
        <v>22/05/2025</v>
      </c>
      <c r="E30" s="29" t="str">
        <f>Sales_data!E28</f>
        <v>25/05/2025</v>
      </c>
      <c r="F30" s="29">
        <f t="shared" si="1"/>
        <v>3</v>
      </c>
      <c r="G30" s="29" t="str">
        <f t="shared" si="2"/>
        <v>OnTime</v>
      </c>
    </row>
    <row r="31" spans="1:7" ht="15" customHeight="1">
      <c r="A31" s="29" t="str">
        <f>Sales_data!A29</f>
        <v>ORD10028</v>
      </c>
      <c r="B31" s="29" t="str">
        <f>Sales_data!H29</f>
        <v>05/06/2004</v>
      </c>
      <c r="C31" s="29">
        <f t="shared" ca="1" si="0"/>
        <v>22</v>
      </c>
      <c r="D31" s="29" t="str">
        <f>Sales_data!D29</f>
        <v>13/03/2026</v>
      </c>
      <c r="E31" s="29" t="str">
        <f>Sales_data!E29</f>
        <v>20/03/2026</v>
      </c>
      <c r="F31" s="29">
        <f t="shared" si="1"/>
        <v>7</v>
      </c>
      <c r="G31" s="29" t="str">
        <f t="shared" si="2"/>
        <v>Delayed</v>
      </c>
    </row>
    <row r="32" spans="1:7" ht="15" customHeight="1">
      <c r="A32" s="29" t="str">
        <f>Sales_data!A30</f>
        <v>ORD10029</v>
      </c>
      <c r="B32" s="29" t="str">
        <f>Sales_data!H30</f>
        <v>11/08/2001</v>
      </c>
      <c r="C32" s="29">
        <f t="shared" ca="1" si="0"/>
        <v>25</v>
      </c>
      <c r="D32" s="29" t="str">
        <f>Sales_data!D30</f>
        <v>08/09/2025</v>
      </c>
      <c r="E32" s="29" t="str">
        <f>Sales_data!E30</f>
        <v>20/09/2025</v>
      </c>
      <c r="F32" s="29">
        <f t="shared" si="1"/>
        <v>12</v>
      </c>
      <c r="G32" s="29" t="str">
        <f t="shared" si="2"/>
        <v>Delayed</v>
      </c>
    </row>
    <row r="33" spans="1:7" ht="15" customHeight="1">
      <c r="A33" s="29" t="str">
        <f>Sales_data!A31</f>
        <v>ORD10030</v>
      </c>
      <c r="B33" s="29" t="str">
        <f>Sales_data!H31</f>
        <v>04/04/1981</v>
      </c>
      <c r="C33" s="29">
        <f t="shared" ca="1" si="0"/>
        <v>45</v>
      </c>
      <c r="D33" s="29" t="str">
        <f>Sales_data!D31</f>
        <v>11/01/2026</v>
      </c>
      <c r="E33" s="29" t="str">
        <f>Sales_data!E31</f>
        <v>16/01/2026</v>
      </c>
      <c r="F33" s="29">
        <f t="shared" si="1"/>
        <v>5</v>
      </c>
      <c r="G33" s="29" t="str">
        <f t="shared" si="2"/>
        <v>OnTime</v>
      </c>
    </row>
    <row r="34" spans="1:7" ht="15" customHeight="1">
      <c r="A34" s="29" t="str">
        <f>Sales_data!A32</f>
        <v>ORD10031</v>
      </c>
      <c r="B34" s="29" t="str">
        <f>Sales_data!H32</f>
        <v>02/07/1996</v>
      </c>
      <c r="C34" s="29">
        <f t="shared" ca="1" si="0"/>
        <v>30</v>
      </c>
      <c r="D34" s="29" t="str">
        <f>Sales_data!D32</f>
        <v>16/06/2025</v>
      </c>
      <c r="E34" s="29" t="str">
        <f>Sales_data!E32</f>
        <v>26/06/2025</v>
      </c>
      <c r="F34" s="29">
        <f t="shared" si="1"/>
        <v>10</v>
      </c>
      <c r="G34" s="29" t="str">
        <f t="shared" si="2"/>
        <v>Delayed</v>
      </c>
    </row>
    <row r="35" spans="1:7" ht="15" customHeight="1">
      <c r="A35" s="29" t="str">
        <f>Sales_data!A33</f>
        <v>ORD10032</v>
      </c>
      <c r="B35" s="29" t="str">
        <f>Sales_data!H33</f>
        <v>15/11/1976</v>
      </c>
      <c r="C35" s="29">
        <f t="shared" ca="1" si="0"/>
        <v>49</v>
      </c>
      <c r="D35" s="29" t="str">
        <f>Sales_data!D33</f>
        <v>01/07/2025</v>
      </c>
      <c r="E35" s="29" t="str">
        <f>Sales_data!E33</f>
        <v>13/07/2025</v>
      </c>
      <c r="F35" s="29">
        <f t="shared" si="1"/>
        <v>12</v>
      </c>
      <c r="G35" s="29" t="str">
        <f t="shared" si="2"/>
        <v>Delayed</v>
      </c>
    </row>
    <row r="36" spans="1:7" ht="15" customHeight="1">
      <c r="A36" s="29" t="str">
        <f>Sales_data!A34</f>
        <v>ORD10033</v>
      </c>
      <c r="B36" s="29" t="str">
        <f>Sales_data!H34</f>
        <v>28/10/1988</v>
      </c>
      <c r="C36" s="29">
        <f t="shared" ca="1" si="0"/>
        <v>37</v>
      </c>
      <c r="D36" s="29" t="str">
        <f>Sales_data!D34</f>
        <v>07/03/2025</v>
      </c>
      <c r="E36" s="29" t="str">
        <f>Sales_data!E34</f>
        <v>15/03/2025</v>
      </c>
      <c r="F36" s="29">
        <f t="shared" si="1"/>
        <v>8</v>
      </c>
      <c r="G36" s="29" t="str">
        <f t="shared" si="2"/>
        <v>Delayed</v>
      </c>
    </row>
    <row r="37" spans="1:7" ht="15" customHeight="1">
      <c r="A37" s="29" t="str">
        <f>Sales_data!A35</f>
        <v>ORD10034</v>
      </c>
      <c r="B37" s="29" t="str">
        <f>Sales_data!H35</f>
        <v>23/06/2004</v>
      </c>
      <c r="C37" s="29">
        <f t="shared" ca="1" si="0"/>
        <v>22</v>
      </c>
      <c r="D37" s="29" t="str">
        <f>Sales_data!D35</f>
        <v>24/06/2025</v>
      </c>
      <c r="E37" s="29" t="str">
        <f>Sales_data!E35</f>
        <v>04/07/2025</v>
      </c>
      <c r="F37" s="29">
        <f t="shared" si="1"/>
        <v>10</v>
      </c>
      <c r="G37" s="29" t="str">
        <f t="shared" si="2"/>
        <v>Delayed</v>
      </c>
    </row>
    <row r="38" spans="1:7" ht="15" customHeight="1">
      <c r="A38" s="29" t="str">
        <f>Sales_data!A36</f>
        <v>ORD10035</v>
      </c>
      <c r="B38" s="29" t="str">
        <f>Sales_data!H36</f>
        <v>22/04/1996</v>
      </c>
      <c r="C38" s="29">
        <f t="shared" ca="1" si="0"/>
        <v>30</v>
      </c>
      <c r="D38" s="29" t="str">
        <f>Sales_data!D36</f>
        <v>09/10/2025</v>
      </c>
      <c r="E38" s="29" t="str">
        <f>Sales_data!E36</f>
        <v>19/10/2025</v>
      </c>
      <c r="F38" s="29">
        <f t="shared" si="1"/>
        <v>10</v>
      </c>
      <c r="G38" s="29" t="str">
        <f t="shared" si="2"/>
        <v>Delayed</v>
      </c>
    </row>
    <row r="39" spans="1:7" ht="15" customHeight="1">
      <c r="A39" s="29" t="str">
        <f>Sales_data!A37</f>
        <v>ORD10036</v>
      </c>
      <c r="B39" s="29" t="str">
        <f>Sales_data!H37</f>
        <v>07/07/1979</v>
      </c>
      <c r="C39" s="29">
        <f t="shared" ca="1" si="0"/>
        <v>47</v>
      </c>
      <c r="D39" s="29" t="str">
        <f>Sales_data!D37</f>
        <v>19/11/2025</v>
      </c>
      <c r="E39" s="29" t="str">
        <f>Sales_data!E37</f>
        <v>26/11/2025</v>
      </c>
      <c r="F39" s="29">
        <f t="shared" si="1"/>
        <v>7</v>
      </c>
      <c r="G39" s="29" t="str">
        <f t="shared" si="2"/>
        <v>Delayed</v>
      </c>
    </row>
    <row r="40" spans="1:7" ht="15" customHeight="1">
      <c r="A40" s="29" t="str">
        <f>Sales_data!A38</f>
        <v>ORD10037</v>
      </c>
      <c r="B40" s="29" t="str">
        <f>Sales_data!H38</f>
        <v>27/09/1980</v>
      </c>
      <c r="C40" s="29">
        <f t="shared" ca="1" si="0"/>
        <v>46</v>
      </c>
      <c r="D40" s="29" t="str">
        <f>Sales_data!D38</f>
        <v>05/11/2025</v>
      </c>
      <c r="E40" s="29" t="str">
        <f>Sales_data!E38</f>
        <v>14/11/2025</v>
      </c>
      <c r="F40" s="29">
        <f t="shared" si="1"/>
        <v>9</v>
      </c>
      <c r="G40" s="29" t="str">
        <f t="shared" si="2"/>
        <v>Delayed</v>
      </c>
    </row>
    <row r="41" spans="1:7" ht="15" customHeight="1">
      <c r="A41" s="29" t="str">
        <f>Sales_data!A39</f>
        <v>ORD10038</v>
      </c>
      <c r="B41" s="29" t="str">
        <f>Sales_data!H39</f>
        <v>21/06/1980</v>
      </c>
      <c r="C41" s="29">
        <f t="shared" ca="1" si="0"/>
        <v>46</v>
      </c>
      <c r="D41" s="29" t="str">
        <f>Sales_data!D39</f>
        <v>08/03/2026</v>
      </c>
      <c r="E41" s="29" t="str">
        <f>Sales_data!E39</f>
        <v>20/03/2026</v>
      </c>
      <c r="F41" s="29">
        <f t="shared" si="1"/>
        <v>12</v>
      </c>
      <c r="G41" s="29" t="str">
        <f t="shared" si="2"/>
        <v>Delayed</v>
      </c>
    </row>
    <row r="42" spans="1:7" ht="15" customHeight="1">
      <c r="A42" s="29" t="str">
        <f>Sales_data!A40</f>
        <v>ORD10039</v>
      </c>
      <c r="B42" s="29" t="str">
        <f>Sales_data!H40</f>
        <v>17/06/1979</v>
      </c>
      <c r="C42" s="29">
        <f t="shared" ca="1" si="0"/>
        <v>47</v>
      </c>
      <c r="D42" s="29" t="str">
        <f>Sales_data!D40</f>
        <v>13/02/2025</v>
      </c>
      <c r="E42" s="29" t="str">
        <f>Sales_data!E40</f>
        <v>19/02/2025</v>
      </c>
      <c r="F42" s="29">
        <f t="shared" si="1"/>
        <v>6</v>
      </c>
      <c r="G42" s="29" t="str">
        <f t="shared" si="2"/>
        <v>Delayed</v>
      </c>
    </row>
    <row r="43" spans="1:7" ht="15" customHeight="1">
      <c r="A43" s="29" t="str">
        <f>Sales_data!A41</f>
        <v>ORD10040</v>
      </c>
      <c r="B43" s="29" t="str">
        <f>Sales_data!H41</f>
        <v>18/06/1992</v>
      </c>
      <c r="C43" s="29">
        <f t="shared" ca="1" si="0"/>
        <v>34</v>
      </c>
      <c r="D43" s="29" t="str">
        <f>Sales_data!D41</f>
        <v>05/10/2025</v>
      </c>
      <c r="E43" s="29" t="str">
        <f>Sales_data!E41</f>
        <v>15/10/2025</v>
      </c>
      <c r="F43" s="29">
        <f t="shared" si="1"/>
        <v>10</v>
      </c>
      <c r="G43" s="29" t="str">
        <f t="shared" si="2"/>
        <v>Delayed</v>
      </c>
    </row>
    <row r="44" spans="1:7" ht="15" customHeight="1">
      <c r="A44" s="29" t="str">
        <f>Sales_data!A42</f>
        <v>ORD10041</v>
      </c>
      <c r="B44" s="29" t="str">
        <f>Sales_data!H42</f>
        <v>06/06/1994</v>
      </c>
      <c r="C44" s="29">
        <f t="shared" ca="1" si="0"/>
        <v>32</v>
      </c>
      <c r="D44" s="29" t="str">
        <f>Sales_data!D42</f>
        <v>10/02/2026</v>
      </c>
      <c r="E44" s="29" t="str">
        <f>Sales_data!E42</f>
        <v>12/02/2026</v>
      </c>
      <c r="F44" s="29">
        <f t="shared" si="1"/>
        <v>2</v>
      </c>
      <c r="G44" s="29" t="str">
        <f t="shared" si="2"/>
        <v>OnTime</v>
      </c>
    </row>
    <row r="45" spans="1:7" ht="15" customHeight="1">
      <c r="A45" s="29" t="str">
        <f>Sales_data!A43</f>
        <v>ORD10042</v>
      </c>
      <c r="B45" s="29" t="str">
        <f>Sales_data!H43</f>
        <v>22/09/1988</v>
      </c>
      <c r="C45" s="29">
        <f t="shared" ca="1" si="0"/>
        <v>38</v>
      </c>
      <c r="D45" s="29" t="str">
        <f>Sales_data!D43</f>
        <v>04/06/2025</v>
      </c>
      <c r="E45" s="29" t="str">
        <f>Sales_data!E43</f>
        <v>16/06/2025</v>
      </c>
      <c r="F45" s="29">
        <f t="shared" si="1"/>
        <v>12</v>
      </c>
      <c r="G45" s="29" t="str">
        <f t="shared" si="2"/>
        <v>Delayed</v>
      </c>
    </row>
    <row r="46" spans="1:7" ht="15" customHeight="1">
      <c r="A46" s="29" t="str">
        <f>Sales_data!A44</f>
        <v>ORD10043</v>
      </c>
      <c r="B46" s="29" t="str">
        <f>Sales_data!H44</f>
        <v>14/07/2001</v>
      </c>
      <c r="C46" s="29">
        <f t="shared" ca="1" si="0"/>
        <v>25</v>
      </c>
      <c r="D46" s="29" t="str">
        <f>Sales_data!D44</f>
        <v>08/02/2026</v>
      </c>
      <c r="E46" s="29" t="str">
        <f>Sales_data!E44</f>
        <v>14/02/2026</v>
      </c>
      <c r="F46" s="29">
        <f t="shared" si="1"/>
        <v>6</v>
      </c>
      <c r="G46" s="29" t="str">
        <f t="shared" si="2"/>
        <v>Delayed</v>
      </c>
    </row>
    <row r="47" spans="1:7" ht="15" customHeight="1">
      <c r="A47" s="29" t="str">
        <f>Sales_data!A45</f>
        <v>ORD10044</v>
      </c>
      <c r="B47" s="29" t="str">
        <f>Sales_data!H45</f>
        <v>09/08/1991</v>
      </c>
      <c r="C47" s="29">
        <f t="shared" ca="1" si="0"/>
        <v>35</v>
      </c>
      <c r="D47" s="29" t="str">
        <f>Sales_data!D45</f>
        <v>30/03/2025</v>
      </c>
      <c r="E47" s="29" t="str">
        <f>Sales_data!E45</f>
        <v>31/03/2025</v>
      </c>
      <c r="F47" s="29">
        <f t="shared" si="1"/>
        <v>1</v>
      </c>
      <c r="G47" s="29" t="str">
        <f t="shared" si="2"/>
        <v>OnTime</v>
      </c>
    </row>
    <row r="48" spans="1:7" ht="15" customHeight="1">
      <c r="A48" s="29" t="str">
        <f>Sales_data!A46</f>
        <v>ORD10045</v>
      </c>
      <c r="B48" s="29" t="str">
        <f>Sales_data!H46</f>
        <v>21/10/1988</v>
      </c>
      <c r="C48" s="29">
        <f t="shared" ca="1" si="0"/>
        <v>37</v>
      </c>
      <c r="D48" s="29" t="str">
        <f>Sales_data!D46</f>
        <v>25/04/2025</v>
      </c>
      <c r="E48" s="29" t="str">
        <f>Sales_data!E46</f>
        <v>28/04/2025</v>
      </c>
      <c r="F48" s="29">
        <f t="shared" si="1"/>
        <v>3</v>
      </c>
      <c r="G48" s="29" t="str">
        <f t="shared" si="2"/>
        <v>OnTime</v>
      </c>
    </row>
    <row r="49" spans="1:7" ht="15" customHeight="1">
      <c r="A49" s="29" t="str">
        <f>Sales_data!A47</f>
        <v>ORD10046</v>
      </c>
      <c r="B49" s="29" t="str">
        <f>Sales_data!H47</f>
        <v>19/11/2002</v>
      </c>
      <c r="C49" s="29">
        <f t="shared" ca="1" si="0"/>
        <v>23</v>
      </c>
      <c r="D49" s="29" t="str">
        <f>Sales_data!D47</f>
        <v>13/10/2025</v>
      </c>
      <c r="E49" s="29" t="str">
        <f>Sales_data!E47</f>
        <v>23/10/2025</v>
      </c>
      <c r="F49" s="29">
        <f t="shared" si="1"/>
        <v>10</v>
      </c>
      <c r="G49" s="29" t="str">
        <f t="shared" si="2"/>
        <v>Delayed</v>
      </c>
    </row>
    <row r="50" spans="1:7" ht="15" customHeight="1">
      <c r="A50" s="29" t="str">
        <f>Sales_data!A48</f>
        <v>ORD10047</v>
      </c>
      <c r="B50" s="29" t="str">
        <f>Sales_data!H48</f>
        <v>06/07/2000</v>
      </c>
      <c r="C50" s="29">
        <f t="shared" ca="1" si="0"/>
        <v>26</v>
      </c>
      <c r="D50" s="29" t="str">
        <f>Sales_data!D48</f>
        <v>11/10/2025</v>
      </c>
      <c r="E50" s="29" t="str">
        <f>Sales_data!E48</f>
        <v>14/10/2025</v>
      </c>
      <c r="F50" s="29">
        <f t="shared" si="1"/>
        <v>3</v>
      </c>
      <c r="G50" s="29" t="str">
        <f t="shared" si="2"/>
        <v>OnTime</v>
      </c>
    </row>
    <row r="51" spans="1:7" ht="15" customHeight="1">
      <c r="A51" s="29" t="str">
        <f>Sales_data!A49</f>
        <v>ORD10048</v>
      </c>
      <c r="B51" s="29" t="str">
        <f>Sales_data!H49</f>
        <v>26/11/1998</v>
      </c>
      <c r="C51" s="29">
        <f t="shared" ca="1" si="0"/>
        <v>27</v>
      </c>
      <c r="D51" s="29" t="str">
        <f>Sales_data!D49</f>
        <v>27/11/2025</v>
      </c>
      <c r="E51" s="29" t="str">
        <f>Sales_data!E49</f>
        <v>03/12/2025</v>
      </c>
      <c r="F51" s="29">
        <f t="shared" si="1"/>
        <v>6</v>
      </c>
      <c r="G51" s="29" t="str">
        <f t="shared" si="2"/>
        <v>Delayed</v>
      </c>
    </row>
    <row r="52" spans="1:7" ht="15" customHeight="1">
      <c r="A52" s="29" t="str">
        <f>Sales_data!A50</f>
        <v>ORD10049</v>
      </c>
      <c r="B52" s="29" t="str">
        <f>Sales_data!H50</f>
        <v>03/06/1996</v>
      </c>
      <c r="C52" s="29">
        <f t="shared" ca="1" si="0"/>
        <v>30</v>
      </c>
      <c r="D52" s="29" t="str">
        <f>Sales_data!D50</f>
        <v>19/04/2026</v>
      </c>
      <c r="E52" s="29">
        <f>Sales_data!E50</f>
        <v>0</v>
      </c>
      <c r="F52" s="29" t="str">
        <f t="shared" si="1"/>
        <v/>
      </c>
      <c r="G52" s="29" t="str">
        <f t="shared" si="2"/>
        <v>Pending</v>
      </c>
    </row>
    <row r="53" spans="1:7" ht="15" customHeight="1">
      <c r="A53" s="29" t="str">
        <f>Sales_data!A51</f>
        <v>ORD10050</v>
      </c>
      <c r="B53" s="29" t="str">
        <f>Sales_data!H51</f>
        <v>15/03/1987</v>
      </c>
      <c r="C53" s="29">
        <f t="shared" ca="1" si="0"/>
        <v>39</v>
      </c>
      <c r="D53" s="29" t="str">
        <f>Sales_data!D51</f>
        <v>19/04/2026</v>
      </c>
      <c r="E53" s="29" t="str">
        <f>Sales_data!E51</f>
        <v>21/04/2026</v>
      </c>
      <c r="F53" s="29">
        <f t="shared" si="1"/>
        <v>2</v>
      </c>
      <c r="G53" s="29" t="str">
        <f t="shared" si="2"/>
        <v>OnTime</v>
      </c>
    </row>
    <row r="54" spans="1:7" ht="15" customHeight="1">
      <c r="A54" s="29" t="str">
        <f>Sales_data!A52</f>
        <v>ORD10051</v>
      </c>
      <c r="B54" s="29" t="str">
        <f>Sales_data!H52</f>
        <v>20/02/1979</v>
      </c>
      <c r="C54" s="29">
        <f t="shared" ca="1" si="0"/>
        <v>47</v>
      </c>
      <c r="D54" s="29" t="str">
        <f>Sales_data!D52</f>
        <v>28/03/2025</v>
      </c>
      <c r="E54" s="29" t="str">
        <f>Sales_data!E52</f>
        <v>07/04/2025</v>
      </c>
      <c r="F54" s="29">
        <f t="shared" si="1"/>
        <v>10</v>
      </c>
      <c r="G54" s="29" t="str">
        <f t="shared" si="2"/>
        <v>Delayed</v>
      </c>
    </row>
    <row r="55" spans="1:7" ht="15" customHeight="1">
      <c r="A55" s="29" t="str">
        <f>Sales_data!A53</f>
        <v>ORD10052</v>
      </c>
      <c r="B55" s="29" t="str">
        <f>Sales_data!H53</f>
        <v>09/08/2000</v>
      </c>
      <c r="C55" s="29">
        <f t="shared" ca="1" si="0"/>
        <v>26</v>
      </c>
      <c r="D55" s="29" t="str">
        <f>Sales_data!D53</f>
        <v>25/08/2025</v>
      </c>
      <c r="E55" s="29" t="str">
        <f>Sales_data!E53</f>
        <v>28/08/2025</v>
      </c>
      <c r="F55" s="29">
        <f t="shared" si="1"/>
        <v>3</v>
      </c>
      <c r="G55" s="29" t="str">
        <f t="shared" si="2"/>
        <v>OnTime</v>
      </c>
    </row>
    <row r="56" spans="1:7" ht="15" customHeight="1">
      <c r="A56" s="29" t="str">
        <f>Sales_data!A54</f>
        <v>ORD10053</v>
      </c>
      <c r="B56" s="29" t="str">
        <f>Sales_data!H54</f>
        <v>17/01/1976</v>
      </c>
      <c r="C56" s="29">
        <f t="shared" ca="1" si="0"/>
        <v>50</v>
      </c>
      <c r="D56" s="29" t="str">
        <f>Sales_data!D54</f>
        <v>19/08/2025</v>
      </c>
      <c r="E56" s="29" t="str">
        <f>Sales_data!E54</f>
        <v>23/08/2025</v>
      </c>
      <c r="F56" s="29">
        <f t="shared" si="1"/>
        <v>4</v>
      </c>
      <c r="G56" s="29" t="str">
        <f t="shared" si="2"/>
        <v>OnTime</v>
      </c>
    </row>
    <row r="57" spans="1:7" ht="15" customHeight="1">
      <c r="A57" s="29" t="str">
        <f>Sales_data!A55</f>
        <v>ORD10054</v>
      </c>
      <c r="B57" s="29" t="str">
        <f>Sales_data!H55</f>
        <v>04/04/1975</v>
      </c>
      <c r="C57" s="29">
        <f t="shared" ca="1" si="0"/>
        <v>51</v>
      </c>
      <c r="D57" s="29" t="str">
        <f>Sales_data!D55</f>
        <v>27/07/2025</v>
      </c>
      <c r="E57" s="29" t="str">
        <f>Sales_data!E55</f>
        <v>05/08/2025</v>
      </c>
      <c r="F57" s="29">
        <f t="shared" si="1"/>
        <v>9</v>
      </c>
      <c r="G57" s="29" t="str">
        <f t="shared" si="2"/>
        <v>Delayed</v>
      </c>
    </row>
    <row r="58" spans="1:7" ht="15" customHeight="1">
      <c r="A58" s="29" t="str">
        <f>Sales_data!A56</f>
        <v>ORD10055</v>
      </c>
      <c r="B58" s="29" t="str">
        <f>Sales_data!H56</f>
        <v>11/12/1976</v>
      </c>
      <c r="C58" s="29">
        <f t="shared" ca="1" si="0"/>
        <v>49</v>
      </c>
      <c r="D58" s="29" t="str">
        <f>Sales_data!D56</f>
        <v>21/02/2025</v>
      </c>
      <c r="E58" s="29" t="str">
        <f>Sales_data!E56</f>
        <v>26/02/2025</v>
      </c>
      <c r="F58" s="29">
        <f t="shared" si="1"/>
        <v>5</v>
      </c>
      <c r="G58" s="29" t="str">
        <f t="shared" si="2"/>
        <v>OnTime</v>
      </c>
    </row>
    <row r="59" spans="1:7" ht="15" customHeight="1">
      <c r="A59" s="29" t="str">
        <f>Sales_data!A57</f>
        <v>ORD10056</v>
      </c>
      <c r="B59" s="29" t="str">
        <f>Sales_data!H57</f>
        <v>03/12/1979</v>
      </c>
      <c r="C59" s="29">
        <f t="shared" ca="1" si="0"/>
        <v>46</v>
      </c>
      <c r="D59" s="29" t="str">
        <f>Sales_data!D57</f>
        <v>10/08/2025</v>
      </c>
      <c r="E59" s="29" t="str">
        <f>Sales_data!E57</f>
        <v>11/08/2025</v>
      </c>
      <c r="F59" s="29">
        <f t="shared" si="1"/>
        <v>1</v>
      </c>
      <c r="G59" s="29" t="str">
        <f t="shared" si="2"/>
        <v>OnTime</v>
      </c>
    </row>
    <row r="60" spans="1:7" ht="15" customHeight="1">
      <c r="A60" s="29" t="str">
        <f>Sales_data!A58</f>
        <v>ORD10057</v>
      </c>
      <c r="B60" s="29" t="str">
        <f>Sales_data!H58</f>
        <v>27/12/1978</v>
      </c>
      <c r="C60" s="29">
        <f t="shared" ca="1" si="0"/>
        <v>47</v>
      </c>
      <c r="D60" s="29" t="str">
        <f>Sales_data!D58</f>
        <v>24/03/2026</v>
      </c>
      <c r="E60" s="29" t="str">
        <f>Sales_data!E58</f>
        <v>30/03/2026</v>
      </c>
      <c r="F60" s="29">
        <f t="shared" si="1"/>
        <v>6</v>
      </c>
      <c r="G60" s="29" t="str">
        <f t="shared" si="2"/>
        <v>Delayed</v>
      </c>
    </row>
    <row r="61" spans="1:7" ht="15" customHeight="1">
      <c r="A61" s="29" t="str">
        <f>Sales_data!A59</f>
        <v>ORD10058</v>
      </c>
      <c r="B61" s="29" t="str">
        <f>Sales_data!H59</f>
        <v>15/04/1975</v>
      </c>
      <c r="C61" s="29">
        <f t="shared" ca="1" si="0"/>
        <v>51</v>
      </c>
      <c r="D61" s="29" t="str">
        <f>Sales_data!D59</f>
        <v>13/03/2026</v>
      </c>
      <c r="E61" s="29" t="str">
        <f>Sales_data!E59</f>
        <v>19/03/2026</v>
      </c>
      <c r="F61" s="29">
        <f t="shared" si="1"/>
        <v>6</v>
      </c>
      <c r="G61" s="29" t="str">
        <f t="shared" si="2"/>
        <v>Delayed</v>
      </c>
    </row>
    <row r="62" spans="1:7" ht="15" customHeight="1">
      <c r="A62" s="29" t="str">
        <f>Sales_data!A60</f>
        <v>ORD10059</v>
      </c>
      <c r="B62" s="29" t="str">
        <f>Sales_data!H60</f>
        <v>19/12/1988</v>
      </c>
      <c r="C62" s="29">
        <f t="shared" ca="1" si="0"/>
        <v>37</v>
      </c>
      <c r="D62" s="29" t="str">
        <f>Sales_data!D60</f>
        <v>15/06/2025</v>
      </c>
      <c r="E62" s="29" t="str">
        <f>Sales_data!E60</f>
        <v>26/06/2025</v>
      </c>
      <c r="F62" s="29">
        <f t="shared" si="1"/>
        <v>11</v>
      </c>
      <c r="G62" s="29" t="str">
        <f t="shared" si="2"/>
        <v>Delayed</v>
      </c>
    </row>
    <row r="63" spans="1:7" ht="15" customHeight="1">
      <c r="A63" s="29" t="str">
        <f>Sales_data!A61</f>
        <v>ORD10060</v>
      </c>
      <c r="B63" s="29" t="str">
        <f>Sales_data!H61</f>
        <v>07/03/1979</v>
      </c>
      <c r="C63" s="29">
        <f t="shared" ca="1" si="0"/>
        <v>47</v>
      </c>
      <c r="D63" s="29" t="str">
        <f>Sales_data!D61</f>
        <v>05/03/2025</v>
      </c>
      <c r="E63" s="29" t="str">
        <f>Sales_data!E61</f>
        <v>06/03/2025</v>
      </c>
      <c r="F63" s="29">
        <f t="shared" si="1"/>
        <v>1</v>
      </c>
      <c r="G63" s="29" t="str">
        <f t="shared" si="2"/>
        <v>OnTime</v>
      </c>
    </row>
    <row r="64" spans="1:7" ht="15" customHeight="1">
      <c r="A64" s="29" t="str">
        <f>Sales_data!A62</f>
        <v>ORD10061</v>
      </c>
      <c r="B64" s="29" t="str">
        <f>Sales_data!H62</f>
        <v>17/12/2003</v>
      </c>
      <c r="C64" s="29">
        <f t="shared" ca="1" si="0"/>
        <v>22</v>
      </c>
      <c r="D64" s="29" t="str">
        <f>Sales_data!D62</f>
        <v>09/04/2026</v>
      </c>
      <c r="E64" s="29" t="str">
        <f>Sales_data!E62</f>
        <v>19/04/2026</v>
      </c>
      <c r="F64" s="29">
        <f t="shared" si="1"/>
        <v>10</v>
      </c>
      <c r="G64" s="29" t="str">
        <f t="shared" si="2"/>
        <v>Delayed</v>
      </c>
    </row>
    <row r="65" spans="1:7" ht="15" customHeight="1">
      <c r="A65" s="29" t="str">
        <f>Sales_data!A63</f>
        <v>ORD10062</v>
      </c>
      <c r="B65" s="29" t="str">
        <f>Sales_data!H63</f>
        <v>05/04/1984</v>
      </c>
      <c r="C65" s="29">
        <f t="shared" ca="1" si="0"/>
        <v>42</v>
      </c>
      <c r="D65" s="29" t="str">
        <f>Sales_data!D63</f>
        <v>16/08/2025</v>
      </c>
      <c r="E65" s="29" t="str">
        <f>Sales_data!E63</f>
        <v>25/08/2025</v>
      </c>
      <c r="F65" s="29">
        <f t="shared" si="1"/>
        <v>9</v>
      </c>
      <c r="G65" s="29" t="str">
        <f t="shared" si="2"/>
        <v>Delayed</v>
      </c>
    </row>
    <row r="66" spans="1:7" ht="15" customHeight="1">
      <c r="A66" s="29" t="str">
        <f>Sales_data!A64</f>
        <v>ORD10063</v>
      </c>
      <c r="B66" s="29" t="str">
        <f>Sales_data!H64</f>
        <v>13/04/1996</v>
      </c>
      <c r="C66" s="29">
        <f t="shared" ca="1" si="0"/>
        <v>30</v>
      </c>
      <c r="D66" s="29" t="str">
        <f>Sales_data!D64</f>
        <v>13/05/2026</v>
      </c>
      <c r="E66" s="29" t="str">
        <f>Sales_data!E64</f>
        <v>20/05/2026</v>
      </c>
      <c r="F66" s="29">
        <f t="shared" si="1"/>
        <v>7</v>
      </c>
      <c r="G66" s="29" t="str">
        <f t="shared" si="2"/>
        <v>Delayed</v>
      </c>
    </row>
    <row r="67" spans="1:7" ht="15" customHeight="1">
      <c r="A67" s="29" t="str">
        <f>Sales_data!A65</f>
        <v>ORD10064</v>
      </c>
      <c r="B67" s="29" t="str">
        <f>Sales_data!H65</f>
        <v>08/09/2003</v>
      </c>
      <c r="C67" s="29">
        <f t="shared" ca="1" si="0"/>
        <v>23</v>
      </c>
      <c r="D67" s="29" t="str">
        <f>Sales_data!D65</f>
        <v>01/03/2025</v>
      </c>
      <c r="E67" s="29" t="str">
        <f>Sales_data!E65</f>
        <v>05/03/2025</v>
      </c>
      <c r="F67" s="29">
        <f t="shared" si="1"/>
        <v>4</v>
      </c>
      <c r="G67" s="29" t="str">
        <f t="shared" si="2"/>
        <v>OnTime</v>
      </c>
    </row>
    <row r="68" spans="1:7" ht="15" customHeight="1">
      <c r="A68" s="29" t="str">
        <f>Sales_data!A66</f>
        <v>ORD10065</v>
      </c>
      <c r="B68" s="29" t="str">
        <f>Sales_data!H66</f>
        <v>24/09/1992</v>
      </c>
      <c r="C68" s="29">
        <f t="shared" ref="C68:C131" ca="1" si="3">IFERROR(DATEDIF(DATE(VALUE(RIGHT(B68,4)),VALUE(MID(B68,4,2)),VALUE(LEFT(B68,2))),TODAY(),"Y"),"")</f>
        <v>34</v>
      </c>
      <c r="D68" s="29" t="str">
        <f>Sales_data!D66</f>
        <v>09/02/2025</v>
      </c>
      <c r="E68" s="29" t="str">
        <f>Sales_data!E66</f>
        <v>12/02/2025</v>
      </c>
      <c r="F68" s="29">
        <f t="shared" ref="F68:F131" si="4">IF(E68="","",IFERROR(DATE(VALUE(RIGHT(E68,4)),VALUE(MID(E68,4,2)),VALUE(LEFT(E68,2)))-DATE(VALUE(RIGHT(D68,4)),VALUE(MID(D68,4,2)),VALUE(LEFT(D68,2))),""))</f>
        <v>3</v>
      </c>
      <c r="G68" s="29" t="str">
        <f t="shared" ref="G68:G131" si="5">IF(E68="","Pending",IF(F68="","Pending",IF(F68&lt;=5,"OnTime","Delayed")))</f>
        <v>OnTime</v>
      </c>
    </row>
    <row r="69" spans="1:7" ht="15" customHeight="1">
      <c r="A69" s="29" t="str">
        <f>Sales_data!A67</f>
        <v>ORD10066</v>
      </c>
      <c r="B69" s="29" t="str">
        <f>Sales_data!H67</f>
        <v>19/09/1986</v>
      </c>
      <c r="C69" s="29">
        <f t="shared" ca="1" si="3"/>
        <v>40</v>
      </c>
      <c r="D69" s="29" t="str">
        <f>Sales_data!D67</f>
        <v>09/01/2026</v>
      </c>
      <c r="E69" s="29" t="str">
        <f>Sales_data!E67</f>
        <v>10/01/2026</v>
      </c>
      <c r="F69" s="29">
        <f t="shared" si="4"/>
        <v>1</v>
      </c>
      <c r="G69" s="29" t="str">
        <f t="shared" si="5"/>
        <v>OnTime</v>
      </c>
    </row>
    <row r="70" spans="1:7" ht="15" customHeight="1">
      <c r="A70" s="29" t="str">
        <f>Sales_data!A68</f>
        <v>ORD10067</v>
      </c>
      <c r="B70" s="29" t="str">
        <f>Sales_data!H68</f>
        <v>28/05/1985</v>
      </c>
      <c r="C70" s="29">
        <f t="shared" ca="1" si="3"/>
        <v>41</v>
      </c>
      <c r="D70" s="29" t="str">
        <f>Sales_data!D68</f>
        <v>01/09/2025</v>
      </c>
      <c r="E70" s="29" t="str">
        <f>Sales_data!E68</f>
        <v>05/09/2025</v>
      </c>
      <c r="F70" s="29">
        <f t="shared" si="4"/>
        <v>4</v>
      </c>
      <c r="G70" s="29" t="str">
        <f t="shared" si="5"/>
        <v>OnTime</v>
      </c>
    </row>
    <row r="71" spans="1:7" ht="15" customHeight="1">
      <c r="A71" s="29" t="str">
        <f>Sales_data!A69</f>
        <v>ORD10068</v>
      </c>
      <c r="B71" s="29" t="str">
        <f>Sales_data!H69</f>
        <v>27/08/1979</v>
      </c>
      <c r="C71" s="29">
        <f t="shared" ca="1" si="3"/>
        <v>47</v>
      </c>
      <c r="D71" s="29" t="str">
        <f>Sales_data!D69</f>
        <v>09/02/2026</v>
      </c>
      <c r="E71" s="29" t="str">
        <f>Sales_data!E69</f>
        <v>14/02/2026</v>
      </c>
      <c r="F71" s="29">
        <f t="shared" si="4"/>
        <v>5</v>
      </c>
      <c r="G71" s="29" t="str">
        <f t="shared" si="5"/>
        <v>OnTime</v>
      </c>
    </row>
    <row r="72" spans="1:7" ht="15" customHeight="1">
      <c r="A72" s="29" t="str">
        <f>Sales_data!A70</f>
        <v>ORD10069</v>
      </c>
      <c r="B72" s="29" t="str">
        <f>Sales_data!H70</f>
        <v>22/12/1976</v>
      </c>
      <c r="C72" s="29">
        <f t="shared" ca="1" si="3"/>
        <v>49</v>
      </c>
      <c r="D72" s="29" t="str">
        <f>Sales_data!D70</f>
        <v>14/12/2025</v>
      </c>
      <c r="E72" s="29" t="str">
        <f>Sales_data!E70</f>
        <v>19/12/2025</v>
      </c>
      <c r="F72" s="29">
        <f t="shared" si="4"/>
        <v>5</v>
      </c>
      <c r="G72" s="29" t="str">
        <f t="shared" si="5"/>
        <v>OnTime</v>
      </c>
    </row>
    <row r="73" spans="1:7" ht="15" customHeight="1">
      <c r="A73" s="29" t="str">
        <f>Sales_data!A71</f>
        <v>ORD10070</v>
      </c>
      <c r="B73" s="29" t="str">
        <f>Sales_data!H71</f>
        <v>05/02/2000</v>
      </c>
      <c r="C73" s="29">
        <f t="shared" ca="1" si="3"/>
        <v>26</v>
      </c>
      <c r="D73" s="29" t="str">
        <f>Sales_data!D71</f>
        <v>07/04/2025</v>
      </c>
      <c r="E73" s="29" t="str">
        <f>Sales_data!E71</f>
        <v>10/04/2025</v>
      </c>
      <c r="F73" s="29">
        <f t="shared" si="4"/>
        <v>3</v>
      </c>
      <c r="G73" s="29" t="str">
        <f t="shared" si="5"/>
        <v>OnTime</v>
      </c>
    </row>
    <row r="74" spans="1:7" ht="15" customHeight="1">
      <c r="A74" s="29" t="str">
        <f>Sales_data!A72</f>
        <v>ORD10071</v>
      </c>
      <c r="B74" s="29" t="str">
        <f>Sales_data!H72</f>
        <v>24/02/1987</v>
      </c>
      <c r="C74" s="29">
        <f t="shared" ca="1" si="3"/>
        <v>39</v>
      </c>
      <c r="D74" s="29" t="str">
        <f>Sales_data!D72</f>
        <v>24/12/2025</v>
      </c>
      <c r="E74" s="29" t="str">
        <f>Sales_data!E72</f>
        <v>03/01/2026</v>
      </c>
      <c r="F74" s="29">
        <f t="shared" si="4"/>
        <v>10</v>
      </c>
      <c r="G74" s="29" t="str">
        <f t="shared" si="5"/>
        <v>Delayed</v>
      </c>
    </row>
    <row r="75" spans="1:7" ht="15" customHeight="1">
      <c r="A75" s="29" t="str">
        <f>Sales_data!A73</f>
        <v>ORD10072</v>
      </c>
      <c r="B75" s="29" t="str">
        <f>Sales_data!H73</f>
        <v>24/07/1984</v>
      </c>
      <c r="C75" s="29">
        <f t="shared" ca="1" si="3"/>
        <v>42</v>
      </c>
      <c r="D75" s="29" t="str">
        <f>Sales_data!D73</f>
        <v>30/08/2025</v>
      </c>
      <c r="E75" s="29" t="str">
        <f>Sales_data!E73</f>
        <v>05/09/2025</v>
      </c>
      <c r="F75" s="29">
        <f t="shared" si="4"/>
        <v>6</v>
      </c>
      <c r="G75" s="29" t="str">
        <f t="shared" si="5"/>
        <v>Delayed</v>
      </c>
    </row>
    <row r="76" spans="1:7" ht="15" customHeight="1">
      <c r="A76" s="29" t="str">
        <f>Sales_data!A74</f>
        <v>ORD10073</v>
      </c>
      <c r="B76" s="29" t="str">
        <f>Sales_data!H74</f>
        <v>22/09/1981</v>
      </c>
      <c r="C76" s="29">
        <f t="shared" ca="1" si="3"/>
        <v>45</v>
      </c>
      <c r="D76" s="29" t="str">
        <f>Sales_data!D74</f>
        <v>13/12/2025</v>
      </c>
      <c r="E76" s="29" t="str">
        <f>Sales_data!E74</f>
        <v>23/12/2025</v>
      </c>
      <c r="F76" s="29">
        <f t="shared" si="4"/>
        <v>10</v>
      </c>
      <c r="G76" s="29" t="str">
        <f t="shared" si="5"/>
        <v>Delayed</v>
      </c>
    </row>
    <row r="77" spans="1:7" ht="15" customHeight="1">
      <c r="A77" s="29" t="str">
        <f>Sales_data!A75</f>
        <v>ORD10074</v>
      </c>
      <c r="B77" s="29" t="str">
        <f>Sales_data!H75</f>
        <v>20/06/1980</v>
      </c>
      <c r="C77" s="29">
        <f t="shared" ca="1" si="3"/>
        <v>46</v>
      </c>
      <c r="D77" s="29" t="str">
        <f>Sales_data!D75</f>
        <v>04/02/2026</v>
      </c>
      <c r="E77" s="29" t="str">
        <f>Sales_data!E75</f>
        <v>16/02/2026</v>
      </c>
      <c r="F77" s="29">
        <f t="shared" si="4"/>
        <v>12</v>
      </c>
      <c r="G77" s="29" t="str">
        <f t="shared" si="5"/>
        <v>Delayed</v>
      </c>
    </row>
    <row r="78" spans="1:7" ht="15" customHeight="1">
      <c r="A78" s="29" t="str">
        <f>Sales_data!A76</f>
        <v>ORD10075</v>
      </c>
      <c r="B78" s="29" t="str">
        <f>Sales_data!H76</f>
        <v>02/11/1982</v>
      </c>
      <c r="C78" s="29">
        <f t="shared" ca="1" si="3"/>
        <v>43</v>
      </c>
      <c r="D78" s="29" t="str">
        <f>Sales_data!D76</f>
        <v>26/01/2026</v>
      </c>
      <c r="E78" s="29" t="str">
        <f>Sales_data!E76</f>
        <v>28/01/2026</v>
      </c>
      <c r="F78" s="29">
        <f t="shared" si="4"/>
        <v>2</v>
      </c>
      <c r="G78" s="29" t="str">
        <f t="shared" si="5"/>
        <v>OnTime</v>
      </c>
    </row>
    <row r="79" spans="1:7" ht="15" customHeight="1">
      <c r="A79" s="29" t="str">
        <f>Sales_data!A77</f>
        <v>ORD10076</v>
      </c>
      <c r="B79" s="29" t="str">
        <f>Sales_data!H77</f>
        <v>10/01/1980</v>
      </c>
      <c r="C79" s="29">
        <f t="shared" ca="1" si="3"/>
        <v>46</v>
      </c>
      <c r="D79" s="29" t="str">
        <f>Sales_data!D77</f>
        <v>27/06/2025</v>
      </c>
      <c r="E79" s="29" t="str">
        <f>Sales_data!E77</f>
        <v>07/07/2025</v>
      </c>
      <c r="F79" s="29">
        <f t="shared" si="4"/>
        <v>10</v>
      </c>
      <c r="G79" s="29" t="str">
        <f t="shared" si="5"/>
        <v>Delayed</v>
      </c>
    </row>
    <row r="80" spans="1:7" ht="15" customHeight="1">
      <c r="A80" s="29" t="str">
        <f>Sales_data!A78</f>
        <v>ORD10077</v>
      </c>
      <c r="B80" s="29" t="str">
        <f>Sales_data!H78</f>
        <v>27/04/1981</v>
      </c>
      <c r="C80" s="29">
        <f t="shared" ca="1" si="3"/>
        <v>45</v>
      </c>
      <c r="D80" s="29" t="str">
        <f>Sales_data!D78</f>
        <v>17/03/2026</v>
      </c>
      <c r="E80" s="29" t="str">
        <f>Sales_data!E78</f>
        <v>19/03/2026</v>
      </c>
      <c r="F80" s="29">
        <f t="shared" si="4"/>
        <v>2</v>
      </c>
      <c r="G80" s="29" t="str">
        <f t="shared" si="5"/>
        <v>OnTime</v>
      </c>
    </row>
    <row r="81" spans="1:7" ht="15" customHeight="1">
      <c r="A81" s="29" t="str">
        <f>Sales_data!A79</f>
        <v>ORD10078</v>
      </c>
      <c r="B81" s="29" t="str">
        <f>Sales_data!H79</f>
        <v>12/03/1985</v>
      </c>
      <c r="C81" s="29">
        <f t="shared" ca="1" si="3"/>
        <v>41</v>
      </c>
      <c r="D81" s="29" t="str">
        <f>Sales_data!D79</f>
        <v>09/06/2025</v>
      </c>
      <c r="E81" s="29" t="str">
        <f>Sales_data!E79</f>
        <v>18/06/2025</v>
      </c>
      <c r="F81" s="29">
        <f t="shared" si="4"/>
        <v>9</v>
      </c>
      <c r="G81" s="29" t="str">
        <f t="shared" si="5"/>
        <v>Delayed</v>
      </c>
    </row>
    <row r="82" spans="1:7" ht="15" customHeight="1">
      <c r="A82" s="29" t="str">
        <f>Sales_data!A80</f>
        <v>ORD10079</v>
      </c>
      <c r="B82" s="29" t="str">
        <f>Sales_data!H80</f>
        <v>15/03/1999</v>
      </c>
      <c r="C82" s="29">
        <f t="shared" ca="1" si="3"/>
        <v>27</v>
      </c>
      <c r="D82" s="29" t="str">
        <f>Sales_data!D80</f>
        <v>15/11/2025</v>
      </c>
      <c r="E82" s="29" t="str">
        <f>Sales_data!E80</f>
        <v>16/11/2025</v>
      </c>
      <c r="F82" s="29">
        <f t="shared" si="4"/>
        <v>1</v>
      </c>
      <c r="G82" s="29" t="str">
        <f t="shared" si="5"/>
        <v>OnTime</v>
      </c>
    </row>
    <row r="83" spans="1:7" ht="15" customHeight="1">
      <c r="A83" s="29" t="str">
        <f>Sales_data!A81</f>
        <v>ORD10080</v>
      </c>
      <c r="B83" s="29" t="str">
        <f>Sales_data!H81</f>
        <v>07/07/1983</v>
      </c>
      <c r="C83" s="29">
        <f t="shared" ca="1" si="3"/>
        <v>43</v>
      </c>
      <c r="D83" s="29" t="str">
        <f>Sales_data!D81</f>
        <v>06/11/2025</v>
      </c>
      <c r="E83" s="29" t="str">
        <f>Sales_data!E81</f>
        <v>10/11/2025</v>
      </c>
      <c r="F83" s="29">
        <f t="shared" si="4"/>
        <v>4</v>
      </c>
      <c r="G83" s="29" t="str">
        <f t="shared" si="5"/>
        <v>OnTime</v>
      </c>
    </row>
    <row r="84" spans="1:7" ht="15" customHeight="1">
      <c r="A84" s="29" t="str">
        <f>Sales_data!A82</f>
        <v>ORD10081</v>
      </c>
      <c r="B84" s="29" t="str">
        <f>Sales_data!H82</f>
        <v>06/03/1989</v>
      </c>
      <c r="C84" s="29">
        <f t="shared" ca="1" si="3"/>
        <v>37</v>
      </c>
      <c r="D84" s="29" t="str">
        <f>Sales_data!D82</f>
        <v>01/01/2025</v>
      </c>
      <c r="E84" s="29" t="str">
        <f>Sales_data!E82</f>
        <v>07/01/2025</v>
      </c>
      <c r="F84" s="29">
        <f t="shared" si="4"/>
        <v>6</v>
      </c>
      <c r="G84" s="29" t="str">
        <f t="shared" si="5"/>
        <v>Delayed</v>
      </c>
    </row>
    <row r="85" spans="1:7" ht="15" customHeight="1">
      <c r="A85" s="29" t="str">
        <f>Sales_data!A83</f>
        <v>ORD10082</v>
      </c>
      <c r="B85" s="29" t="str">
        <f>Sales_data!H83</f>
        <v>20/06/1982</v>
      </c>
      <c r="C85" s="29">
        <f t="shared" ca="1" si="3"/>
        <v>44</v>
      </c>
      <c r="D85" s="29" t="str">
        <f>Sales_data!D83</f>
        <v>25/04/2026</v>
      </c>
      <c r="E85" s="29" t="str">
        <f>Sales_data!E83</f>
        <v>03/05/2026</v>
      </c>
      <c r="F85" s="29">
        <f t="shared" si="4"/>
        <v>8</v>
      </c>
      <c r="G85" s="29" t="str">
        <f t="shared" si="5"/>
        <v>Delayed</v>
      </c>
    </row>
    <row r="86" spans="1:7" ht="15" customHeight="1">
      <c r="A86" s="29" t="str">
        <f>Sales_data!A84</f>
        <v>ORD10083</v>
      </c>
      <c r="B86" s="29" t="str">
        <f>Sales_data!H84</f>
        <v>23/06/2001</v>
      </c>
      <c r="C86" s="29">
        <f t="shared" ca="1" si="3"/>
        <v>25</v>
      </c>
      <c r="D86" s="29" t="str">
        <f>Sales_data!D84</f>
        <v>19/09/2025</v>
      </c>
      <c r="E86" s="29" t="str">
        <f>Sales_data!E84</f>
        <v>27/09/2025</v>
      </c>
      <c r="F86" s="29">
        <f t="shared" si="4"/>
        <v>8</v>
      </c>
      <c r="G86" s="29" t="str">
        <f t="shared" si="5"/>
        <v>Delayed</v>
      </c>
    </row>
    <row r="87" spans="1:7" ht="15" customHeight="1">
      <c r="A87" s="29" t="str">
        <f>Sales_data!A85</f>
        <v>ORD10084</v>
      </c>
      <c r="B87" s="29" t="str">
        <f>Sales_data!H85</f>
        <v>19/07/1983</v>
      </c>
      <c r="C87" s="29">
        <f t="shared" ca="1" si="3"/>
        <v>43</v>
      </c>
      <c r="D87" s="29" t="str">
        <f>Sales_data!D85</f>
        <v>18/03/2025</v>
      </c>
      <c r="E87" s="29" t="str">
        <f>Sales_data!E85</f>
        <v>21/03/2025</v>
      </c>
      <c r="F87" s="29">
        <f t="shared" si="4"/>
        <v>3</v>
      </c>
      <c r="G87" s="29" t="str">
        <f t="shared" si="5"/>
        <v>OnTime</v>
      </c>
    </row>
    <row r="88" spans="1:7" ht="15" customHeight="1">
      <c r="A88" s="29" t="str">
        <f>Sales_data!A86</f>
        <v>ORD10085</v>
      </c>
      <c r="B88" s="29" t="str">
        <f>Sales_data!H86</f>
        <v>24/03/1993</v>
      </c>
      <c r="C88" s="29">
        <f t="shared" ca="1" si="3"/>
        <v>33</v>
      </c>
      <c r="D88" s="29" t="str">
        <f>Sales_data!D86</f>
        <v>30/10/2025</v>
      </c>
      <c r="E88" s="29" t="str">
        <f>Sales_data!E86</f>
        <v>31/10/2025</v>
      </c>
      <c r="F88" s="29">
        <f t="shared" si="4"/>
        <v>1</v>
      </c>
      <c r="G88" s="29" t="str">
        <f t="shared" si="5"/>
        <v>OnTime</v>
      </c>
    </row>
    <row r="89" spans="1:7" ht="15" customHeight="1">
      <c r="A89" s="29" t="str">
        <f>Sales_data!A87</f>
        <v>ORD10086</v>
      </c>
      <c r="B89" s="29" t="str">
        <f>Sales_data!H87</f>
        <v>10/05/1995</v>
      </c>
      <c r="C89" s="29">
        <f t="shared" ca="1" si="3"/>
        <v>31</v>
      </c>
      <c r="D89" s="29" t="str">
        <f>Sales_data!D87</f>
        <v>31/10/2025</v>
      </c>
      <c r="E89" s="29" t="str">
        <f>Sales_data!E87</f>
        <v>11/11/2025</v>
      </c>
      <c r="F89" s="29">
        <f t="shared" si="4"/>
        <v>11</v>
      </c>
      <c r="G89" s="29" t="str">
        <f t="shared" si="5"/>
        <v>Delayed</v>
      </c>
    </row>
    <row r="90" spans="1:7" ht="15" customHeight="1">
      <c r="A90" s="29" t="str">
        <f>Sales_data!A88</f>
        <v>ORD10087</v>
      </c>
      <c r="B90" s="29" t="str">
        <f>Sales_data!H88</f>
        <v>15/02/2001</v>
      </c>
      <c r="C90" s="29">
        <f t="shared" ca="1" si="3"/>
        <v>25</v>
      </c>
      <c r="D90" s="29" t="str">
        <f>Sales_data!D88</f>
        <v>10/04/2025</v>
      </c>
      <c r="E90" s="29" t="str">
        <f>Sales_data!E88</f>
        <v>18/04/2025</v>
      </c>
      <c r="F90" s="29">
        <f t="shared" si="4"/>
        <v>8</v>
      </c>
      <c r="G90" s="29" t="str">
        <f t="shared" si="5"/>
        <v>Delayed</v>
      </c>
    </row>
    <row r="91" spans="1:7" ht="15" customHeight="1">
      <c r="A91" s="29" t="str">
        <f>Sales_data!A89</f>
        <v>ORD10088</v>
      </c>
      <c r="B91" s="29" t="str">
        <f>Sales_data!H89</f>
        <v>14/08/1999</v>
      </c>
      <c r="C91" s="29">
        <f t="shared" ca="1" si="3"/>
        <v>27</v>
      </c>
      <c r="D91" s="29" t="str">
        <f>Sales_data!D89</f>
        <v>16/03/2026</v>
      </c>
      <c r="E91" s="29" t="str">
        <f>Sales_data!E89</f>
        <v>26/03/2026</v>
      </c>
      <c r="F91" s="29">
        <f t="shared" si="4"/>
        <v>10</v>
      </c>
      <c r="G91" s="29" t="str">
        <f t="shared" si="5"/>
        <v>Delayed</v>
      </c>
    </row>
    <row r="92" spans="1:7" ht="15" customHeight="1">
      <c r="A92" s="29" t="str">
        <f>Sales_data!A90</f>
        <v>ORD10089</v>
      </c>
      <c r="B92" s="29" t="str">
        <f>Sales_data!H90</f>
        <v>20/03/2002</v>
      </c>
      <c r="C92" s="29">
        <f t="shared" ca="1" si="3"/>
        <v>24</v>
      </c>
      <c r="D92" s="29" t="str">
        <f>Sales_data!D90</f>
        <v>15/09/2025</v>
      </c>
      <c r="E92" s="29" t="str">
        <f>Sales_data!E90</f>
        <v>24/09/2025</v>
      </c>
      <c r="F92" s="29">
        <f t="shared" si="4"/>
        <v>9</v>
      </c>
      <c r="G92" s="29" t="str">
        <f t="shared" si="5"/>
        <v>Delayed</v>
      </c>
    </row>
    <row r="93" spans="1:7" ht="15" customHeight="1">
      <c r="A93" s="29" t="str">
        <f>Sales_data!A91</f>
        <v>ORD10090</v>
      </c>
      <c r="B93" s="29" t="str">
        <f>Sales_data!H91</f>
        <v>13/06/1992</v>
      </c>
      <c r="C93" s="29">
        <f t="shared" ca="1" si="3"/>
        <v>34</v>
      </c>
      <c r="D93" s="29" t="str">
        <f>Sales_data!D91</f>
        <v>11/03/2026</v>
      </c>
      <c r="E93" s="29" t="str">
        <f>Sales_data!E91</f>
        <v>19/03/2026</v>
      </c>
      <c r="F93" s="29">
        <f t="shared" si="4"/>
        <v>8</v>
      </c>
      <c r="G93" s="29" t="str">
        <f t="shared" si="5"/>
        <v>Delayed</v>
      </c>
    </row>
    <row r="94" spans="1:7" ht="15" customHeight="1">
      <c r="A94" s="29" t="str">
        <f>Sales_data!A92</f>
        <v>ORD10091</v>
      </c>
      <c r="B94" s="29" t="str">
        <f>Sales_data!H92</f>
        <v>18/06/1996</v>
      </c>
      <c r="C94" s="29">
        <f t="shared" ca="1" si="3"/>
        <v>30</v>
      </c>
      <c r="D94" s="29" t="str">
        <f>Sales_data!D92</f>
        <v>20/08/2025</v>
      </c>
      <c r="E94" s="29" t="str">
        <f>Sales_data!E92</f>
        <v>23/08/2025</v>
      </c>
      <c r="F94" s="29">
        <f t="shared" si="4"/>
        <v>3</v>
      </c>
      <c r="G94" s="29" t="str">
        <f t="shared" si="5"/>
        <v>OnTime</v>
      </c>
    </row>
    <row r="95" spans="1:7" ht="15" customHeight="1">
      <c r="A95" s="29" t="str">
        <f>Sales_data!A93</f>
        <v>ORD10092</v>
      </c>
      <c r="B95" s="29" t="str">
        <f>Sales_data!H93</f>
        <v>08/11/1982</v>
      </c>
      <c r="C95" s="29">
        <f t="shared" ca="1" si="3"/>
        <v>43</v>
      </c>
      <c r="D95" s="29" t="str">
        <f>Sales_data!D93</f>
        <v>13/08/2025</v>
      </c>
      <c r="E95" s="29" t="str">
        <f>Sales_data!E93</f>
        <v>14/08/2025</v>
      </c>
      <c r="F95" s="29">
        <f t="shared" si="4"/>
        <v>1</v>
      </c>
      <c r="G95" s="29" t="str">
        <f t="shared" si="5"/>
        <v>OnTime</v>
      </c>
    </row>
    <row r="96" spans="1:7" ht="15" customHeight="1">
      <c r="A96" s="29" t="str">
        <f>Sales_data!A94</f>
        <v>ORD10093</v>
      </c>
      <c r="B96" s="29" t="str">
        <f>Sales_data!H94</f>
        <v>25/06/1984</v>
      </c>
      <c r="C96" s="29">
        <f t="shared" ca="1" si="3"/>
        <v>42</v>
      </c>
      <c r="D96" s="29" t="str">
        <f>Sales_data!D94</f>
        <v>16/03/2025</v>
      </c>
      <c r="E96" s="29" t="str">
        <f>Sales_data!E94</f>
        <v>20/03/2025</v>
      </c>
      <c r="F96" s="29">
        <f t="shared" si="4"/>
        <v>4</v>
      </c>
      <c r="G96" s="29" t="str">
        <f t="shared" si="5"/>
        <v>OnTime</v>
      </c>
    </row>
    <row r="97" spans="1:7" ht="15" customHeight="1">
      <c r="A97" s="29" t="str">
        <f>Sales_data!A95</f>
        <v>ORD10094</v>
      </c>
      <c r="B97" s="29" t="str">
        <f>Sales_data!H95</f>
        <v>21/06/1994</v>
      </c>
      <c r="C97" s="29">
        <f t="shared" ca="1" si="3"/>
        <v>32</v>
      </c>
      <c r="D97" s="29" t="str">
        <f>Sales_data!D95</f>
        <v>04/09/2025</v>
      </c>
      <c r="E97" s="29" t="str">
        <f>Sales_data!E95</f>
        <v>10/09/2025</v>
      </c>
      <c r="F97" s="29">
        <f t="shared" si="4"/>
        <v>6</v>
      </c>
      <c r="G97" s="29" t="str">
        <f t="shared" si="5"/>
        <v>Delayed</v>
      </c>
    </row>
    <row r="98" spans="1:7" ht="15" customHeight="1">
      <c r="A98" s="29" t="str">
        <f>Sales_data!A96</f>
        <v>ORD10095</v>
      </c>
      <c r="B98" s="29" t="str">
        <f>Sales_data!H96</f>
        <v>17/10/1990</v>
      </c>
      <c r="C98" s="29">
        <f t="shared" ca="1" si="3"/>
        <v>35</v>
      </c>
      <c r="D98" s="29" t="str">
        <f>Sales_data!D96</f>
        <v>12/04/2025</v>
      </c>
      <c r="E98" s="29" t="str">
        <f>Sales_data!E96</f>
        <v>15/04/2025</v>
      </c>
      <c r="F98" s="29">
        <f t="shared" si="4"/>
        <v>3</v>
      </c>
      <c r="G98" s="29" t="str">
        <f t="shared" si="5"/>
        <v>OnTime</v>
      </c>
    </row>
    <row r="99" spans="1:7" ht="15" customHeight="1">
      <c r="A99" s="29" t="str">
        <f>Sales_data!A97</f>
        <v>ORD10096</v>
      </c>
      <c r="B99" s="29" t="str">
        <f>Sales_data!H97</f>
        <v>28/01/1987</v>
      </c>
      <c r="C99" s="29">
        <f t="shared" ca="1" si="3"/>
        <v>39</v>
      </c>
      <c r="D99" s="29" t="str">
        <f>Sales_data!D97</f>
        <v>04/05/2026</v>
      </c>
      <c r="E99" s="29" t="str">
        <f>Sales_data!E97</f>
        <v>07/05/2026</v>
      </c>
      <c r="F99" s="29">
        <f t="shared" si="4"/>
        <v>3</v>
      </c>
      <c r="G99" s="29" t="str">
        <f t="shared" si="5"/>
        <v>OnTime</v>
      </c>
    </row>
    <row r="100" spans="1:7" ht="15" customHeight="1">
      <c r="A100" s="29" t="str">
        <f>Sales_data!A98</f>
        <v>ORD10097</v>
      </c>
      <c r="B100" s="29" t="str">
        <f>Sales_data!H98</f>
        <v>21/09/1983</v>
      </c>
      <c r="C100" s="29">
        <f t="shared" ca="1" si="3"/>
        <v>43</v>
      </c>
      <c r="D100" s="29" t="str">
        <f>Sales_data!D98</f>
        <v>18/01/2026</v>
      </c>
      <c r="E100" s="29" t="str">
        <f>Sales_data!E98</f>
        <v>27/01/2026</v>
      </c>
      <c r="F100" s="29">
        <f t="shared" si="4"/>
        <v>9</v>
      </c>
      <c r="G100" s="29" t="str">
        <f t="shared" si="5"/>
        <v>Delayed</v>
      </c>
    </row>
    <row r="101" spans="1:7" ht="15" customHeight="1">
      <c r="A101" s="29" t="str">
        <f>Sales_data!A99</f>
        <v>ORD10098</v>
      </c>
      <c r="B101" s="29" t="str">
        <f>Sales_data!H99</f>
        <v>04/04/1989</v>
      </c>
      <c r="C101" s="29">
        <f t="shared" ca="1" si="3"/>
        <v>37</v>
      </c>
      <c r="D101" s="29" t="str">
        <f>Sales_data!D99</f>
        <v>14/03/2026</v>
      </c>
      <c r="E101" s="29" t="str">
        <f>Sales_data!E99</f>
        <v>24/03/2026</v>
      </c>
      <c r="F101" s="29">
        <f t="shared" si="4"/>
        <v>10</v>
      </c>
      <c r="G101" s="29" t="str">
        <f t="shared" si="5"/>
        <v>Delayed</v>
      </c>
    </row>
    <row r="102" spans="1:7" ht="15" customHeight="1">
      <c r="A102" s="29" t="str">
        <f>Sales_data!A100</f>
        <v>ORD10099</v>
      </c>
      <c r="B102" s="29" t="str">
        <f>Sales_data!H100</f>
        <v>25/09/1987</v>
      </c>
      <c r="C102" s="29">
        <f t="shared" ca="1" si="3"/>
        <v>39</v>
      </c>
      <c r="D102" s="29" t="str">
        <f>Sales_data!D100</f>
        <v>09/05/2025</v>
      </c>
      <c r="E102" s="29" t="str">
        <f>Sales_data!E100</f>
        <v>11/05/2025</v>
      </c>
      <c r="F102" s="29">
        <f t="shared" si="4"/>
        <v>2</v>
      </c>
      <c r="G102" s="29" t="str">
        <f t="shared" si="5"/>
        <v>OnTime</v>
      </c>
    </row>
    <row r="103" spans="1:7" ht="15" customHeight="1">
      <c r="A103" s="29" t="str">
        <f>Sales_data!A101</f>
        <v>ORD10100</v>
      </c>
      <c r="B103" s="29" t="str">
        <f>Sales_data!H101</f>
        <v>07/08/1982</v>
      </c>
      <c r="C103" s="29">
        <f t="shared" ca="1" si="3"/>
        <v>44</v>
      </c>
      <c r="D103" s="29" t="str">
        <f>Sales_data!D101</f>
        <v>07/05/2026</v>
      </c>
      <c r="E103" s="29" t="str">
        <f>Sales_data!E101</f>
        <v>10/05/2026</v>
      </c>
      <c r="F103" s="29">
        <f t="shared" si="4"/>
        <v>3</v>
      </c>
      <c r="G103" s="29" t="str">
        <f t="shared" si="5"/>
        <v>OnTime</v>
      </c>
    </row>
    <row r="104" spans="1:7" ht="15" customHeight="1">
      <c r="A104" s="29" t="str">
        <f>Sales_data!A102</f>
        <v>ORD10101</v>
      </c>
      <c r="B104" s="29" t="str">
        <f>Sales_data!H102</f>
        <v>17/07/1986</v>
      </c>
      <c r="C104" s="29">
        <f t="shared" ca="1" si="3"/>
        <v>40</v>
      </c>
      <c r="D104" s="29" t="str">
        <f>Sales_data!D102</f>
        <v>21/04/2025</v>
      </c>
      <c r="E104" s="29" t="str">
        <f>Sales_data!E102</f>
        <v>29/04/2025</v>
      </c>
      <c r="F104" s="29">
        <f t="shared" si="4"/>
        <v>8</v>
      </c>
      <c r="G104" s="29" t="str">
        <f t="shared" si="5"/>
        <v>Delayed</v>
      </c>
    </row>
    <row r="105" spans="1:7" ht="15" customHeight="1">
      <c r="A105" s="29" t="str">
        <f>Sales_data!A103</f>
        <v>ORD10102</v>
      </c>
      <c r="B105" s="29" t="str">
        <f>Sales_data!H103</f>
        <v>06/04/1987</v>
      </c>
      <c r="C105" s="29">
        <f t="shared" ca="1" si="3"/>
        <v>39</v>
      </c>
      <c r="D105" s="29" t="str">
        <f>Sales_data!D103</f>
        <v>11/12/2025</v>
      </c>
      <c r="E105" s="29" t="str">
        <f>Sales_data!E103</f>
        <v>20/12/2025</v>
      </c>
      <c r="F105" s="29">
        <f t="shared" si="4"/>
        <v>9</v>
      </c>
      <c r="G105" s="29" t="str">
        <f t="shared" si="5"/>
        <v>Delayed</v>
      </c>
    </row>
    <row r="106" spans="1:7" ht="15" customHeight="1">
      <c r="A106" s="29" t="str">
        <f>Sales_data!A104</f>
        <v>ORD10103</v>
      </c>
      <c r="B106" s="29" t="str">
        <f>Sales_data!H104</f>
        <v>25/02/2004</v>
      </c>
      <c r="C106" s="29">
        <f t="shared" ca="1" si="3"/>
        <v>22</v>
      </c>
      <c r="D106" s="29" t="str">
        <f>Sales_data!D104</f>
        <v>07/05/2026</v>
      </c>
      <c r="E106" s="29" t="str">
        <f>Sales_data!E104</f>
        <v>15/05/2026</v>
      </c>
      <c r="F106" s="29">
        <f t="shared" si="4"/>
        <v>8</v>
      </c>
      <c r="G106" s="29" t="str">
        <f t="shared" si="5"/>
        <v>Delayed</v>
      </c>
    </row>
    <row r="107" spans="1:7" ht="15" customHeight="1">
      <c r="A107" s="29" t="str">
        <f>Sales_data!A105</f>
        <v>ORD10104</v>
      </c>
      <c r="B107" s="29" t="str">
        <f>Sales_data!H105</f>
        <v>24/04/2001</v>
      </c>
      <c r="C107" s="29">
        <f t="shared" ca="1" si="3"/>
        <v>25</v>
      </c>
      <c r="D107" s="29" t="str">
        <f>Sales_data!D105</f>
        <v>13/01/2025</v>
      </c>
      <c r="E107" s="29" t="str">
        <f>Sales_data!E105</f>
        <v>20/01/2025</v>
      </c>
      <c r="F107" s="29">
        <f t="shared" si="4"/>
        <v>7</v>
      </c>
      <c r="G107" s="29" t="str">
        <f t="shared" si="5"/>
        <v>Delayed</v>
      </c>
    </row>
    <row r="108" spans="1:7" ht="15" customHeight="1">
      <c r="A108" s="29" t="str">
        <f>Sales_data!A106</f>
        <v>ORD10105</v>
      </c>
      <c r="B108" s="29" t="str">
        <f>Sales_data!H106</f>
        <v>01/07/1996</v>
      </c>
      <c r="C108" s="29">
        <f t="shared" ca="1" si="3"/>
        <v>30</v>
      </c>
      <c r="D108" s="29" t="str">
        <f>Sales_data!D106</f>
        <v>17/03/2025</v>
      </c>
      <c r="E108" s="29" t="str">
        <f>Sales_data!E106</f>
        <v>18/03/2025</v>
      </c>
      <c r="F108" s="29">
        <f t="shared" si="4"/>
        <v>1</v>
      </c>
      <c r="G108" s="29" t="str">
        <f t="shared" si="5"/>
        <v>OnTime</v>
      </c>
    </row>
    <row r="109" spans="1:7" ht="15" customHeight="1">
      <c r="A109" s="29" t="str">
        <f>Sales_data!A107</f>
        <v>ORD10106</v>
      </c>
      <c r="B109" s="29" t="str">
        <f>Sales_data!H107</f>
        <v>06/02/1979</v>
      </c>
      <c r="C109" s="29">
        <f t="shared" ca="1" si="3"/>
        <v>47</v>
      </c>
      <c r="D109" s="29" t="str">
        <f>Sales_data!D107</f>
        <v>25/02/2025</v>
      </c>
      <c r="E109" s="29" t="str">
        <f>Sales_data!E107</f>
        <v>01/03/2025</v>
      </c>
      <c r="F109" s="29">
        <f t="shared" si="4"/>
        <v>4</v>
      </c>
      <c r="G109" s="29" t="str">
        <f t="shared" si="5"/>
        <v>OnTime</v>
      </c>
    </row>
    <row r="110" spans="1:7" ht="15" customHeight="1">
      <c r="A110" s="29" t="str">
        <f>Sales_data!A108</f>
        <v>ORD10107</v>
      </c>
      <c r="B110" s="29" t="str">
        <f>Sales_data!H108</f>
        <v>12/12/1985</v>
      </c>
      <c r="C110" s="29">
        <f t="shared" ca="1" si="3"/>
        <v>40</v>
      </c>
      <c r="D110" s="29" t="str">
        <f>Sales_data!D108</f>
        <v>26/02/2025</v>
      </c>
      <c r="E110" s="29" t="str">
        <f>Sales_data!E108</f>
        <v>27/02/2025</v>
      </c>
      <c r="F110" s="29">
        <f t="shared" si="4"/>
        <v>1</v>
      </c>
      <c r="G110" s="29" t="str">
        <f t="shared" si="5"/>
        <v>OnTime</v>
      </c>
    </row>
    <row r="111" spans="1:7" ht="15" customHeight="1">
      <c r="A111" s="29" t="str">
        <f>Sales_data!A109</f>
        <v>ORD10108</v>
      </c>
      <c r="B111" s="29" t="str">
        <f>Sales_data!H109</f>
        <v>28/01/1992</v>
      </c>
      <c r="C111" s="29">
        <f t="shared" ca="1" si="3"/>
        <v>34</v>
      </c>
      <c r="D111" s="29" t="str">
        <f>Sales_data!D109</f>
        <v>13/03/2026</v>
      </c>
      <c r="E111" s="29" t="str">
        <f>Sales_data!E109</f>
        <v>18/03/2026</v>
      </c>
      <c r="F111" s="29">
        <f t="shared" si="4"/>
        <v>5</v>
      </c>
      <c r="G111" s="29" t="str">
        <f t="shared" si="5"/>
        <v>OnTime</v>
      </c>
    </row>
    <row r="112" spans="1:7" ht="15" customHeight="1">
      <c r="A112" s="29" t="str">
        <f>Sales_data!A110</f>
        <v>ORD10109</v>
      </c>
      <c r="B112" s="29" t="str">
        <f>Sales_data!H110</f>
        <v>05/07/1993</v>
      </c>
      <c r="C112" s="29">
        <f t="shared" ca="1" si="3"/>
        <v>33</v>
      </c>
      <c r="D112" s="29" t="str">
        <f>Sales_data!D110</f>
        <v>10/07/2025</v>
      </c>
      <c r="E112" s="29" t="str">
        <f>Sales_data!E110</f>
        <v>12/07/2025</v>
      </c>
      <c r="F112" s="29">
        <f t="shared" si="4"/>
        <v>2</v>
      </c>
      <c r="G112" s="29" t="str">
        <f t="shared" si="5"/>
        <v>OnTime</v>
      </c>
    </row>
    <row r="113" spans="1:7" ht="15" customHeight="1">
      <c r="A113" s="29" t="str">
        <f>Sales_data!A111</f>
        <v>ORD10110</v>
      </c>
      <c r="B113" s="29" t="str">
        <f>Sales_data!H111</f>
        <v>13/09/1977</v>
      </c>
      <c r="C113" s="29">
        <f t="shared" ca="1" si="3"/>
        <v>49</v>
      </c>
      <c r="D113" s="29" t="str">
        <f>Sales_data!D111</f>
        <v>18/11/2025</v>
      </c>
      <c r="E113" s="29" t="str">
        <f>Sales_data!E111</f>
        <v>26/11/2025</v>
      </c>
      <c r="F113" s="29">
        <f t="shared" si="4"/>
        <v>8</v>
      </c>
      <c r="G113" s="29" t="str">
        <f t="shared" si="5"/>
        <v>Delayed</v>
      </c>
    </row>
    <row r="114" spans="1:7" ht="15" customHeight="1">
      <c r="A114" s="29" t="str">
        <f>Sales_data!A112</f>
        <v>ORD10111</v>
      </c>
      <c r="B114" s="29" t="str">
        <f>Sales_data!H112</f>
        <v>11/10/1985</v>
      </c>
      <c r="C114" s="29">
        <f t="shared" ca="1" si="3"/>
        <v>41</v>
      </c>
      <c r="D114" s="29" t="str">
        <f>Sales_data!D112</f>
        <v>13/04/2025</v>
      </c>
      <c r="E114" s="29" t="str">
        <f>Sales_data!E112</f>
        <v>19/04/2025</v>
      </c>
      <c r="F114" s="29">
        <f t="shared" si="4"/>
        <v>6</v>
      </c>
      <c r="G114" s="29" t="str">
        <f t="shared" si="5"/>
        <v>Delayed</v>
      </c>
    </row>
    <row r="115" spans="1:7" ht="15" customHeight="1">
      <c r="A115" s="29" t="str">
        <f>Sales_data!A113</f>
        <v>ORD10112</v>
      </c>
      <c r="B115" s="29" t="str">
        <f>Sales_data!H113</f>
        <v>02/10/2001</v>
      </c>
      <c r="C115" s="29">
        <f t="shared" ca="1" si="3"/>
        <v>25</v>
      </c>
      <c r="D115" s="29" t="str">
        <f>Sales_data!D113</f>
        <v>09/04/2025</v>
      </c>
      <c r="E115" s="29" t="str">
        <f>Sales_data!E113</f>
        <v>18/04/2025</v>
      </c>
      <c r="F115" s="29">
        <f t="shared" si="4"/>
        <v>9</v>
      </c>
      <c r="G115" s="29" t="str">
        <f t="shared" si="5"/>
        <v>Delayed</v>
      </c>
    </row>
    <row r="116" spans="1:7" ht="15" customHeight="1">
      <c r="A116" s="29" t="str">
        <f>Sales_data!A114</f>
        <v>ORD10113</v>
      </c>
      <c r="B116" s="29" t="str">
        <f>Sales_data!H114</f>
        <v>08/04/1986</v>
      </c>
      <c r="C116" s="29">
        <f t="shared" ca="1" si="3"/>
        <v>40</v>
      </c>
      <c r="D116" s="29" t="str">
        <f>Sales_data!D114</f>
        <v>03/04/2026</v>
      </c>
      <c r="E116" s="29" t="str">
        <f>Sales_data!E114</f>
        <v>10/04/2026</v>
      </c>
      <c r="F116" s="29">
        <f t="shared" si="4"/>
        <v>7</v>
      </c>
      <c r="G116" s="29" t="str">
        <f t="shared" si="5"/>
        <v>Delayed</v>
      </c>
    </row>
    <row r="117" spans="1:7" ht="15" customHeight="1">
      <c r="A117" s="29" t="str">
        <f>Sales_data!A115</f>
        <v>ORD10114</v>
      </c>
      <c r="B117" s="29" t="str">
        <f>Sales_data!H115</f>
        <v>21/07/1990</v>
      </c>
      <c r="C117" s="29">
        <f t="shared" ca="1" si="3"/>
        <v>36</v>
      </c>
      <c r="D117" s="29" t="str">
        <f>Sales_data!D115</f>
        <v>23/10/2025</v>
      </c>
      <c r="E117" s="29" t="str">
        <f>Sales_data!E115</f>
        <v>28/10/2025</v>
      </c>
      <c r="F117" s="29">
        <f t="shared" si="4"/>
        <v>5</v>
      </c>
      <c r="G117" s="29" t="str">
        <f t="shared" si="5"/>
        <v>OnTime</v>
      </c>
    </row>
    <row r="118" spans="1:7" ht="15" customHeight="1">
      <c r="A118" s="29" t="str">
        <f>Sales_data!A116</f>
        <v>ORD10115</v>
      </c>
      <c r="B118" s="29" t="str">
        <f>Sales_data!H116</f>
        <v>11/04/1994</v>
      </c>
      <c r="C118" s="29">
        <f t="shared" ca="1" si="3"/>
        <v>32</v>
      </c>
      <c r="D118" s="29" t="str">
        <f>Sales_data!D116</f>
        <v>03/04/2025</v>
      </c>
      <c r="E118" s="29" t="str">
        <f>Sales_data!E116</f>
        <v>14/04/2025</v>
      </c>
      <c r="F118" s="29">
        <f t="shared" si="4"/>
        <v>11</v>
      </c>
      <c r="G118" s="29" t="str">
        <f t="shared" si="5"/>
        <v>Delayed</v>
      </c>
    </row>
    <row r="119" spans="1:7" ht="15" customHeight="1">
      <c r="A119" s="29" t="str">
        <f>Sales_data!A117</f>
        <v>ORD10116</v>
      </c>
      <c r="B119" s="29" t="str">
        <f>Sales_data!H117</f>
        <v>04/05/1992</v>
      </c>
      <c r="C119" s="29">
        <f t="shared" ca="1" si="3"/>
        <v>34</v>
      </c>
      <c r="D119" s="29" t="str">
        <f>Sales_data!D117</f>
        <v>25/04/2025</v>
      </c>
      <c r="E119" s="29" t="str">
        <f>Sales_data!E117</f>
        <v>29/04/2025</v>
      </c>
      <c r="F119" s="29">
        <f t="shared" si="4"/>
        <v>4</v>
      </c>
      <c r="G119" s="29" t="str">
        <f t="shared" si="5"/>
        <v>OnTime</v>
      </c>
    </row>
    <row r="120" spans="1:7" ht="15" customHeight="1">
      <c r="A120" s="29" t="str">
        <f>Sales_data!A118</f>
        <v>ORD10117</v>
      </c>
      <c r="B120" s="29" t="str">
        <f>Sales_data!H118</f>
        <v>13/05/1980</v>
      </c>
      <c r="C120" s="29">
        <f t="shared" ca="1" si="3"/>
        <v>46</v>
      </c>
      <c r="D120" s="29" t="str">
        <f>Sales_data!D118</f>
        <v>24/08/2025</v>
      </c>
      <c r="E120" s="29" t="str">
        <f>Sales_data!E118</f>
        <v>31/08/2025</v>
      </c>
      <c r="F120" s="29">
        <f t="shared" si="4"/>
        <v>7</v>
      </c>
      <c r="G120" s="29" t="str">
        <f t="shared" si="5"/>
        <v>Delayed</v>
      </c>
    </row>
    <row r="121" spans="1:7" ht="15" customHeight="1">
      <c r="A121" s="29" t="str">
        <f>Sales_data!A119</f>
        <v>ORD10118</v>
      </c>
      <c r="B121" s="29" t="str">
        <f>Sales_data!H119</f>
        <v>07/09/1995</v>
      </c>
      <c r="C121" s="29">
        <f t="shared" ca="1" si="3"/>
        <v>31</v>
      </c>
      <c r="D121" s="29" t="str">
        <f>Sales_data!D119</f>
        <v>31/05/2025</v>
      </c>
      <c r="E121" s="29" t="str">
        <f>Sales_data!E119</f>
        <v>11/06/2025</v>
      </c>
      <c r="F121" s="29">
        <f t="shared" si="4"/>
        <v>11</v>
      </c>
      <c r="G121" s="29" t="str">
        <f t="shared" si="5"/>
        <v>Delayed</v>
      </c>
    </row>
    <row r="122" spans="1:7" ht="15" customHeight="1">
      <c r="A122" s="29" t="str">
        <f>Sales_data!A120</f>
        <v>ORD10119</v>
      </c>
      <c r="B122" s="29" t="str">
        <f>Sales_data!H120</f>
        <v>08/03/1988</v>
      </c>
      <c r="C122" s="29">
        <f t="shared" ca="1" si="3"/>
        <v>38</v>
      </c>
      <c r="D122" s="29" t="str">
        <f>Sales_data!D120</f>
        <v>30/05/2025</v>
      </c>
      <c r="E122" s="29" t="str">
        <f>Sales_data!E120</f>
        <v>02/06/2025</v>
      </c>
      <c r="F122" s="29">
        <f t="shared" si="4"/>
        <v>3</v>
      </c>
      <c r="G122" s="29" t="str">
        <f t="shared" si="5"/>
        <v>OnTime</v>
      </c>
    </row>
    <row r="123" spans="1:7" ht="15" customHeight="1">
      <c r="A123" s="29" t="str">
        <f>Sales_data!A121</f>
        <v>ORD10120</v>
      </c>
      <c r="B123" s="29" t="str">
        <f>Sales_data!H121</f>
        <v>07/07/1989</v>
      </c>
      <c r="C123" s="29">
        <f t="shared" ca="1" si="3"/>
        <v>37</v>
      </c>
      <c r="D123" s="29" t="str">
        <f>Sales_data!D121</f>
        <v>19/08/2025</v>
      </c>
      <c r="E123" s="29" t="str">
        <f>Sales_data!E121</f>
        <v>30/08/2025</v>
      </c>
      <c r="F123" s="29">
        <f t="shared" si="4"/>
        <v>11</v>
      </c>
      <c r="G123" s="29" t="str">
        <f t="shared" si="5"/>
        <v>Delayed</v>
      </c>
    </row>
    <row r="124" spans="1:7" ht="15" customHeight="1">
      <c r="A124" s="29" t="str">
        <f>Sales_data!A122</f>
        <v>ORD10121</v>
      </c>
      <c r="B124" s="29" t="str">
        <f>Sales_data!H122</f>
        <v>11/11/1993</v>
      </c>
      <c r="C124" s="29">
        <f t="shared" ca="1" si="3"/>
        <v>32</v>
      </c>
      <c r="D124" s="29" t="str">
        <f>Sales_data!D122</f>
        <v>14/12/2025</v>
      </c>
      <c r="E124" s="29" t="str">
        <f>Sales_data!E122</f>
        <v>16/12/2025</v>
      </c>
      <c r="F124" s="29">
        <f t="shared" si="4"/>
        <v>2</v>
      </c>
      <c r="G124" s="29" t="str">
        <f t="shared" si="5"/>
        <v>OnTime</v>
      </c>
    </row>
    <row r="125" spans="1:7" ht="15" customHeight="1">
      <c r="A125" s="29" t="str">
        <f>Sales_data!A123</f>
        <v>ORD10122</v>
      </c>
      <c r="B125" s="29" t="str">
        <f>Sales_data!H123</f>
        <v>01/02/2000</v>
      </c>
      <c r="C125" s="29">
        <f t="shared" ca="1" si="3"/>
        <v>26</v>
      </c>
      <c r="D125" s="29" t="str">
        <f>Sales_data!D123</f>
        <v>31/01/2026</v>
      </c>
      <c r="E125" s="29" t="str">
        <f>Sales_data!E123</f>
        <v>10/02/2026</v>
      </c>
      <c r="F125" s="29">
        <f t="shared" si="4"/>
        <v>10</v>
      </c>
      <c r="G125" s="29" t="str">
        <f t="shared" si="5"/>
        <v>Delayed</v>
      </c>
    </row>
    <row r="126" spans="1:7" ht="15" customHeight="1">
      <c r="A126" s="29" t="str">
        <f>Sales_data!A124</f>
        <v>ORD10123</v>
      </c>
      <c r="B126" s="29" t="str">
        <f>Sales_data!H124</f>
        <v>22/06/1986</v>
      </c>
      <c r="C126" s="29">
        <f t="shared" ca="1" si="3"/>
        <v>40</v>
      </c>
      <c r="D126" s="29" t="str">
        <f>Sales_data!D124</f>
        <v>03/01/2026</v>
      </c>
      <c r="E126" s="29" t="str">
        <f>Sales_data!E124</f>
        <v>04/01/2026</v>
      </c>
      <c r="F126" s="29">
        <f t="shared" si="4"/>
        <v>1</v>
      </c>
      <c r="G126" s="29" t="str">
        <f t="shared" si="5"/>
        <v>OnTime</v>
      </c>
    </row>
    <row r="127" spans="1:7" ht="15" customHeight="1">
      <c r="A127" s="29" t="str">
        <f>Sales_data!A125</f>
        <v>ORD10124</v>
      </c>
      <c r="B127" s="29" t="str">
        <f>Sales_data!H125</f>
        <v>16/02/1986</v>
      </c>
      <c r="C127" s="29">
        <f t="shared" ca="1" si="3"/>
        <v>40</v>
      </c>
      <c r="D127" s="29" t="str">
        <f>Sales_data!D125</f>
        <v>20/10/2025</v>
      </c>
      <c r="E127" s="29" t="str">
        <f>Sales_data!E125</f>
        <v>26/10/2025</v>
      </c>
      <c r="F127" s="29">
        <f t="shared" si="4"/>
        <v>6</v>
      </c>
      <c r="G127" s="29" t="str">
        <f t="shared" si="5"/>
        <v>Delayed</v>
      </c>
    </row>
    <row r="128" spans="1:7" ht="15" customHeight="1">
      <c r="A128" s="29" t="str">
        <f>Sales_data!A126</f>
        <v>ORD10125</v>
      </c>
      <c r="B128" s="29" t="str">
        <f>Sales_data!H126</f>
        <v>18/09/1991</v>
      </c>
      <c r="C128" s="29">
        <f t="shared" ca="1" si="3"/>
        <v>35</v>
      </c>
      <c r="D128" s="29" t="str">
        <f>Sales_data!D126</f>
        <v>11/05/2025</v>
      </c>
      <c r="E128" s="29" t="str">
        <f>Sales_data!E126</f>
        <v>21/05/2025</v>
      </c>
      <c r="F128" s="29">
        <f t="shared" si="4"/>
        <v>10</v>
      </c>
      <c r="G128" s="29" t="str">
        <f t="shared" si="5"/>
        <v>Delayed</v>
      </c>
    </row>
    <row r="129" spans="1:7" ht="15" customHeight="1">
      <c r="A129" s="29" t="str">
        <f>Sales_data!A127</f>
        <v>ORD10126</v>
      </c>
      <c r="B129" s="29" t="str">
        <f>Sales_data!H127</f>
        <v>04/01/1981</v>
      </c>
      <c r="C129" s="29">
        <f t="shared" ca="1" si="3"/>
        <v>45</v>
      </c>
      <c r="D129" s="29" t="str">
        <f>Sales_data!D127</f>
        <v>02/01/2026</v>
      </c>
      <c r="E129" s="29" t="str">
        <f>Sales_data!E127</f>
        <v>06/01/2026</v>
      </c>
      <c r="F129" s="29">
        <f t="shared" si="4"/>
        <v>4</v>
      </c>
      <c r="G129" s="29" t="str">
        <f t="shared" si="5"/>
        <v>OnTime</v>
      </c>
    </row>
    <row r="130" spans="1:7" ht="15" customHeight="1">
      <c r="A130" s="29" t="str">
        <f>Sales_data!A128</f>
        <v>ORD10127</v>
      </c>
      <c r="B130" s="29" t="str">
        <f>Sales_data!H128</f>
        <v>12/10/2004</v>
      </c>
      <c r="C130" s="29">
        <f t="shared" ca="1" si="3"/>
        <v>22</v>
      </c>
      <c r="D130" s="29" t="str">
        <f>Sales_data!D128</f>
        <v>20/04/2026</v>
      </c>
      <c r="E130" s="29" t="str">
        <f>Sales_data!E128</f>
        <v>26/04/2026</v>
      </c>
      <c r="F130" s="29">
        <f t="shared" si="4"/>
        <v>6</v>
      </c>
      <c r="G130" s="29" t="str">
        <f t="shared" si="5"/>
        <v>Delayed</v>
      </c>
    </row>
    <row r="131" spans="1:7" ht="15" customHeight="1">
      <c r="A131" s="29" t="str">
        <f>Sales_data!A129</f>
        <v>ORD10128</v>
      </c>
      <c r="B131" s="29" t="str">
        <f>Sales_data!H129</f>
        <v>25/03/1984</v>
      </c>
      <c r="C131" s="29">
        <f t="shared" ca="1" si="3"/>
        <v>42</v>
      </c>
      <c r="D131" s="29" t="str">
        <f>Sales_data!D129</f>
        <v>04/08/2025</v>
      </c>
      <c r="E131" s="29" t="str">
        <f>Sales_data!E129</f>
        <v>05/08/2025</v>
      </c>
      <c r="F131" s="29">
        <f t="shared" si="4"/>
        <v>1</v>
      </c>
      <c r="G131" s="29" t="str">
        <f t="shared" si="5"/>
        <v>OnTime</v>
      </c>
    </row>
    <row r="132" spans="1:7" ht="15" customHeight="1">
      <c r="A132" s="29" t="str">
        <f>Sales_data!A130</f>
        <v>ORD10129</v>
      </c>
      <c r="B132" s="29" t="str">
        <f>Sales_data!H130</f>
        <v>09/09/1982</v>
      </c>
      <c r="C132" s="29">
        <f t="shared" ref="C132:C195" ca="1" si="6">IFERROR(DATEDIF(DATE(VALUE(RIGHT(B132,4)),VALUE(MID(B132,4,2)),VALUE(LEFT(B132,2))),TODAY(),"Y"),"")</f>
        <v>44</v>
      </c>
      <c r="D132" s="29" t="str">
        <f>Sales_data!D130</f>
        <v>13/08/2025</v>
      </c>
      <c r="E132" s="29" t="str">
        <f>Sales_data!E130</f>
        <v>18/08/2025</v>
      </c>
      <c r="F132" s="29">
        <f t="shared" ref="F132:F195" si="7">IF(E132="","",IFERROR(DATE(VALUE(RIGHT(E132,4)),VALUE(MID(E132,4,2)),VALUE(LEFT(E132,2)))-DATE(VALUE(RIGHT(D132,4)),VALUE(MID(D132,4,2)),VALUE(LEFT(D132,2))),""))</f>
        <v>5</v>
      </c>
      <c r="G132" s="29" t="str">
        <f t="shared" ref="G132:G195" si="8">IF(E132="","Pending",IF(F132="","Pending",IF(F132&lt;=5,"OnTime","Delayed")))</f>
        <v>OnTime</v>
      </c>
    </row>
    <row r="133" spans="1:7" ht="15" customHeight="1">
      <c r="A133" s="29" t="str">
        <f>Sales_data!A131</f>
        <v>ORD10130</v>
      </c>
      <c r="B133" s="29" t="str">
        <f>Sales_data!H131</f>
        <v>15/02/1993</v>
      </c>
      <c r="C133" s="29">
        <f t="shared" ca="1" si="6"/>
        <v>33</v>
      </c>
      <c r="D133" s="29" t="str">
        <f>Sales_data!D131</f>
        <v>16/06/2025</v>
      </c>
      <c r="E133" s="29" t="str">
        <f>Sales_data!E131</f>
        <v>24/06/2025</v>
      </c>
      <c r="F133" s="29">
        <f t="shared" si="7"/>
        <v>8</v>
      </c>
      <c r="G133" s="29" t="str">
        <f t="shared" si="8"/>
        <v>Delayed</v>
      </c>
    </row>
    <row r="134" spans="1:7" ht="15" customHeight="1">
      <c r="A134" s="29" t="str">
        <f>Sales_data!A132</f>
        <v>ORD10131</v>
      </c>
      <c r="B134" s="29" t="str">
        <f>Sales_data!H132</f>
        <v>08/04/2003</v>
      </c>
      <c r="C134" s="29">
        <f t="shared" ca="1" si="6"/>
        <v>23</v>
      </c>
      <c r="D134" s="29" t="str">
        <f>Sales_data!D132</f>
        <v>27/04/2026</v>
      </c>
      <c r="E134" s="29" t="str">
        <f>Sales_data!E132</f>
        <v>30/04/2026</v>
      </c>
      <c r="F134" s="29">
        <f t="shared" si="7"/>
        <v>3</v>
      </c>
      <c r="G134" s="29" t="str">
        <f t="shared" si="8"/>
        <v>OnTime</v>
      </c>
    </row>
    <row r="135" spans="1:7" ht="15" customHeight="1">
      <c r="A135" s="29" t="str">
        <f>Sales_data!A133</f>
        <v>ORD10132</v>
      </c>
      <c r="B135" s="29" t="str">
        <f>Sales_data!H133</f>
        <v>20/10/1989</v>
      </c>
      <c r="C135" s="29">
        <f t="shared" ca="1" si="6"/>
        <v>36</v>
      </c>
      <c r="D135" s="29" t="str">
        <f>Sales_data!D133</f>
        <v>17/02/2026</v>
      </c>
      <c r="E135" s="29" t="str">
        <f>Sales_data!E133</f>
        <v>22/02/2026</v>
      </c>
      <c r="F135" s="29">
        <f t="shared" si="7"/>
        <v>5</v>
      </c>
      <c r="G135" s="29" t="str">
        <f t="shared" si="8"/>
        <v>OnTime</v>
      </c>
    </row>
    <row r="136" spans="1:7" ht="15" customHeight="1">
      <c r="A136" s="29" t="str">
        <f>Sales_data!A134</f>
        <v>ORD10133</v>
      </c>
      <c r="B136" s="29" t="str">
        <f>Sales_data!H134</f>
        <v>15/09/1995</v>
      </c>
      <c r="C136" s="29">
        <f t="shared" ca="1" si="6"/>
        <v>31</v>
      </c>
      <c r="D136" s="29" t="str">
        <f>Sales_data!D134</f>
        <v>04/04/2026</v>
      </c>
      <c r="E136" s="29" t="str">
        <f>Sales_data!E134</f>
        <v>10/04/2026</v>
      </c>
      <c r="F136" s="29">
        <f t="shared" si="7"/>
        <v>6</v>
      </c>
      <c r="G136" s="29" t="str">
        <f t="shared" si="8"/>
        <v>Delayed</v>
      </c>
    </row>
    <row r="137" spans="1:7" ht="15" customHeight="1">
      <c r="A137" s="29" t="str">
        <f>Sales_data!A135</f>
        <v>ORD10134</v>
      </c>
      <c r="B137" s="29" t="str">
        <f>Sales_data!H135</f>
        <v>07/04/1994</v>
      </c>
      <c r="C137" s="29">
        <f t="shared" ca="1" si="6"/>
        <v>32</v>
      </c>
      <c r="D137" s="29" t="str">
        <f>Sales_data!D135</f>
        <v>09/04/2025</v>
      </c>
      <c r="E137" s="29" t="str">
        <f>Sales_data!E135</f>
        <v>18/04/2025</v>
      </c>
      <c r="F137" s="29">
        <f t="shared" si="7"/>
        <v>9</v>
      </c>
      <c r="G137" s="29" t="str">
        <f t="shared" si="8"/>
        <v>Delayed</v>
      </c>
    </row>
    <row r="138" spans="1:7" ht="15" customHeight="1">
      <c r="A138" s="29" t="str">
        <f>Sales_data!A136</f>
        <v>ORD10135</v>
      </c>
      <c r="B138" s="29" t="str">
        <f>Sales_data!H136</f>
        <v>02/10/2003</v>
      </c>
      <c r="C138" s="29">
        <f t="shared" ca="1" si="6"/>
        <v>23</v>
      </c>
      <c r="D138" s="29" t="str">
        <f>Sales_data!D136</f>
        <v>15/06/2025</v>
      </c>
      <c r="E138" s="29" t="str">
        <f>Sales_data!E136</f>
        <v>27/06/2025</v>
      </c>
      <c r="F138" s="29">
        <f t="shared" si="7"/>
        <v>12</v>
      </c>
      <c r="G138" s="29" t="str">
        <f t="shared" si="8"/>
        <v>Delayed</v>
      </c>
    </row>
    <row r="139" spans="1:7" ht="15" customHeight="1">
      <c r="A139" s="29" t="str">
        <f>Sales_data!A137</f>
        <v>ORD10136</v>
      </c>
      <c r="B139" s="29" t="str">
        <f>Sales_data!H137</f>
        <v>14/07/1997</v>
      </c>
      <c r="C139" s="29">
        <f t="shared" ca="1" si="6"/>
        <v>29</v>
      </c>
      <c r="D139" s="29" t="str">
        <f>Sales_data!D137</f>
        <v>08/06/2025</v>
      </c>
      <c r="E139" s="29" t="str">
        <f>Sales_data!E137</f>
        <v>10/06/2025</v>
      </c>
      <c r="F139" s="29">
        <f t="shared" si="7"/>
        <v>2</v>
      </c>
      <c r="G139" s="29" t="str">
        <f t="shared" si="8"/>
        <v>OnTime</v>
      </c>
    </row>
    <row r="140" spans="1:7" ht="15" customHeight="1">
      <c r="A140" s="29" t="str">
        <f>Sales_data!A138</f>
        <v>ORD10137</v>
      </c>
      <c r="B140" s="29" t="str">
        <f>Sales_data!H138</f>
        <v>09/08/1979</v>
      </c>
      <c r="C140" s="29">
        <f t="shared" ca="1" si="6"/>
        <v>47</v>
      </c>
      <c r="D140" s="29" t="str">
        <f>Sales_data!D138</f>
        <v>25/07/2025</v>
      </c>
      <c r="E140" s="29" t="str">
        <f>Sales_data!E138</f>
        <v>01/08/2025</v>
      </c>
      <c r="F140" s="29">
        <f t="shared" si="7"/>
        <v>7</v>
      </c>
      <c r="G140" s="29" t="str">
        <f t="shared" si="8"/>
        <v>Delayed</v>
      </c>
    </row>
    <row r="141" spans="1:7" ht="15" customHeight="1">
      <c r="A141" s="29" t="str">
        <f>Sales_data!A139</f>
        <v>ORD10138</v>
      </c>
      <c r="B141" s="29" t="str">
        <f>Sales_data!H139</f>
        <v>20/10/2002</v>
      </c>
      <c r="C141" s="29">
        <f t="shared" ca="1" si="6"/>
        <v>23</v>
      </c>
      <c r="D141" s="29" t="str">
        <f>Sales_data!D139</f>
        <v>16/01/2025</v>
      </c>
      <c r="E141" s="29" t="str">
        <f>Sales_data!E139</f>
        <v>21/01/2025</v>
      </c>
      <c r="F141" s="29">
        <f t="shared" si="7"/>
        <v>5</v>
      </c>
      <c r="G141" s="29" t="str">
        <f t="shared" si="8"/>
        <v>OnTime</v>
      </c>
    </row>
    <row r="142" spans="1:7" ht="15" customHeight="1">
      <c r="A142" s="29" t="str">
        <f>Sales_data!A140</f>
        <v>ORD10139</v>
      </c>
      <c r="B142" s="29" t="str">
        <f>Sales_data!H140</f>
        <v>24/07/1985</v>
      </c>
      <c r="C142" s="29">
        <f t="shared" ca="1" si="6"/>
        <v>41</v>
      </c>
      <c r="D142" s="29" t="str">
        <f>Sales_data!D140</f>
        <v>04/02/2025</v>
      </c>
      <c r="E142" s="29" t="str">
        <f>Sales_data!E140</f>
        <v>05/02/2025</v>
      </c>
      <c r="F142" s="29">
        <f t="shared" si="7"/>
        <v>1</v>
      </c>
      <c r="G142" s="29" t="str">
        <f t="shared" si="8"/>
        <v>OnTime</v>
      </c>
    </row>
    <row r="143" spans="1:7" ht="15" customHeight="1">
      <c r="A143" s="29" t="str">
        <f>Sales_data!A141</f>
        <v>ORD10140</v>
      </c>
      <c r="B143" s="29" t="str">
        <f>Sales_data!H141</f>
        <v>23/08/1988</v>
      </c>
      <c r="C143" s="29">
        <f t="shared" ca="1" si="6"/>
        <v>38</v>
      </c>
      <c r="D143" s="29" t="str">
        <f>Sales_data!D141</f>
        <v>22/01/2025</v>
      </c>
      <c r="E143" s="29" t="str">
        <f>Sales_data!E141</f>
        <v>30/01/2025</v>
      </c>
      <c r="F143" s="29">
        <f t="shared" si="7"/>
        <v>8</v>
      </c>
      <c r="G143" s="29" t="str">
        <f t="shared" si="8"/>
        <v>Delayed</v>
      </c>
    </row>
    <row r="144" spans="1:7" ht="15" customHeight="1">
      <c r="A144" s="29" t="str">
        <f>Sales_data!A142</f>
        <v>ORD10141</v>
      </c>
      <c r="B144" s="29" t="str">
        <f>Sales_data!H142</f>
        <v>09/01/1979</v>
      </c>
      <c r="C144" s="29">
        <f t="shared" ca="1" si="6"/>
        <v>47</v>
      </c>
      <c r="D144" s="29" t="str">
        <f>Sales_data!D142</f>
        <v>11/04/2025</v>
      </c>
      <c r="E144" s="29" t="str">
        <f>Sales_data!E142</f>
        <v>18/04/2025</v>
      </c>
      <c r="F144" s="29">
        <f t="shared" si="7"/>
        <v>7</v>
      </c>
      <c r="G144" s="29" t="str">
        <f t="shared" si="8"/>
        <v>Delayed</v>
      </c>
    </row>
    <row r="145" spans="1:7" ht="15" customHeight="1">
      <c r="A145" s="29" t="str">
        <f>Sales_data!A143</f>
        <v>ORD10142</v>
      </c>
      <c r="B145" s="29" t="str">
        <f>Sales_data!H143</f>
        <v>25/08/1986</v>
      </c>
      <c r="C145" s="29">
        <f t="shared" ca="1" si="6"/>
        <v>40</v>
      </c>
      <c r="D145" s="29" t="str">
        <f>Sales_data!D143</f>
        <v>04/07/2025</v>
      </c>
      <c r="E145" s="29" t="str">
        <f>Sales_data!E143</f>
        <v>14/07/2025</v>
      </c>
      <c r="F145" s="29">
        <f t="shared" si="7"/>
        <v>10</v>
      </c>
      <c r="G145" s="29" t="str">
        <f t="shared" si="8"/>
        <v>Delayed</v>
      </c>
    </row>
    <row r="146" spans="1:7" ht="15" customHeight="1">
      <c r="A146" s="29" t="str">
        <f>Sales_data!A144</f>
        <v>ORD10143</v>
      </c>
      <c r="B146" s="29" t="str">
        <f>Sales_data!H144</f>
        <v>01/04/1977</v>
      </c>
      <c r="C146" s="29">
        <f t="shared" ca="1" si="6"/>
        <v>49</v>
      </c>
      <c r="D146" s="29" t="str">
        <f>Sales_data!D144</f>
        <v>22/01/2025</v>
      </c>
      <c r="E146" s="29" t="str">
        <f>Sales_data!E144</f>
        <v>29/01/2025</v>
      </c>
      <c r="F146" s="29">
        <f t="shared" si="7"/>
        <v>7</v>
      </c>
      <c r="G146" s="29" t="str">
        <f t="shared" si="8"/>
        <v>Delayed</v>
      </c>
    </row>
    <row r="147" spans="1:7" ht="15" customHeight="1">
      <c r="A147" s="29" t="str">
        <f>Sales_data!A145</f>
        <v>ORD10144</v>
      </c>
      <c r="B147" s="29" t="str">
        <f>Sales_data!H145</f>
        <v>04/08/1983</v>
      </c>
      <c r="C147" s="29">
        <f t="shared" ca="1" si="6"/>
        <v>43</v>
      </c>
      <c r="D147" s="29" t="str">
        <f>Sales_data!D145</f>
        <v>17/12/2025</v>
      </c>
      <c r="E147" s="29" t="str">
        <f>Sales_data!E145</f>
        <v>18/12/2025</v>
      </c>
      <c r="F147" s="29">
        <f t="shared" si="7"/>
        <v>1</v>
      </c>
      <c r="G147" s="29" t="str">
        <f t="shared" si="8"/>
        <v>OnTime</v>
      </c>
    </row>
    <row r="148" spans="1:7" ht="15" customHeight="1">
      <c r="A148" s="29" t="str">
        <f>Sales_data!A146</f>
        <v>ORD10145</v>
      </c>
      <c r="B148" s="29" t="str">
        <f>Sales_data!H146</f>
        <v>07/04/1978</v>
      </c>
      <c r="C148" s="29">
        <f t="shared" ca="1" si="6"/>
        <v>48</v>
      </c>
      <c r="D148" s="29" t="str">
        <f>Sales_data!D146</f>
        <v>10/10/2025</v>
      </c>
      <c r="E148" s="29" t="str">
        <f>Sales_data!E146</f>
        <v>21/10/2025</v>
      </c>
      <c r="F148" s="29">
        <f t="shared" si="7"/>
        <v>11</v>
      </c>
      <c r="G148" s="29" t="str">
        <f t="shared" si="8"/>
        <v>Delayed</v>
      </c>
    </row>
    <row r="149" spans="1:7" ht="15" customHeight="1">
      <c r="A149" s="29" t="str">
        <f>Sales_data!A147</f>
        <v>ORD10146</v>
      </c>
      <c r="B149" s="29" t="str">
        <f>Sales_data!H147</f>
        <v>04/03/1983</v>
      </c>
      <c r="C149" s="29">
        <f t="shared" ca="1" si="6"/>
        <v>43</v>
      </c>
      <c r="D149" s="29" t="str">
        <f>Sales_data!D147</f>
        <v>07/03/2026</v>
      </c>
      <c r="E149" s="29" t="str">
        <f>Sales_data!E147</f>
        <v>10/03/2026</v>
      </c>
      <c r="F149" s="29">
        <f t="shared" si="7"/>
        <v>3</v>
      </c>
      <c r="G149" s="29" t="str">
        <f t="shared" si="8"/>
        <v>OnTime</v>
      </c>
    </row>
    <row r="150" spans="1:7" ht="15" customHeight="1">
      <c r="A150" s="29" t="str">
        <f>Sales_data!A148</f>
        <v>ORD10147</v>
      </c>
      <c r="B150" s="29" t="str">
        <f>Sales_data!H148</f>
        <v>27/10/1987</v>
      </c>
      <c r="C150" s="29">
        <f t="shared" ca="1" si="6"/>
        <v>38</v>
      </c>
      <c r="D150" s="29" t="str">
        <f>Sales_data!D148</f>
        <v>16/08/2025</v>
      </c>
      <c r="E150" s="29" t="str">
        <f>Sales_data!E148</f>
        <v>23/08/2025</v>
      </c>
      <c r="F150" s="29">
        <f t="shared" si="7"/>
        <v>7</v>
      </c>
      <c r="G150" s="29" t="str">
        <f t="shared" si="8"/>
        <v>Delayed</v>
      </c>
    </row>
    <row r="151" spans="1:7" ht="15" customHeight="1">
      <c r="A151" s="29" t="str">
        <f>Sales_data!A149</f>
        <v>ORD10148</v>
      </c>
      <c r="B151" s="29" t="str">
        <f>Sales_data!H149</f>
        <v>19/04/2003</v>
      </c>
      <c r="C151" s="29">
        <f t="shared" ca="1" si="6"/>
        <v>23</v>
      </c>
      <c r="D151" s="29" t="str">
        <f>Sales_data!D149</f>
        <v>23/12/2025</v>
      </c>
      <c r="E151" s="29" t="str">
        <f>Sales_data!E149</f>
        <v>03/01/2026</v>
      </c>
      <c r="F151" s="29">
        <f t="shared" si="7"/>
        <v>11</v>
      </c>
      <c r="G151" s="29" t="str">
        <f t="shared" si="8"/>
        <v>Delayed</v>
      </c>
    </row>
    <row r="152" spans="1:7" ht="15" customHeight="1">
      <c r="A152" s="29" t="str">
        <f>Sales_data!A150</f>
        <v>ORD10020</v>
      </c>
      <c r="B152" s="29" t="str">
        <f>Sales_data!H150</f>
        <v>14/02/2002</v>
      </c>
      <c r="C152" s="29">
        <f t="shared" ca="1" si="6"/>
        <v>24</v>
      </c>
      <c r="D152" s="29" t="str">
        <f>Sales_data!D150</f>
        <v>08/09/2025</v>
      </c>
      <c r="E152" s="29" t="str">
        <f>Sales_data!E150</f>
        <v>19/09/2025</v>
      </c>
      <c r="F152" s="29">
        <f t="shared" si="7"/>
        <v>11</v>
      </c>
      <c r="G152" s="29" t="str">
        <f t="shared" si="8"/>
        <v>Delayed</v>
      </c>
    </row>
    <row r="153" spans="1:7" ht="15" customHeight="1">
      <c r="A153" s="29" t="str">
        <f>Sales_data!A151</f>
        <v>ORD10150</v>
      </c>
      <c r="B153" s="29" t="str">
        <f>Sales_data!H151</f>
        <v>05/07/1975</v>
      </c>
      <c r="C153" s="29">
        <f t="shared" ca="1" si="6"/>
        <v>51</v>
      </c>
      <c r="D153" s="29" t="str">
        <f>Sales_data!D151</f>
        <v>07/07/2025</v>
      </c>
      <c r="E153" s="29" t="str">
        <f>Sales_data!E151</f>
        <v>13/07/2025</v>
      </c>
      <c r="F153" s="29">
        <f t="shared" si="7"/>
        <v>6</v>
      </c>
      <c r="G153" s="29" t="str">
        <f t="shared" si="8"/>
        <v>Delayed</v>
      </c>
    </row>
    <row r="154" spans="1:7" ht="15" customHeight="1">
      <c r="A154" s="29" t="str">
        <f>Sales_data!A152</f>
        <v>ORD10151</v>
      </c>
      <c r="B154" s="29" t="str">
        <f>Sales_data!H152</f>
        <v>05/03/1992</v>
      </c>
      <c r="C154" s="29">
        <f t="shared" ca="1" si="6"/>
        <v>34</v>
      </c>
      <c r="D154" s="29" t="str">
        <f>Sales_data!D152</f>
        <v>03/05/2026</v>
      </c>
      <c r="E154" s="29" t="str">
        <f>Sales_data!E152</f>
        <v>15/05/2026</v>
      </c>
      <c r="F154" s="29">
        <f t="shared" si="7"/>
        <v>12</v>
      </c>
      <c r="G154" s="29" t="str">
        <f t="shared" si="8"/>
        <v>Delayed</v>
      </c>
    </row>
    <row r="155" spans="1:7" ht="15" customHeight="1">
      <c r="A155" s="29" t="str">
        <f>Sales_data!A153</f>
        <v>ORD10152</v>
      </c>
      <c r="B155" s="29" t="str">
        <f>Sales_data!H153</f>
        <v>03/06/1998</v>
      </c>
      <c r="C155" s="29">
        <f t="shared" ca="1" si="6"/>
        <v>28</v>
      </c>
      <c r="D155" s="29" t="str">
        <f>Sales_data!D153</f>
        <v>29/11/2025</v>
      </c>
      <c r="E155" s="29" t="str">
        <f>Sales_data!E153</f>
        <v>07/12/2025</v>
      </c>
      <c r="F155" s="29">
        <f t="shared" si="7"/>
        <v>8</v>
      </c>
      <c r="G155" s="29" t="str">
        <f t="shared" si="8"/>
        <v>Delayed</v>
      </c>
    </row>
    <row r="156" spans="1:7" ht="15" customHeight="1">
      <c r="A156" s="29" t="str">
        <f>Sales_data!A154</f>
        <v>ORD10153</v>
      </c>
      <c r="B156" s="29" t="str">
        <f>Sales_data!H154</f>
        <v>28/09/1996</v>
      </c>
      <c r="C156" s="29">
        <f t="shared" ca="1" si="6"/>
        <v>30</v>
      </c>
      <c r="D156" s="29" t="str">
        <f>Sales_data!D154</f>
        <v>14/07/2025</v>
      </c>
      <c r="E156" s="29" t="str">
        <f>Sales_data!E154</f>
        <v>19/07/2025</v>
      </c>
      <c r="F156" s="29">
        <f t="shared" si="7"/>
        <v>5</v>
      </c>
      <c r="G156" s="29" t="str">
        <f t="shared" si="8"/>
        <v>OnTime</v>
      </c>
    </row>
    <row r="157" spans="1:7" ht="15" customHeight="1">
      <c r="A157" s="29" t="str">
        <f>Sales_data!A155</f>
        <v>ORD10154</v>
      </c>
      <c r="B157" s="29" t="str">
        <f>Sales_data!H155</f>
        <v>15/12/1995</v>
      </c>
      <c r="C157" s="29">
        <f t="shared" ca="1" si="6"/>
        <v>30</v>
      </c>
      <c r="D157" s="29" t="str">
        <f>Sales_data!D155</f>
        <v>13/03/2025</v>
      </c>
      <c r="E157" s="29" t="str">
        <f>Sales_data!E155</f>
        <v>23/03/2025</v>
      </c>
      <c r="F157" s="29">
        <f t="shared" si="7"/>
        <v>10</v>
      </c>
      <c r="G157" s="29" t="str">
        <f t="shared" si="8"/>
        <v>Delayed</v>
      </c>
    </row>
    <row r="158" spans="1:7" ht="15" customHeight="1">
      <c r="A158" s="29" t="str">
        <f>Sales_data!A156</f>
        <v>ORD10155</v>
      </c>
      <c r="B158" s="29" t="str">
        <f>Sales_data!H156</f>
        <v>24/07/1976</v>
      </c>
      <c r="C158" s="29">
        <f t="shared" ca="1" si="6"/>
        <v>50</v>
      </c>
      <c r="D158" s="29" t="str">
        <f>Sales_data!D156</f>
        <v>22/07/2025</v>
      </c>
      <c r="E158" s="29" t="str">
        <f>Sales_data!E156</f>
        <v>23/07/2025</v>
      </c>
      <c r="F158" s="29">
        <f t="shared" si="7"/>
        <v>1</v>
      </c>
      <c r="G158" s="29" t="str">
        <f t="shared" si="8"/>
        <v>OnTime</v>
      </c>
    </row>
    <row r="159" spans="1:7" ht="15" customHeight="1">
      <c r="A159" s="29" t="str">
        <f>Sales_data!A157</f>
        <v>ORD10156</v>
      </c>
      <c r="B159" s="29" t="str">
        <f>Sales_data!H157</f>
        <v>22/06/1984</v>
      </c>
      <c r="C159" s="29">
        <f t="shared" ca="1" si="6"/>
        <v>42</v>
      </c>
      <c r="D159" s="29" t="str">
        <f>Sales_data!D157</f>
        <v>21/07/2025</v>
      </c>
      <c r="E159" s="29" t="str">
        <f>Sales_data!E157</f>
        <v>24/07/2025</v>
      </c>
      <c r="F159" s="29">
        <f t="shared" si="7"/>
        <v>3</v>
      </c>
      <c r="G159" s="29" t="str">
        <f t="shared" si="8"/>
        <v>OnTime</v>
      </c>
    </row>
    <row r="160" spans="1:7" ht="15" customHeight="1">
      <c r="A160" s="29" t="str">
        <f>Sales_data!A158</f>
        <v>ORD10157</v>
      </c>
      <c r="B160" s="29" t="str">
        <f>Sales_data!H158</f>
        <v>06/08/1998</v>
      </c>
      <c r="C160" s="29">
        <f t="shared" ca="1" si="6"/>
        <v>28</v>
      </c>
      <c r="D160" s="29" t="str">
        <f>Sales_data!D158</f>
        <v>19/07/2025</v>
      </c>
      <c r="E160" s="29" t="str">
        <f>Sales_data!E158</f>
        <v>29/07/2025</v>
      </c>
      <c r="F160" s="29">
        <f t="shared" si="7"/>
        <v>10</v>
      </c>
      <c r="G160" s="29" t="str">
        <f t="shared" si="8"/>
        <v>Delayed</v>
      </c>
    </row>
    <row r="161" spans="1:7" ht="15" customHeight="1">
      <c r="A161" s="29" t="str">
        <f>Sales_data!A159</f>
        <v>ORD10158</v>
      </c>
      <c r="B161" s="29" t="str">
        <f>Sales_data!H159</f>
        <v>18/06/2001</v>
      </c>
      <c r="C161" s="29">
        <f t="shared" ca="1" si="6"/>
        <v>25</v>
      </c>
      <c r="D161" s="29" t="str">
        <f>Sales_data!D159</f>
        <v>10/04/2025</v>
      </c>
      <c r="E161" s="29" t="str">
        <f>Sales_data!E159</f>
        <v>12/04/2025</v>
      </c>
      <c r="F161" s="29">
        <f t="shared" si="7"/>
        <v>2</v>
      </c>
      <c r="G161" s="29" t="str">
        <f t="shared" si="8"/>
        <v>OnTime</v>
      </c>
    </row>
    <row r="162" spans="1:7" ht="15" customHeight="1">
      <c r="A162" s="29" t="str">
        <f>Sales_data!A160</f>
        <v>ORD10159</v>
      </c>
      <c r="B162" s="29" t="str">
        <f>Sales_data!H160</f>
        <v>11/09/1999</v>
      </c>
      <c r="C162" s="29">
        <f t="shared" ca="1" si="6"/>
        <v>27</v>
      </c>
      <c r="D162" s="29" t="str">
        <f>Sales_data!D160</f>
        <v>13/05/2026</v>
      </c>
      <c r="E162" s="29" t="str">
        <f>Sales_data!E160</f>
        <v>23/05/2026</v>
      </c>
      <c r="F162" s="29">
        <f t="shared" si="7"/>
        <v>10</v>
      </c>
      <c r="G162" s="29" t="str">
        <f t="shared" si="8"/>
        <v>Delayed</v>
      </c>
    </row>
    <row r="163" spans="1:7" ht="15" customHeight="1">
      <c r="A163" s="29" t="str">
        <f>Sales_data!A161</f>
        <v>ORD10160</v>
      </c>
      <c r="B163" s="29" t="str">
        <f>Sales_data!H161</f>
        <v>07/12/1995</v>
      </c>
      <c r="C163" s="29">
        <f t="shared" ca="1" si="6"/>
        <v>30</v>
      </c>
      <c r="D163" s="29" t="str">
        <f>Sales_data!D161</f>
        <v>13/03/2026</v>
      </c>
      <c r="E163" s="29" t="str">
        <f>Sales_data!E161</f>
        <v>16/03/2026</v>
      </c>
      <c r="F163" s="29">
        <f t="shared" si="7"/>
        <v>3</v>
      </c>
      <c r="G163" s="29" t="str">
        <f t="shared" si="8"/>
        <v>OnTime</v>
      </c>
    </row>
    <row r="164" spans="1:7" ht="15" customHeight="1">
      <c r="A164" s="29" t="str">
        <f>Sales_data!A162</f>
        <v>ORD10161</v>
      </c>
      <c r="B164" s="29" t="str">
        <f>Sales_data!H162</f>
        <v>22/07/1999</v>
      </c>
      <c r="C164" s="29">
        <f t="shared" ca="1" si="6"/>
        <v>27</v>
      </c>
      <c r="D164" s="29" t="str">
        <f>Sales_data!D162</f>
        <v>27/06/2025</v>
      </c>
      <c r="E164" s="29" t="str">
        <f>Sales_data!E162</f>
        <v>01/07/2025</v>
      </c>
      <c r="F164" s="29">
        <f t="shared" si="7"/>
        <v>4</v>
      </c>
      <c r="G164" s="29" t="str">
        <f t="shared" si="8"/>
        <v>OnTime</v>
      </c>
    </row>
    <row r="165" spans="1:7" ht="15" customHeight="1">
      <c r="A165" s="29" t="str">
        <f>Sales_data!A163</f>
        <v>ORD10162</v>
      </c>
      <c r="B165" s="29" t="str">
        <f>Sales_data!H163</f>
        <v>14/11/2000</v>
      </c>
      <c r="C165" s="29">
        <f t="shared" ca="1" si="6"/>
        <v>25</v>
      </c>
      <c r="D165" s="29" t="str">
        <f>Sales_data!D163</f>
        <v>19/11/2025</v>
      </c>
      <c r="E165" s="29" t="str">
        <f>Sales_data!E163</f>
        <v>29/11/2025</v>
      </c>
      <c r="F165" s="29">
        <f t="shared" si="7"/>
        <v>10</v>
      </c>
      <c r="G165" s="29" t="str">
        <f t="shared" si="8"/>
        <v>Delayed</v>
      </c>
    </row>
    <row r="166" spans="1:7" ht="15" customHeight="1">
      <c r="A166" s="29" t="str">
        <f>Sales_data!A164</f>
        <v>ORD10163</v>
      </c>
      <c r="B166" s="29" t="str">
        <f>Sales_data!H164</f>
        <v>24/07/2002</v>
      </c>
      <c r="C166" s="29">
        <f t="shared" ca="1" si="6"/>
        <v>24</v>
      </c>
      <c r="D166" s="29" t="str">
        <f>Sales_data!D164</f>
        <v>15/09/2025</v>
      </c>
      <c r="E166" s="29" t="str">
        <f>Sales_data!E164</f>
        <v>17/09/2025</v>
      </c>
      <c r="F166" s="29">
        <f t="shared" si="7"/>
        <v>2</v>
      </c>
      <c r="G166" s="29" t="str">
        <f t="shared" si="8"/>
        <v>OnTime</v>
      </c>
    </row>
    <row r="167" spans="1:7" ht="15" customHeight="1">
      <c r="A167" s="29" t="str">
        <f>Sales_data!A165</f>
        <v>ORD10164</v>
      </c>
      <c r="B167" s="29" t="str">
        <f>Sales_data!H165</f>
        <v>25/02/2002</v>
      </c>
      <c r="C167" s="29">
        <f t="shared" ca="1" si="6"/>
        <v>24</v>
      </c>
      <c r="D167" s="29" t="str">
        <f>Sales_data!D165</f>
        <v>04/11/2025</v>
      </c>
      <c r="E167" s="29" t="str">
        <f>Sales_data!E165</f>
        <v>13/11/2025</v>
      </c>
      <c r="F167" s="29">
        <f t="shared" si="7"/>
        <v>9</v>
      </c>
      <c r="G167" s="29" t="str">
        <f t="shared" si="8"/>
        <v>Delayed</v>
      </c>
    </row>
    <row r="168" spans="1:7" ht="15" customHeight="1">
      <c r="A168" s="29" t="str">
        <f>Sales_data!A166</f>
        <v>ORD10165</v>
      </c>
      <c r="B168" s="29" t="str">
        <f>Sales_data!H166</f>
        <v>16/07/1980</v>
      </c>
      <c r="C168" s="29">
        <f t="shared" ca="1" si="6"/>
        <v>46</v>
      </c>
      <c r="D168" s="29" t="str">
        <f>Sales_data!D166</f>
        <v>03/01/2025</v>
      </c>
      <c r="E168" s="29" t="str">
        <f>Sales_data!E166</f>
        <v>07/01/2025</v>
      </c>
      <c r="F168" s="29">
        <f t="shared" si="7"/>
        <v>4</v>
      </c>
      <c r="G168" s="29" t="str">
        <f t="shared" si="8"/>
        <v>OnTime</v>
      </c>
    </row>
    <row r="169" spans="1:7" ht="15" customHeight="1">
      <c r="A169" s="29" t="str">
        <f>Sales_data!A167</f>
        <v>ORD10166</v>
      </c>
      <c r="B169" s="29" t="str">
        <f>Sales_data!H167</f>
        <v>25/05/1996</v>
      </c>
      <c r="C169" s="29">
        <f t="shared" ca="1" si="6"/>
        <v>30</v>
      </c>
      <c r="D169" s="29" t="str">
        <f>Sales_data!D167</f>
        <v>19/06/2025</v>
      </c>
      <c r="E169" s="29" t="str">
        <f>Sales_data!E167</f>
        <v>27/06/2025</v>
      </c>
      <c r="F169" s="29">
        <f t="shared" si="7"/>
        <v>8</v>
      </c>
      <c r="G169" s="29" t="str">
        <f t="shared" si="8"/>
        <v>Delayed</v>
      </c>
    </row>
    <row r="170" spans="1:7" ht="15" customHeight="1">
      <c r="A170" s="29" t="str">
        <f>Sales_data!A168</f>
        <v>ORD10167</v>
      </c>
      <c r="B170" s="29" t="str">
        <f>Sales_data!H168</f>
        <v>11/05/1986</v>
      </c>
      <c r="C170" s="29">
        <f t="shared" ca="1" si="6"/>
        <v>40</v>
      </c>
      <c r="D170" s="29" t="str">
        <f>Sales_data!D168</f>
        <v>26/03/2025</v>
      </c>
      <c r="E170" s="29" t="str">
        <f>Sales_data!E168</f>
        <v>06/04/2025</v>
      </c>
      <c r="F170" s="29">
        <f t="shared" si="7"/>
        <v>11</v>
      </c>
      <c r="G170" s="29" t="str">
        <f t="shared" si="8"/>
        <v>Delayed</v>
      </c>
    </row>
    <row r="171" spans="1:7" ht="15" customHeight="1">
      <c r="A171" s="29" t="str">
        <f>Sales_data!A169</f>
        <v>ORD10168</v>
      </c>
      <c r="B171" s="29" t="str">
        <f>Sales_data!H169</f>
        <v>25/05/1989</v>
      </c>
      <c r="C171" s="29">
        <f t="shared" ca="1" si="6"/>
        <v>37</v>
      </c>
      <c r="D171" s="29" t="str">
        <f>Sales_data!D169</f>
        <v>06/07/2025</v>
      </c>
      <c r="E171" s="29" t="str">
        <f>Sales_data!E169</f>
        <v>10/07/2025</v>
      </c>
      <c r="F171" s="29">
        <f t="shared" si="7"/>
        <v>4</v>
      </c>
      <c r="G171" s="29" t="str">
        <f t="shared" si="8"/>
        <v>OnTime</v>
      </c>
    </row>
    <row r="172" spans="1:7" ht="15" customHeight="1">
      <c r="A172" s="29" t="str">
        <f>Sales_data!A170</f>
        <v>ORD10169</v>
      </c>
      <c r="B172" s="29" t="str">
        <f>Sales_data!H170</f>
        <v>25/08/1989</v>
      </c>
      <c r="C172" s="29">
        <f t="shared" ca="1" si="6"/>
        <v>37</v>
      </c>
      <c r="D172" s="29" t="str">
        <f>Sales_data!D170</f>
        <v>18/01/2026</v>
      </c>
      <c r="E172" s="29" t="str">
        <f>Sales_data!E170</f>
        <v>26/01/2026</v>
      </c>
      <c r="F172" s="29">
        <f t="shared" si="7"/>
        <v>8</v>
      </c>
      <c r="G172" s="29" t="str">
        <f t="shared" si="8"/>
        <v>Delayed</v>
      </c>
    </row>
    <row r="173" spans="1:7" ht="15" customHeight="1">
      <c r="A173" s="29" t="str">
        <f>Sales_data!A171</f>
        <v>ORD10170</v>
      </c>
      <c r="B173" s="29" t="str">
        <f>Sales_data!H171</f>
        <v>20/05/1997</v>
      </c>
      <c r="C173" s="29">
        <f t="shared" ca="1" si="6"/>
        <v>29</v>
      </c>
      <c r="D173" s="29" t="str">
        <f>Sales_data!D171</f>
        <v>19/09/2025</v>
      </c>
      <c r="E173" s="29" t="str">
        <f>Sales_data!E171</f>
        <v>20/09/2025</v>
      </c>
      <c r="F173" s="29">
        <f t="shared" si="7"/>
        <v>1</v>
      </c>
      <c r="G173" s="29" t="str">
        <f t="shared" si="8"/>
        <v>OnTime</v>
      </c>
    </row>
    <row r="174" spans="1:7" ht="15" customHeight="1">
      <c r="A174" s="29" t="str">
        <f>Sales_data!A172</f>
        <v>ORD10171</v>
      </c>
      <c r="B174" s="29" t="str">
        <f>Sales_data!H172</f>
        <v>03/05/1987</v>
      </c>
      <c r="C174" s="29">
        <f t="shared" ca="1" si="6"/>
        <v>39</v>
      </c>
      <c r="D174" s="29" t="str">
        <f>Sales_data!D172</f>
        <v>01/04/2026</v>
      </c>
      <c r="E174" s="29" t="str">
        <f>Sales_data!E172</f>
        <v>07/04/2026</v>
      </c>
      <c r="F174" s="29">
        <f t="shared" si="7"/>
        <v>6</v>
      </c>
      <c r="G174" s="29" t="str">
        <f t="shared" si="8"/>
        <v>Delayed</v>
      </c>
    </row>
    <row r="175" spans="1:7" ht="15" customHeight="1">
      <c r="A175" s="29" t="str">
        <f>Sales_data!A173</f>
        <v>ORD10172</v>
      </c>
      <c r="B175" s="29" t="str">
        <f>Sales_data!H173</f>
        <v>02/12/2002</v>
      </c>
      <c r="C175" s="29">
        <f t="shared" ca="1" si="6"/>
        <v>23</v>
      </c>
      <c r="D175" s="29" t="str">
        <f>Sales_data!D173</f>
        <v>28/10/2025</v>
      </c>
      <c r="E175" s="29" t="str">
        <f>Sales_data!E173</f>
        <v>29/10/2025</v>
      </c>
      <c r="F175" s="29">
        <f t="shared" si="7"/>
        <v>1</v>
      </c>
      <c r="G175" s="29" t="str">
        <f t="shared" si="8"/>
        <v>OnTime</v>
      </c>
    </row>
    <row r="176" spans="1:7" ht="15" customHeight="1">
      <c r="A176" s="29" t="str">
        <f>Sales_data!A174</f>
        <v>ORD10173</v>
      </c>
      <c r="B176" s="29" t="str">
        <f>Sales_data!H174</f>
        <v>25/05/1986</v>
      </c>
      <c r="C176" s="29">
        <f t="shared" ca="1" si="6"/>
        <v>40</v>
      </c>
      <c r="D176" s="29" t="str">
        <f>Sales_data!D174</f>
        <v>06/02/2025</v>
      </c>
      <c r="E176" s="29" t="str">
        <f>Sales_data!E174</f>
        <v>17/02/2025</v>
      </c>
      <c r="F176" s="29">
        <f t="shared" si="7"/>
        <v>11</v>
      </c>
      <c r="G176" s="29" t="str">
        <f t="shared" si="8"/>
        <v>Delayed</v>
      </c>
    </row>
    <row r="177" spans="1:7" ht="15" customHeight="1">
      <c r="A177" s="29" t="str">
        <f>Sales_data!A175</f>
        <v>ORD10174</v>
      </c>
      <c r="B177" s="29" t="str">
        <f>Sales_data!H175</f>
        <v>22/02/1986</v>
      </c>
      <c r="C177" s="29">
        <f t="shared" ca="1" si="6"/>
        <v>40</v>
      </c>
      <c r="D177" s="29" t="str">
        <f>Sales_data!D175</f>
        <v>27/04/2025</v>
      </c>
      <c r="E177" s="29" t="str">
        <f>Sales_data!E175</f>
        <v>29/04/2025</v>
      </c>
      <c r="F177" s="29">
        <f t="shared" si="7"/>
        <v>2</v>
      </c>
      <c r="G177" s="29" t="str">
        <f t="shared" si="8"/>
        <v>OnTime</v>
      </c>
    </row>
    <row r="178" spans="1:7" ht="15" customHeight="1">
      <c r="A178" s="29" t="str">
        <f>Sales_data!A176</f>
        <v>ORD10175</v>
      </c>
      <c r="B178" s="29" t="str">
        <f>Sales_data!H176</f>
        <v>07/04/1988</v>
      </c>
      <c r="C178" s="29">
        <f t="shared" ca="1" si="6"/>
        <v>38</v>
      </c>
      <c r="D178" s="29" t="str">
        <f>Sales_data!D176</f>
        <v>14/03/2025</v>
      </c>
      <c r="E178" s="29" t="str">
        <f>Sales_data!E176</f>
        <v>25/03/2025</v>
      </c>
      <c r="F178" s="29">
        <f t="shared" si="7"/>
        <v>11</v>
      </c>
      <c r="G178" s="29" t="str">
        <f t="shared" si="8"/>
        <v>Delayed</v>
      </c>
    </row>
    <row r="179" spans="1:7" ht="15" customHeight="1">
      <c r="A179" s="29" t="str">
        <f>Sales_data!A177</f>
        <v>ORD10176</v>
      </c>
      <c r="B179" s="29" t="str">
        <f>Sales_data!H177</f>
        <v>27/06/1993</v>
      </c>
      <c r="C179" s="29">
        <f t="shared" ca="1" si="6"/>
        <v>33</v>
      </c>
      <c r="D179" s="29" t="str">
        <f>Sales_data!D177</f>
        <v>04/07/2025</v>
      </c>
      <c r="E179" s="29" t="str">
        <f>Sales_data!E177</f>
        <v>16/07/2025</v>
      </c>
      <c r="F179" s="29">
        <f t="shared" si="7"/>
        <v>12</v>
      </c>
      <c r="G179" s="29" t="str">
        <f t="shared" si="8"/>
        <v>Delayed</v>
      </c>
    </row>
    <row r="180" spans="1:7" ht="15" customHeight="1">
      <c r="A180" s="29" t="str">
        <f>Sales_data!A178</f>
        <v>ORD10177</v>
      </c>
      <c r="B180" s="29" t="str">
        <f>Sales_data!H178</f>
        <v>18/06/2004</v>
      </c>
      <c r="C180" s="29">
        <f t="shared" ca="1" si="6"/>
        <v>22</v>
      </c>
      <c r="D180" s="29" t="str">
        <f>Sales_data!D178</f>
        <v>02/12/2025</v>
      </c>
      <c r="E180" s="29" t="str">
        <f>Sales_data!E178</f>
        <v>03/12/2025</v>
      </c>
      <c r="F180" s="29">
        <f t="shared" si="7"/>
        <v>1</v>
      </c>
      <c r="G180" s="29" t="str">
        <f t="shared" si="8"/>
        <v>OnTime</v>
      </c>
    </row>
    <row r="181" spans="1:7" ht="15" customHeight="1">
      <c r="A181" s="29" t="str">
        <f>Sales_data!A179</f>
        <v>ORD10178</v>
      </c>
      <c r="B181" s="29" t="str">
        <f>Sales_data!H179</f>
        <v>09/09/1993</v>
      </c>
      <c r="C181" s="29">
        <f t="shared" ca="1" si="6"/>
        <v>33</v>
      </c>
      <c r="D181" s="29" t="str">
        <f>Sales_data!D179</f>
        <v>14/02/2026</v>
      </c>
      <c r="E181" s="29" t="str">
        <f>Sales_data!E179</f>
        <v>21/02/2026</v>
      </c>
      <c r="F181" s="29">
        <f t="shared" si="7"/>
        <v>7</v>
      </c>
      <c r="G181" s="29" t="str">
        <f t="shared" si="8"/>
        <v>Delayed</v>
      </c>
    </row>
    <row r="182" spans="1:7" ht="15" customHeight="1">
      <c r="A182" s="29" t="str">
        <f>Sales_data!A180</f>
        <v>ORD10179</v>
      </c>
      <c r="B182" s="29" t="str">
        <f>Sales_data!H180</f>
        <v>13/09/2001</v>
      </c>
      <c r="C182" s="29">
        <f t="shared" ca="1" si="6"/>
        <v>25</v>
      </c>
      <c r="D182" s="29" t="str">
        <f>Sales_data!D180</f>
        <v>09/11/2025</v>
      </c>
      <c r="E182" s="29" t="str">
        <f>Sales_data!E180</f>
        <v>13/11/2025</v>
      </c>
      <c r="F182" s="29">
        <f t="shared" si="7"/>
        <v>4</v>
      </c>
      <c r="G182" s="29" t="str">
        <f t="shared" si="8"/>
        <v>OnTime</v>
      </c>
    </row>
    <row r="183" spans="1:7" ht="15" customHeight="1">
      <c r="A183" s="29" t="str">
        <f>Sales_data!A181</f>
        <v>ORD10180</v>
      </c>
      <c r="B183" s="29" t="str">
        <f>Sales_data!H181</f>
        <v>15/11/1981</v>
      </c>
      <c r="C183" s="29">
        <f t="shared" ca="1" si="6"/>
        <v>44</v>
      </c>
      <c r="D183" s="29" t="str">
        <f>Sales_data!D181</f>
        <v>07/02/2025</v>
      </c>
      <c r="E183" s="29" t="str">
        <f>Sales_data!E181</f>
        <v>19/02/2025</v>
      </c>
      <c r="F183" s="29">
        <f t="shared" si="7"/>
        <v>12</v>
      </c>
      <c r="G183" s="29" t="str">
        <f t="shared" si="8"/>
        <v>Delayed</v>
      </c>
    </row>
    <row r="184" spans="1:7" ht="15" customHeight="1">
      <c r="A184" s="29" t="str">
        <f>Sales_data!A182</f>
        <v>ORD10181</v>
      </c>
      <c r="B184" s="29" t="str">
        <f>Sales_data!H182</f>
        <v>12/09/1980</v>
      </c>
      <c r="C184" s="29">
        <f t="shared" ca="1" si="6"/>
        <v>46</v>
      </c>
      <c r="D184" s="29" t="str">
        <f>Sales_data!D182</f>
        <v>26/05/2025</v>
      </c>
      <c r="E184" s="29" t="str">
        <f>Sales_data!E182</f>
        <v>30/05/2025</v>
      </c>
      <c r="F184" s="29">
        <f t="shared" si="7"/>
        <v>4</v>
      </c>
      <c r="G184" s="29" t="str">
        <f t="shared" si="8"/>
        <v>OnTime</v>
      </c>
    </row>
    <row r="185" spans="1:7" ht="15" customHeight="1">
      <c r="A185" s="29" t="str">
        <f>Sales_data!A183</f>
        <v>ORD10182</v>
      </c>
      <c r="B185" s="29" t="str">
        <f>Sales_data!H183</f>
        <v>07/04/1988</v>
      </c>
      <c r="C185" s="29">
        <f t="shared" ca="1" si="6"/>
        <v>38</v>
      </c>
      <c r="D185" s="29" t="str">
        <f>Sales_data!D183</f>
        <v>04/10/2025</v>
      </c>
      <c r="E185" s="29" t="str">
        <f>Sales_data!E183</f>
        <v>06/10/2025</v>
      </c>
      <c r="F185" s="29">
        <f t="shared" si="7"/>
        <v>2</v>
      </c>
      <c r="G185" s="29" t="str">
        <f t="shared" si="8"/>
        <v>OnTime</v>
      </c>
    </row>
    <row r="186" spans="1:7" ht="15" customHeight="1">
      <c r="A186" s="29" t="str">
        <f>Sales_data!A184</f>
        <v>ORD10183</v>
      </c>
      <c r="B186" s="29" t="str">
        <f>Sales_data!H184</f>
        <v>19/02/1988</v>
      </c>
      <c r="C186" s="29">
        <f t="shared" ca="1" si="6"/>
        <v>38</v>
      </c>
      <c r="D186" s="29" t="str">
        <f>Sales_data!D184</f>
        <v>15/05/2025</v>
      </c>
      <c r="E186" s="29" t="str">
        <f>Sales_data!E184</f>
        <v>26/05/2025</v>
      </c>
      <c r="F186" s="29">
        <f t="shared" si="7"/>
        <v>11</v>
      </c>
      <c r="G186" s="29" t="str">
        <f t="shared" si="8"/>
        <v>Delayed</v>
      </c>
    </row>
    <row r="187" spans="1:7" ht="15" customHeight="1">
      <c r="A187" s="29" t="str">
        <f>Sales_data!A185</f>
        <v>ORD10184</v>
      </c>
      <c r="B187" s="29" t="str">
        <f>Sales_data!H185</f>
        <v>03/12/1981</v>
      </c>
      <c r="C187" s="29">
        <f t="shared" ca="1" si="6"/>
        <v>44</v>
      </c>
      <c r="D187" s="29" t="str">
        <f>Sales_data!D185</f>
        <v>14/06/2025</v>
      </c>
      <c r="E187" s="29" t="str">
        <f>Sales_data!E185</f>
        <v>23/06/2025</v>
      </c>
      <c r="F187" s="29">
        <f t="shared" si="7"/>
        <v>9</v>
      </c>
      <c r="G187" s="29" t="str">
        <f t="shared" si="8"/>
        <v>Delayed</v>
      </c>
    </row>
    <row r="188" spans="1:7" ht="15" customHeight="1">
      <c r="A188" s="29" t="str">
        <f>Sales_data!A186</f>
        <v>ORD10185</v>
      </c>
      <c r="B188" s="29" t="str">
        <f>Sales_data!H186</f>
        <v>11/02/1984</v>
      </c>
      <c r="C188" s="29">
        <f t="shared" ca="1" si="6"/>
        <v>42</v>
      </c>
      <c r="D188" s="29" t="str">
        <f>Sales_data!D186</f>
        <v>22/04/2025</v>
      </c>
      <c r="E188" s="29" t="str">
        <f>Sales_data!E186</f>
        <v>04/05/2025</v>
      </c>
      <c r="F188" s="29">
        <f t="shared" si="7"/>
        <v>12</v>
      </c>
      <c r="G188" s="29" t="str">
        <f t="shared" si="8"/>
        <v>Delayed</v>
      </c>
    </row>
    <row r="189" spans="1:7" ht="15" customHeight="1">
      <c r="A189" s="29" t="str">
        <f>Sales_data!A187</f>
        <v>ORD10186</v>
      </c>
      <c r="B189" s="29" t="str">
        <f>Sales_data!H187</f>
        <v>07/12/1991</v>
      </c>
      <c r="C189" s="29">
        <f t="shared" ca="1" si="6"/>
        <v>34</v>
      </c>
      <c r="D189" s="29" t="str">
        <f>Sales_data!D187</f>
        <v>22/01/2025</v>
      </c>
      <c r="E189" s="29" t="str">
        <f>Sales_data!E187</f>
        <v>24/01/2025</v>
      </c>
      <c r="F189" s="29">
        <f t="shared" si="7"/>
        <v>2</v>
      </c>
      <c r="G189" s="29" t="str">
        <f t="shared" si="8"/>
        <v>OnTime</v>
      </c>
    </row>
    <row r="190" spans="1:7" ht="15" customHeight="1">
      <c r="A190" s="29" t="str">
        <f>Sales_data!A188</f>
        <v>ORD10187</v>
      </c>
      <c r="B190" s="29" t="str">
        <f>Sales_data!H188</f>
        <v>21/02/1976</v>
      </c>
      <c r="C190" s="29">
        <f t="shared" ca="1" si="6"/>
        <v>50</v>
      </c>
      <c r="D190" s="29" t="str">
        <f>Sales_data!D188</f>
        <v>16/12/2025</v>
      </c>
      <c r="E190" s="29" t="str">
        <f>Sales_data!E188</f>
        <v>26/12/2025</v>
      </c>
      <c r="F190" s="29">
        <f t="shared" si="7"/>
        <v>10</v>
      </c>
      <c r="G190" s="29" t="str">
        <f t="shared" si="8"/>
        <v>Delayed</v>
      </c>
    </row>
    <row r="191" spans="1:7" ht="15" customHeight="1">
      <c r="A191" s="29" t="str">
        <f>Sales_data!A189</f>
        <v>ORD10188</v>
      </c>
      <c r="B191" s="29" t="str">
        <f>Sales_data!H189</f>
        <v>28/08/1975</v>
      </c>
      <c r="C191" s="29">
        <f t="shared" ca="1" si="6"/>
        <v>51</v>
      </c>
      <c r="D191" s="29" t="str">
        <f>Sales_data!D189</f>
        <v>24/06/2025</v>
      </c>
      <c r="E191" s="29" t="str">
        <f>Sales_data!E189</f>
        <v>28/06/2025</v>
      </c>
      <c r="F191" s="29">
        <f t="shared" si="7"/>
        <v>4</v>
      </c>
      <c r="G191" s="29" t="str">
        <f t="shared" si="8"/>
        <v>OnTime</v>
      </c>
    </row>
    <row r="192" spans="1:7" ht="15" customHeight="1">
      <c r="A192" s="29" t="str">
        <f>Sales_data!A190</f>
        <v>ORD10189</v>
      </c>
      <c r="B192" s="29" t="str">
        <f>Sales_data!H190</f>
        <v>05/12/1987</v>
      </c>
      <c r="C192" s="29">
        <f t="shared" ca="1" si="6"/>
        <v>38</v>
      </c>
      <c r="D192" s="29" t="str">
        <f>Sales_data!D190</f>
        <v>12/05/2026</v>
      </c>
      <c r="E192" s="29" t="str">
        <f>Sales_data!E190</f>
        <v>22/05/2026</v>
      </c>
      <c r="F192" s="29">
        <f t="shared" si="7"/>
        <v>10</v>
      </c>
      <c r="G192" s="29" t="str">
        <f t="shared" si="8"/>
        <v>Delayed</v>
      </c>
    </row>
    <row r="193" spans="1:7" ht="15" customHeight="1">
      <c r="A193" s="29" t="str">
        <f>Sales_data!A191</f>
        <v>ORD10190</v>
      </c>
      <c r="B193" s="29" t="str">
        <f>Sales_data!H191</f>
        <v>26/08/2004</v>
      </c>
      <c r="C193" s="29">
        <f t="shared" ca="1" si="6"/>
        <v>22</v>
      </c>
      <c r="D193" s="29" t="str">
        <f>Sales_data!D191</f>
        <v>14/02/2026</v>
      </c>
      <c r="E193" s="29" t="str">
        <f>Sales_data!E191</f>
        <v>16/02/2026</v>
      </c>
      <c r="F193" s="29">
        <f t="shared" si="7"/>
        <v>2</v>
      </c>
      <c r="G193" s="29" t="str">
        <f t="shared" si="8"/>
        <v>OnTime</v>
      </c>
    </row>
    <row r="194" spans="1:7" ht="15" customHeight="1">
      <c r="A194" s="29" t="str">
        <f>Sales_data!A192</f>
        <v>ORD10191</v>
      </c>
      <c r="B194" s="29" t="str">
        <f>Sales_data!H192</f>
        <v>16/01/1994</v>
      </c>
      <c r="C194" s="29">
        <f t="shared" ca="1" si="6"/>
        <v>32</v>
      </c>
      <c r="D194" s="29" t="str">
        <f>Sales_data!D192</f>
        <v>13/05/2026</v>
      </c>
      <c r="E194" s="29" t="str">
        <f>Sales_data!E192</f>
        <v>20/05/2026</v>
      </c>
      <c r="F194" s="29">
        <f t="shared" si="7"/>
        <v>7</v>
      </c>
      <c r="G194" s="29" t="str">
        <f t="shared" si="8"/>
        <v>Delayed</v>
      </c>
    </row>
    <row r="195" spans="1:7" ht="15" customHeight="1">
      <c r="A195" s="29" t="str">
        <f>Sales_data!A193</f>
        <v>ORD10192</v>
      </c>
      <c r="B195" s="29" t="str">
        <f>Sales_data!H193</f>
        <v>28/10/2003</v>
      </c>
      <c r="C195" s="29">
        <f t="shared" ca="1" si="6"/>
        <v>22</v>
      </c>
      <c r="D195" s="29" t="str">
        <f>Sales_data!D193</f>
        <v>16/11/2025</v>
      </c>
      <c r="E195" s="29" t="str">
        <f>Sales_data!E193</f>
        <v>20/11/2025</v>
      </c>
      <c r="F195" s="29">
        <f t="shared" si="7"/>
        <v>4</v>
      </c>
      <c r="G195" s="29" t="str">
        <f t="shared" si="8"/>
        <v>OnTime</v>
      </c>
    </row>
    <row r="196" spans="1:7" ht="15" customHeight="1">
      <c r="A196" s="29" t="str">
        <f>Sales_data!A194</f>
        <v>ORD10193</v>
      </c>
      <c r="B196" s="29" t="str">
        <f>Sales_data!H194</f>
        <v>16/05/2000</v>
      </c>
      <c r="C196" s="29">
        <f t="shared" ref="C196:C259" ca="1" si="9">IFERROR(DATEDIF(DATE(VALUE(RIGHT(B196,4)),VALUE(MID(B196,4,2)),VALUE(LEFT(B196,2))),TODAY(),"Y"),"")</f>
        <v>26</v>
      </c>
      <c r="D196" s="29" t="str">
        <f>Sales_data!D194</f>
        <v>23/10/2025</v>
      </c>
      <c r="E196" s="29" t="str">
        <f>Sales_data!E194</f>
        <v>04/11/2025</v>
      </c>
      <c r="F196" s="29">
        <f t="shared" ref="F196:F259" si="10">IF(E196="","",IFERROR(DATE(VALUE(RIGHT(E196,4)),VALUE(MID(E196,4,2)),VALUE(LEFT(E196,2)))-DATE(VALUE(RIGHT(D196,4)),VALUE(MID(D196,4,2)),VALUE(LEFT(D196,2))),""))</f>
        <v>12</v>
      </c>
      <c r="G196" s="29" t="str">
        <f t="shared" ref="G196:G259" si="11">IF(E196="","Pending",IF(F196="","Pending",IF(F196&lt;=5,"OnTime","Delayed")))</f>
        <v>Delayed</v>
      </c>
    </row>
    <row r="197" spans="1:7" ht="15" customHeight="1">
      <c r="A197" s="29" t="str">
        <f>Sales_data!A195</f>
        <v>ORD10194</v>
      </c>
      <c r="B197" s="29" t="str">
        <f>Sales_data!H195</f>
        <v>04/07/1989</v>
      </c>
      <c r="C197" s="29">
        <f t="shared" ca="1" si="9"/>
        <v>37</v>
      </c>
      <c r="D197" s="29" t="str">
        <f>Sales_data!D195</f>
        <v>16/02/2025</v>
      </c>
      <c r="E197" s="29" t="str">
        <f>Sales_data!E195</f>
        <v>18/02/2025</v>
      </c>
      <c r="F197" s="29">
        <f t="shared" si="10"/>
        <v>2</v>
      </c>
      <c r="G197" s="29" t="str">
        <f t="shared" si="11"/>
        <v>OnTime</v>
      </c>
    </row>
    <row r="198" spans="1:7" ht="15" customHeight="1">
      <c r="A198" s="29" t="str">
        <f>Sales_data!A196</f>
        <v>ORD10195</v>
      </c>
      <c r="B198" s="29" t="str">
        <f>Sales_data!H196</f>
        <v>09/03/1998</v>
      </c>
      <c r="C198" s="29">
        <f t="shared" ca="1" si="9"/>
        <v>28</v>
      </c>
      <c r="D198" s="29" t="str">
        <f>Sales_data!D196</f>
        <v>11/12/2025</v>
      </c>
      <c r="E198" s="29" t="str">
        <f>Sales_data!E196</f>
        <v>14/12/2025</v>
      </c>
      <c r="F198" s="29">
        <f t="shared" si="10"/>
        <v>3</v>
      </c>
      <c r="G198" s="29" t="str">
        <f t="shared" si="11"/>
        <v>OnTime</v>
      </c>
    </row>
    <row r="199" spans="1:7" ht="15" customHeight="1">
      <c r="A199" s="29" t="str">
        <f>Sales_data!A197</f>
        <v>ORD10196</v>
      </c>
      <c r="B199" s="29" t="str">
        <f>Sales_data!H197</f>
        <v>21/05/1988</v>
      </c>
      <c r="C199" s="29">
        <f t="shared" ca="1" si="9"/>
        <v>38</v>
      </c>
      <c r="D199" s="29" t="str">
        <f>Sales_data!D197</f>
        <v>28/04/2025</v>
      </c>
      <c r="E199" s="29" t="str">
        <f>Sales_data!E197</f>
        <v>09/05/2025</v>
      </c>
      <c r="F199" s="29">
        <f t="shared" si="10"/>
        <v>11</v>
      </c>
      <c r="G199" s="29" t="str">
        <f t="shared" si="11"/>
        <v>Delayed</v>
      </c>
    </row>
    <row r="200" spans="1:7" ht="15" customHeight="1">
      <c r="A200" s="29" t="str">
        <f>Sales_data!A198</f>
        <v>ORD10197</v>
      </c>
      <c r="B200" s="29" t="str">
        <f>Sales_data!H198</f>
        <v>18/07/1994</v>
      </c>
      <c r="C200" s="29">
        <f t="shared" ca="1" si="9"/>
        <v>32</v>
      </c>
      <c r="D200" s="29" t="str">
        <f>Sales_data!D198</f>
        <v>11/01/2026</v>
      </c>
      <c r="E200" s="29" t="str">
        <f>Sales_data!E198</f>
        <v>14/01/2026</v>
      </c>
      <c r="F200" s="29">
        <f t="shared" si="10"/>
        <v>3</v>
      </c>
      <c r="G200" s="29" t="str">
        <f t="shared" si="11"/>
        <v>OnTime</v>
      </c>
    </row>
    <row r="201" spans="1:7" ht="15" customHeight="1">
      <c r="A201" s="29" t="str">
        <f>Sales_data!A199</f>
        <v>ORD10198</v>
      </c>
      <c r="B201" s="29" t="str">
        <f>Sales_data!H199</f>
        <v>15/11/1977</v>
      </c>
      <c r="C201" s="29">
        <f t="shared" ca="1" si="9"/>
        <v>48</v>
      </c>
      <c r="D201" s="29" t="str">
        <f>Sales_data!D199</f>
        <v>01/03/2025</v>
      </c>
      <c r="E201" s="29" t="str">
        <f>Sales_data!E199</f>
        <v>06/03/2025</v>
      </c>
      <c r="F201" s="29">
        <f t="shared" si="10"/>
        <v>5</v>
      </c>
      <c r="G201" s="29" t="str">
        <f t="shared" si="11"/>
        <v>OnTime</v>
      </c>
    </row>
    <row r="202" spans="1:7" ht="15" customHeight="1">
      <c r="A202" s="29" t="str">
        <f>Sales_data!A200</f>
        <v>ORD10199</v>
      </c>
      <c r="B202" s="29" t="str">
        <f>Sales_data!H200</f>
        <v>22/09/1982</v>
      </c>
      <c r="C202" s="29">
        <f t="shared" ca="1" si="9"/>
        <v>44</v>
      </c>
      <c r="D202" s="29" t="str">
        <f>Sales_data!D200</f>
        <v>15/04/2026</v>
      </c>
      <c r="E202" s="29" t="str">
        <f>Sales_data!E200</f>
        <v>27/04/2026</v>
      </c>
      <c r="F202" s="29">
        <f t="shared" si="10"/>
        <v>12</v>
      </c>
      <c r="G202" s="29" t="str">
        <f t="shared" si="11"/>
        <v>Delayed</v>
      </c>
    </row>
    <row r="203" spans="1:7" ht="15" customHeight="1">
      <c r="A203" s="29" t="str">
        <f>Sales_data!A201</f>
        <v>ORD10200</v>
      </c>
      <c r="B203" s="29" t="str">
        <f>Sales_data!H201</f>
        <v>14/09/1994</v>
      </c>
      <c r="C203" s="29">
        <f t="shared" ca="1" si="9"/>
        <v>32</v>
      </c>
      <c r="D203" s="29" t="str">
        <f>Sales_data!D201</f>
        <v>20/02/2025</v>
      </c>
      <c r="E203" s="29" t="str">
        <f>Sales_data!E201</f>
        <v>01/03/2025</v>
      </c>
      <c r="F203" s="29">
        <f t="shared" si="10"/>
        <v>9</v>
      </c>
      <c r="G203" s="29" t="str">
        <f t="shared" si="11"/>
        <v>Delayed</v>
      </c>
    </row>
    <row r="204" spans="1:7" ht="15" customHeight="1">
      <c r="A204" s="29" t="str">
        <f>Sales_data!A202</f>
        <v>ORD10201</v>
      </c>
      <c r="B204" s="29" t="str">
        <f>Sales_data!H202</f>
        <v>02/12/1995</v>
      </c>
      <c r="C204" s="29">
        <f t="shared" ca="1" si="9"/>
        <v>30</v>
      </c>
      <c r="D204" s="29" t="str">
        <f>Sales_data!D202</f>
        <v>06/02/2025</v>
      </c>
      <c r="E204" s="29" t="str">
        <f>Sales_data!E202</f>
        <v>09/02/2025</v>
      </c>
      <c r="F204" s="29">
        <f t="shared" si="10"/>
        <v>3</v>
      </c>
      <c r="G204" s="29" t="str">
        <f t="shared" si="11"/>
        <v>OnTime</v>
      </c>
    </row>
    <row r="205" spans="1:7" ht="15" customHeight="1">
      <c r="A205" s="29" t="str">
        <f>Sales_data!A203</f>
        <v>ORD10202</v>
      </c>
      <c r="B205" s="29" t="str">
        <f>Sales_data!H203</f>
        <v>10/07/1985</v>
      </c>
      <c r="C205" s="29">
        <f t="shared" ca="1" si="9"/>
        <v>41</v>
      </c>
      <c r="D205" s="29" t="str">
        <f>Sales_data!D203</f>
        <v>24/05/2025</v>
      </c>
      <c r="E205" s="29" t="str">
        <f>Sales_data!E203</f>
        <v>27/05/2025</v>
      </c>
      <c r="F205" s="29">
        <f t="shared" si="10"/>
        <v>3</v>
      </c>
      <c r="G205" s="29" t="str">
        <f t="shared" si="11"/>
        <v>OnTime</v>
      </c>
    </row>
    <row r="206" spans="1:7" ht="15" customHeight="1">
      <c r="A206" s="29" t="str">
        <f>Sales_data!A204</f>
        <v>ORD10203</v>
      </c>
      <c r="B206" s="29" t="str">
        <f>Sales_data!H204</f>
        <v>25/03/2001</v>
      </c>
      <c r="C206" s="29">
        <f t="shared" ca="1" si="9"/>
        <v>25</v>
      </c>
      <c r="D206" s="29" t="str">
        <f>Sales_data!D204</f>
        <v>06/01/2026</v>
      </c>
      <c r="E206" s="29" t="str">
        <f>Sales_data!E204</f>
        <v>12/01/2026</v>
      </c>
      <c r="F206" s="29">
        <f t="shared" si="10"/>
        <v>6</v>
      </c>
      <c r="G206" s="29" t="str">
        <f t="shared" si="11"/>
        <v>Delayed</v>
      </c>
    </row>
    <row r="207" spans="1:7" ht="15" customHeight="1">
      <c r="A207" s="29" t="str">
        <f>Sales_data!A205</f>
        <v>ORD10204</v>
      </c>
      <c r="B207" s="29" t="str">
        <f>Sales_data!H205</f>
        <v>27/04/1981</v>
      </c>
      <c r="C207" s="29">
        <f t="shared" ca="1" si="9"/>
        <v>45</v>
      </c>
      <c r="D207" s="29" t="str">
        <f>Sales_data!D205</f>
        <v>08/03/2026</v>
      </c>
      <c r="E207" s="29" t="str">
        <f>Sales_data!E205</f>
        <v>09/03/2026</v>
      </c>
      <c r="F207" s="29">
        <f t="shared" si="10"/>
        <v>1</v>
      </c>
      <c r="G207" s="29" t="str">
        <f t="shared" si="11"/>
        <v>OnTime</v>
      </c>
    </row>
    <row r="208" spans="1:7" ht="15" customHeight="1">
      <c r="A208" s="29" t="str">
        <f>Sales_data!A206</f>
        <v>ORD10205</v>
      </c>
      <c r="B208" s="29" t="str">
        <f>Sales_data!H206</f>
        <v>14/01/2003</v>
      </c>
      <c r="C208" s="29">
        <f t="shared" ca="1" si="9"/>
        <v>23</v>
      </c>
      <c r="D208" s="29" t="str">
        <f>Sales_data!D206</f>
        <v>05/10/2025</v>
      </c>
      <c r="E208" s="29" t="str">
        <f>Sales_data!E206</f>
        <v>09/10/2025</v>
      </c>
      <c r="F208" s="29">
        <f t="shared" si="10"/>
        <v>4</v>
      </c>
      <c r="G208" s="29" t="str">
        <f t="shared" si="11"/>
        <v>OnTime</v>
      </c>
    </row>
    <row r="209" spans="1:7" ht="15" customHeight="1">
      <c r="A209" s="29" t="str">
        <f>Sales_data!A207</f>
        <v>ORD10206</v>
      </c>
      <c r="B209" s="29" t="str">
        <f>Sales_data!H207</f>
        <v>02/10/1980</v>
      </c>
      <c r="C209" s="29">
        <f t="shared" ca="1" si="9"/>
        <v>46</v>
      </c>
      <c r="D209" s="29" t="str">
        <f>Sales_data!D207</f>
        <v>06/03/2025</v>
      </c>
      <c r="E209" s="29" t="str">
        <f>Sales_data!E207</f>
        <v>12/03/2025</v>
      </c>
      <c r="F209" s="29">
        <f t="shared" si="10"/>
        <v>6</v>
      </c>
      <c r="G209" s="29" t="str">
        <f t="shared" si="11"/>
        <v>Delayed</v>
      </c>
    </row>
    <row r="210" spans="1:7" ht="15" customHeight="1">
      <c r="A210" s="29" t="str">
        <f>Sales_data!A208</f>
        <v>ORD10207</v>
      </c>
      <c r="B210" s="29" t="str">
        <f>Sales_data!H208</f>
        <v>24/10/1990</v>
      </c>
      <c r="C210" s="29">
        <f t="shared" ca="1" si="9"/>
        <v>35</v>
      </c>
      <c r="D210" s="29" t="str">
        <f>Sales_data!D208</f>
        <v>06/04/2026</v>
      </c>
      <c r="E210" s="29" t="str">
        <f>Sales_data!E208</f>
        <v>15/04/2026</v>
      </c>
      <c r="F210" s="29">
        <f t="shared" si="10"/>
        <v>9</v>
      </c>
      <c r="G210" s="29" t="str">
        <f t="shared" si="11"/>
        <v>Delayed</v>
      </c>
    </row>
    <row r="211" spans="1:7" ht="15" customHeight="1">
      <c r="A211" s="29" t="str">
        <f>Sales_data!A209</f>
        <v>ORD10208</v>
      </c>
      <c r="B211" s="29" t="str">
        <f>Sales_data!H209</f>
        <v>24/09/1977</v>
      </c>
      <c r="C211" s="29">
        <f t="shared" ca="1" si="9"/>
        <v>49</v>
      </c>
      <c r="D211" s="29" t="str">
        <f>Sales_data!D209</f>
        <v>17/01/2026</v>
      </c>
      <c r="E211" s="29" t="str">
        <f>Sales_data!E209</f>
        <v>20/01/2026</v>
      </c>
      <c r="F211" s="29">
        <f t="shared" si="10"/>
        <v>3</v>
      </c>
      <c r="G211" s="29" t="str">
        <f t="shared" si="11"/>
        <v>OnTime</v>
      </c>
    </row>
    <row r="212" spans="1:7" ht="15" customHeight="1">
      <c r="A212" s="29" t="str">
        <f>Sales_data!A210</f>
        <v>ORD10209</v>
      </c>
      <c r="B212" s="29" t="str">
        <f>Sales_data!H210</f>
        <v>02/10/1996</v>
      </c>
      <c r="C212" s="29">
        <f t="shared" ca="1" si="9"/>
        <v>30</v>
      </c>
      <c r="D212" s="29" t="str">
        <f>Sales_data!D210</f>
        <v>15/11/2025</v>
      </c>
      <c r="E212" s="29" t="str">
        <f>Sales_data!E210</f>
        <v>24/11/2025</v>
      </c>
      <c r="F212" s="29">
        <f t="shared" si="10"/>
        <v>9</v>
      </c>
      <c r="G212" s="29" t="str">
        <f t="shared" si="11"/>
        <v>Delayed</v>
      </c>
    </row>
    <row r="213" spans="1:7" ht="15" customHeight="1">
      <c r="A213" s="29" t="str">
        <f>Sales_data!A211</f>
        <v>ORD10210</v>
      </c>
      <c r="B213" s="29" t="str">
        <f>Sales_data!H211</f>
        <v>17/05/1976</v>
      </c>
      <c r="C213" s="29">
        <f t="shared" ca="1" si="9"/>
        <v>50</v>
      </c>
      <c r="D213" s="29" t="str">
        <f>Sales_data!D211</f>
        <v>21/09/2025</v>
      </c>
      <c r="E213" s="29" t="str">
        <f>Sales_data!E211</f>
        <v>23/09/2025</v>
      </c>
      <c r="F213" s="29">
        <f t="shared" si="10"/>
        <v>2</v>
      </c>
      <c r="G213" s="29" t="str">
        <f t="shared" si="11"/>
        <v>OnTime</v>
      </c>
    </row>
    <row r="214" spans="1:7" ht="15" customHeight="1">
      <c r="A214" s="29" t="str">
        <f>Sales_data!A212</f>
        <v>ORD10211</v>
      </c>
      <c r="B214" s="29" t="str">
        <f>Sales_data!H212</f>
        <v>09/12/1987</v>
      </c>
      <c r="C214" s="29">
        <f t="shared" ca="1" si="9"/>
        <v>38</v>
      </c>
      <c r="D214" s="29" t="str">
        <f>Sales_data!D212</f>
        <v>18/12/2025</v>
      </c>
      <c r="E214" s="29" t="str">
        <f>Sales_data!E212</f>
        <v>27/12/2025</v>
      </c>
      <c r="F214" s="29">
        <f t="shared" si="10"/>
        <v>9</v>
      </c>
      <c r="G214" s="29" t="str">
        <f t="shared" si="11"/>
        <v>Delayed</v>
      </c>
    </row>
    <row r="215" spans="1:7" ht="15" customHeight="1">
      <c r="A215" s="29" t="str">
        <f>Sales_data!A213</f>
        <v>ORD10212</v>
      </c>
      <c r="B215" s="29" t="str">
        <f>Sales_data!H213</f>
        <v>16/07/1990</v>
      </c>
      <c r="C215" s="29">
        <f t="shared" ca="1" si="9"/>
        <v>36</v>
      </c>
      <c r="D215" s="29" t="str">
        <f>Sales_data!D213</f>
        <v>06/02/2025</v>
      </c>
      <c r="E215" s="29" t="str">
        <f>Sales_data!E213</f>
        <v>16/02/2025</v>
      </c>
      <c r="F215" s="29">
        <f t="shared" si="10"/>
        <v>10</v>
      </c>
      <c r="G215" s="29" t="str">
        <f t="shared" si="11"/>
        <v>Delayed</v>
      </c>
    </row>
    <row r="216" spans="1:7" ht="15" customHeight="1">
      <c r="A216" s="29" t="str">
        <f>Sales_data!A214</f>
        <v>ORD10213</v>
      </c>
      <c r="B216" s="29" t="str">
        <f>Sales_data!H214</f>
        <v>09/08/1991</v>
      </c>
      <c r="C216" s="29">
        <f t="shared" ca="1" si="9"/>
        <v>35</v>
      </c>
      <c r="D216" s="29" t="str">
        <f>Sales_data!D214</f>
        <v>02/06/2025</v>
      </c>
      <c r="E216" s="29" t="str">
        <f>Sales_data!E214</f>
        <v>08/06/2025</v>
      </c>
      <c r="F216" s="29">
        <f t="shared" si="10"/>
        <v>6</v>
      </c>
      <c r="G216" s="29" t="str">
        <f t="shared" si="11"/>
        <v>Delayed</v>
      </c>
    </row>
    <row r="217" spans="1:7" ht="15" customHeight="1">
      <c r="A217" s="29" t="str">
        <f>Sales_data!A215</f>
        <v>ORD10214</v>
      </c>
      <c r="B217" s="29" t="str">
        <f>Sales_data!H215</f>
        <v>26/12/1977</v>
      </c>
      <c r="C217" s="29">
        <f t="shared" ca="1" si="9"/>
        <v>48</v>
      </c>
      <c r="D217" s="29" t="str">
        <f>Sales_data!D215</f>
        <v>22/04/2026</v>
      </c>
      <c r="E217" s="29" t="str">
        <f>Sales_data!E215</f>
        <v>04/05/2026</v>
      </c>
      <c r="F217" s="29">
        <f t="shared" si="10"/>
        <v>12</v>
      </c>
      <c r="G217" s="29" t="str">
        <f t="shared" si="11"/>
        <v>Delayed</v>
      </c>
    </row>
    <row r="218" spans="1:7" ht="15" customHeight="1">
      <c r="A218" s="29" t="str">
        <f>Sales_data!A216</f>
        <v>ORD10215</v>
      </c>
      <c r="B218" s="29" t="str">
        <f>Sales_data!H216</f>
        <v>04/06/1995</v>
      </c>
      <c r="C218" s="29">
        <f t="shared" ca="1" si="9"/>
        <v>31</v>
      </c>
      <c r="D218" s="29" t="str">
        <f>Sales_data!D216</f>
        <v>06/03/2026</v>
      </c>
      <c r="E218" s="29" t="str">
        <f>Sales_data!E216</f>
        <v>16/03/2026</v>
      </c>
      <c r="F218" s="29">
        <f t="shared" si="10"/>
        <v>10</v>
      </c>
      <c r="G218" s="29" t="str">
        <f t="shared" si="11"/>
        <v>Delayed</v>
      </c>
    </row>
    <row r="219" spans="1:7" ht="15" customHeight="1">
      <c r="A219" s="29" t="str">
        <f>Sales_data!A217</f>
        <v>ORD10216</v>
      </c>
      <c r="B219" s="29" t="str">
        <f>Sales_data!H217</f>
        <v>16/11/1983</v>
      </c>
      <c r="C219" s="29">
        <f t="shared" ca="1" si="9"/>
        <v>42</v>
      </c>
      <c r="D219" s="29" t="str">
        <f>Sales_data!D217</f>
        <v>28/02/2025</v>
      </c>
      <c r="E219" s="29" t="str">
        <f>Sales_data!E217</f>
        <v>12/03/2025</v>
      </c>
      <c r="F219" s="29">
        <f t="shared" si="10"/>
        <v>12</v>
      </c>
      <c r="G219" s="29" t="str">
        <f t="shared" si="11"/>
        <v>Delayed</v>
      </c>
    </row>
    <row r="220" spans="1:7" ht="15" customHeight="1">
      <c r="A220" s="29" t="str">
        <f>Sales_data!A218</f>
        <v>ORD10217</v>
      </c>
      <c r="B220" s="29" t="str">
        <f>Sales_data!H218</f>
        <v>10/10/1985</v>
      </c>
      <c r="C220" s="29">
        <f t="shared" ca="1" si="9"/>
        <v>41</v>
      </c>
      <c r="D220" s="29" t="str">
        <f>Sales_data!D218</f>
        <v>31/10/2025</v>
      </c>
      <c r="E220" s="29" t="str">
        <f>Sales_data!E218</f>
        <v>07/11/2025</v>
      </c>
      <c r="F220" s="29">
        <f t="shared" si="10"/>
        <v>7</v>
      </c>
      <c r="G220" s="29" t="str">
        <f t="shared" si="11"/>
        <v>Delayed</v>
      </c>
    </row>
    <row r="221" spans="1:7" ht="15" customHeight="1">
      <c r="A221" s="29" t="str">
        <f>Sales_data!A219</f>
        <v>ORD10218</v>
      </c>
      <c r="B221" s="29" t="str">
        <f>Sales_data!H219</f>
        <v>07/01/2002</v>
      </c>
      <c r="C221" s="29">
        <f t="shared" ca="1" si="9"/>
        <v>24</v>
      </c>
      <c r="D221" s="29" t="str">
        <f>Sales_data!D219</f>
        <v>30/01/2026</v>
      </c>
      <c r="E221" s="29" t="str">
        <f>Sales_data!E219</f>
        <v>08/02/2026</v>
      </c>
      <c r="F221" s="29">
        <f t="shared" si="10"/>
        <v>9</v>
      </c>
      <c r="G221" s="29" t="str">
        <f t="shared" si="11"/>
        <v>Delayed</v>
      </c>
    </row>
    <row r="222" spans="1:7" ht="15" customHeight="1">
      <c r="A222" s="29" t="str">
        <f>Sales_data!A220</f>
        <v>ORD10219</v>
      </c>
      <c r="B222" s="29" t="str">
        <f>Sales_data!H220</f>
        <v>18/07/1999</v>
      </c>
      <c r="C222" s="29">
        <f t="shared" ca="1" si="9"/>
        <v>27</v>
      </c>
      <c r="D222" s="29" t="str">
        <f>Sales_data!D220</f>
        <v>29/04/2026</v>
      </c>
      <c r="E222" s="29" t="str">
        <f>Sales_data!E220</f>
        <v>03/05/2026</v>
      </c>
      <c r="F222" s="29">
        <f t="shared" si="10"/>
        <v>4</v>
      </c>
      <c r="G222" s="29" t="str">
        <f t="shared" si="11"/>
        <v>OnTime</v>
      </c>
    </row>
    <row r="223" spans="1:7" ht="15" customHeight="1">
      <c r="A223" s="29" t="str">
        <f>Sales_data!A221</f>
        <v>ORD10220</v>
      </c>
      <c r="B223" s="29" t="str">
        <f>Sales_data!H221</f>
        <v>02/09/1990</v>
      </c>
      <c r="C223" s="29">
        <f t="shared" ca="1" si="9"/>
        <v>36</v>
      </c>
      <c r="D223" s="29" t="str">
        <f>Sales_data!D221</f>
        <v>18/05/2025</v>
      </c>
      <c r="E223" s="29" t="str">
        <f>Sales_data!E221</f>
        <v>20/05/2025</v>
      </c>
      <c r="F223" s="29">
        <f t="shared" si="10"/>
        <v>2</v>
      </c>
      <c r="G223" s="29" t="str">
        <f t="shared" si="11"/>
        <v>OnTime</v>
      </c>
    </row>
    <row r="224" spans="1:7" ht="15" customHeight="1">
      <c r="A224" s="29" t="str">
        <f>Sales_data!A222</f>
        <v>ORD10221</v>
      </c>
      <c r="B224" s="29" t="str">
        <f>Sales_data!H222</f>
        <v>02/08/1992</v>
      </c>
      <c r="C224" s="29">
        <f t="shared" ca="1" si="9"/>
        <v>34</v>
      </c>
      <c r="D224" s="29" t="str">
        <f>Sales_data!D222</f>
        <v>26/03/2026</v>
      </c>
      <c r="E224" s="29" t="str">
        <f>Sales_data!E222</f>
        <v>28/03/2026</v>
      </c>
      <c r="F224" s="29">
        <f t="shared" si="10"/>
        <v>2</v>
      </c>
      <c r="G224" s="29" t="str">
        <f t="shared" si="11"/>
        <v>OnTime</v>
      </c>
    </row>
    <row r="225" spans="1:7" ht="15" customHeight="1">
      <c r="A225" s="29" t="str">
        <f>Sales_data!A223</f>
        <v>ORD10222</v>
      </c>
      <c r="B225" s="29" t="str">
        <f>Sales_data!H223</f>
        <v>09/02/1980</v>
      </c>
      <c r="C225" s="29">
        <f t="shared" ca="1" si="9"/>
        <v>46</v>
      </c>
      <c r="D225" s="29" t="str">
        <f>Sales_data!D223</f>
        <v>19/01/2026</v>
      </c>
      <c r="E225" s="29" t="str">
        <f>Sales_data!E223</f>
        <v>27/01/2026</v>
      </c>
      <c r="F225" s="29">
        <f t="shared" si="10"/>
        <v>8</v>
      </c>
      <c r="G225" s="29" t="str">
        <f t="shared" si="11"/>
        <v>Delayed</v>
      </c>
    </row>
    <row r="226" spans="1:7" ht="15" customHeight="1">
      <c r="A226" s="29" t="str">
        <f>Sales_data!A224</f>
        <v>ORD10223</v>
      </c>
      <c r="B226" s="29" t="str">
        <f>Sales_data!H224</f>
        <v>18/02/1989</v>
      </c>
      <c r="C226" s="29">
        <f t="shared" ca="1" si="9"/>
        <v>37</v>
      </c>
      <c r="D226" s="29" t="str">
        <f>Sales_data!D224</f>
        <v>02/05/2026</v>
      </c>
      <c r="E226" s="29" t="str">
        <f>Sales_data!E224</f>
        <v>10/05/2026</v>
      </c>
      <c r="F226" s="29">
        <f t="shared" si="10"/>
        <v>8</v>
      </c>
      <c r="G226" s="29" t="str">
        <f t="shared" si="11"/>
        <v>Delayed</v>
      </c>
    </row>
    <row r="227" spans="1:7" ht="15" customHeight="1">
      <c r="A227" s="29" t="str">
        <f>Sales_data!A225</f>
        <v>ORD10224</v>
      </c>
      <c r="B227" s="29" t="str">
        <f>Sales_data!H225</f>
        <v>10/09/1993</v>
      </c>
      <c r="C227" s="29">
        <f t="shared" ca="1" si="9"/>
        <v>33</v>
      </c>
      <c r="D227" s="29" t="str">
        <f>Sales_data!D225</f>
        <v>31/10/2025</v>
      </c>
      <c r="E227" s="29" t="str">
        <f>Sales_data!E225</f>
        <v>02/11/2025</v>
      </c>
      <c r="F227" s="29">
        <f t="shared" si="10"/>
        <v>2</v>
      </c>
      <c r="G227" s="29" t="str">
        <f t="shared" si="11"/>
        <v>OnTime</v>
      </c>
    </row>
    <row r="228" spans="1:7" ht="15" customHeight="1">
      <c r="A228" s="29" t="str">
        <f>Sales_data!A226</f>
        <v>ORD10225</v>
      </c>
      <c r="B228" s="29" t="str">
        <f>Sales_data!H226</f>
        <v>17/11/1981</v>
      </c>
      <c r="C228" s="29">
        <f t="shared" ca="1" si="9"/>
        <v>44</v>
      </c>
      <c r="D228" s="29" t="str">
        <f>Sales_data!D226</f>
        <v>20/07/2025</v>
      </c>
      <c r="E228" s="29" t="str">
        <f>Sales_data!E226</f>
        <v>26/07/2025</v>
      </c>
      <c r="F228" s="29">
        <f t="shared" si="10"/>
        <v>6</v>
      </c>
      <c r="G228" s="29" t="str">
        <f t="shared" si="11"/>
        <v>Delayed</v>
      </c>
    </row>
    <row r="229" spans="1:7" ht="15" customHeight="1">
      <c r="A229" s="29" t="str">
        <f>Sales_data!A227</f>
        <v>ORD10226</v>
      </c>
      <c r="B229" s="29" t="str">
        <f>Sales_data!H227</f>
        <v>24/08/2003</v>
      </c>
      <c r="C229" s="29">
        <f t="shared" ca="1" si="9"/>
        <v>23</v>
      </c>
      <c r="D229" s="29" t="str">
        <f>Sales_data!D227</f>
        <v>19/02/2025</v>
      </c>
      <c r="E229" s="29" t="str">
        <f>Sales_data!E227</f>
        <v>24/02/2025</v>
      </c>
      <c r="F229" s="29">
        <f t="shared" si="10"/>
        <v>5</v>
      </c>
      <c r="G229" s="29" t="str">
        <f t="shared" si="11"/>
        <v>OnTime</v>
      </c>
    </row>
    <row r="230" spans="1:7" ht="15" customHeight="1">
      <c r="A230" s="29" t="str">
        <f>Sales_data!A228</f>
        <v>ORD10227</v>
      </c>
      <c r="B230" s="29" t="str">
        <f>Sales_data!H228</f>
        <v>19/07/1985</v>
      </c>
      <c r="C230" s="29">
        <f t="shared" ca="1" si="9"/>
        <v>41</v>
      </c>
      <c r="D230" s="29" t="str">
        <f>Sales_data!D228</f>
        <v>20/04/2025</v>
      </c>
      <c r="E230" s="29" t="str">
        <f>Sales_data!E228</f>
        <v>01/05/2025</v>
      </c>
      <c r="F230" s="29">
        <f t="shared" si="10"/>
        <v>11</v>
      </c>
      <c r="G230" s="29" t="str">
        <f t="shared" si="11"/>
        <v>Delayed</v>
      </c>
    </row>
    <row r="231" spans="1:7" ht="15" customHeight="1">
      <c r="A231" s="29" t="str">
        <f>Sales_data!A229</f>
        <v>ORD10228</v>
      </c>
      <c r="B231" s="29" t="str">
        <f>Sales_data!H229</f>
        <v>10/05/1994</v>
      </c>
      <c r="C231" s="29">
        <f t="shared" ca="1" si="9"/>
        <v>32</v>
      </c>
      <c r="D231" s="29" t="str">
        <f>Sales_data!D229</f>
        <v>05/06/2025</v>
      </c>
      <c r="E231" s="29" t="str">
        <f>Sales_data!E229</f>
        <v>13/06/2025</v>
      </c>
      <c r="F231" s="29">
        <f t="shared" si="10"/>
        <v>8</v>
      </c>
      <c r="G231" s="29" t="str">
        <f t="shared" si="11"/>
        <v>Delayed</v>
      </c>
    </row>
    <row r="232" spans="1:7" ht="15" customHeight="1">
      <c r="A232" s="29" t="str">
        <f>Sales_data!A230</f>
        <v>ORD10229</v>
      </c>
      <c r="B232" s="29" t="str">
        <f>Sales_data!H230</f>
        <v>23/03/1993</v>
      </c>
      <c r="C232" s="29">
        <f t="shared" ca="1" si="9"/>
        <v>33</v>
      </c>
      <c r="D232" s="29" t="str">
        <f>Sales_data!D230</f>
        <v>20/05/2025</v>
      </c>
      <c r="E232" s="29" t="str">
        <f>Sales_data!E230</f>
        <v>23/05/2025</v>
      </c>
      <c r="F232" s="29">
        <f t="shared" si="10"/>
        <v>3</v>
      </c>
      <c r="G232" s="29" t="str">
        <f t="shared" si="11"/>
        <v>OnTime</v>
      </c>
    </row>
    <row r="233" spans="1:7" ht="15" customHeight="1">
      <c r="A233" s="29" t="str">
        <f>Sales_data!A231</f>
        <v>ORD10230</v>
      </c>
      <c r="B233" s="29" t="str">
        <f>Sales_data!H231</f>
        <v>13/06/1979</v>
      </c>
      <c r="C233" s="29">
        <f t="shared" ca="1" si="9"/>
        <v>47</v>
      </c>
      <c r="D233" s="29" t="str">
        <f>Sales_data!D231</f>
        <v>24/01/2026</v>
      </c>
      <c r="E233" s="29" t="str">
        <f>Sales_data!E231</f>
        <v>31/01/2026</v>
      </c>
      <c r="F233" s="29">
        <f t="shared" si="10"/>
        <v>7</v>
      </c>
      <c r="G233" s="29" t="str">
        <f t="shared" si="11"/>
        <v>Delayed</v>
      </c>
    </row>
    <row r="234" spans="1:7" ht="15" customHeight="1">
      <c r="A234" s="29" t="str">
        <f>Sales_data!A232</f>
        <v>ORD10231</v>
      </c>
      <c r="B234" s="29" t="str">
        <f>Sales_data!H232</f>
        <v>24/01/1991</v>
      </c>
      <c r="C234" s="29">
        <f t="shared" ca="1" si="9"/>
        <v>35</v>
      </c>
      <c r="D234" s="29" t="str">
        <f>Sales_data!D232</f>
        <v>02/06/2025</v>
      </c>
      <c r="E234" s="29" t="str">
        <f>Sales_data!E232</f>
        <v>04/06/2025</v>
      </c>
      <c r="F234" s="29">
        <f t="shared" si="10"/>
        <v>2</v>
      </c>
      <c r="G234" s="29" t="str">
        <f t="shared" si="11"/>
        <v>OnTime</v>
      </c>
    </row>
    <row r="235" spans="1:7" ht="15" customHeight="1">
      <c r="A235" s="29" t="str">
        <f>Sales_data!A233</f>
        <v>ORD10232</v>
      </c>
      <c r="B235" s="29" t="str">
        <f>Sales_data!H233</f>
        <v>22/02/2004</v>
      </c>
      <c r="C235" s="29">
        <f t="shared" ca="1" si="9"/>
        <v>22</v>
      </c>
      <c r="D235" s="29" t="str">
        <f>Sales_data!D233</f>
        <v>11/06/2025</v>
      </c>
      <c r="E235" s="29" t="str">
        <f>Sales_data!E233</f>
        <v>19/06/2025</v>
      </c>
      <c r="F235" s="29">
        <f t="shared" si="10"/>
        <v>8</v>
      </c>
      <c r="G235" s="29" t="str">
        <f t="shared" si="11"/>
        <v>Delayed</v>
      </c>
    </row>
    <row r="236" spans="1:7" ht="15" customHeight="1">
      <c r="A236" s="29" t="str">
        <f>Sales_data!A234</f>
        <v>ORD10233</v>
      </c>
      <c r="B236" s="29" t="str">
        <f>Sales_data!H234</f>
        <v>25/04/1977</v>
      </c>
      <c r="C236" s="29">
        <f t="shared" ca="1" si="9"/>
        <v>49</v>
      </c>
      <c r="D236" s="29" t="str">
        <f>Sales_data!D234</f>
        <v>16/01/2026</v>
      </c>
      <c r="E236" s="29" t="str">
        <f>Sales_data!E234</f>
        <v>24/01/2026</v>
      </c>
      <c r="F236" s="29">
        <f t="shared" si="10"/>
        <v>8</v>
      </c>
      <c r="G236" s="29" t="str">
        <f t="shared" si="11"/>
        <v>Delayed</v>
      </c>
    </row>
    <row r="237" spans="1:7" ht="15" customHeight="1">
      <c r="A237" s="29" t="str">
        <f>Sales_data!A235</f>
        <v>ORD10234</v>
      </c>
      <c r="B237" s="29" t="str">
        <f>Sales_data!H235</f>
        <v>22/07/1994</v>
      </c>
      <c r="C237" s="29">
        <f t="shared" ca="1" si="9"/>
        <v>32</v>
      </c>
      <c r="D237" s="29" t="str">
        <f>Sales_data!D235</f>
        <v>20/02/2026</v>
      </c>
      <c r="E237" s="29" t="str">
        <f>Sales_data!E235</f>
        <v>04/03/2026</v>
      </c>
      <c r="F237" s="29">
        <f t="shared" si="10"/>
        <v>12</v>
      </c>
      <c r="G237" s="29" t="str">
        <f t="shared" si="11"/>
        <v>Delayed</v>
      </c>
    </row>
    <row r="238" spans="1:7" ht="15" customHeight="1">
      <c r="A238" s="29" t="str">
        <f>Sales_data!A236</f>
        <v>ORD10235</v>
      </c>
      <c r="B238" s="29" t="str">
        <f>Sales_data!H236</f>
        <v>11/11/1979</v>
      </c>
      <c r="C238" s="29">
        <f t="shared" ca="1" si="9"/>
        <v>46</v>
      </c>
      <c r="D238" s="29" t="str">
        <f>Sales_data!D236</f>
        <v>17/02/2026</v>
      </c>
      <c r="E238" s="29" t="str">
        <f>Sales_data!E236</f>
        <v>25/02/2026</v>
      </c>
      <c r="F238" s="29">
        <f t="shared" si="10"/>
        <v>8</v>
      </c>
      <c r="G238" s="29" t="str">
        <f t="shared" si="11"/>
        <v>Delayed</v>
      </c>
    </row>
    <row r="239" spans="1:7" ht="15" customHeight="1">
      <c r="A239" s="29" t="str">
        <f>Sales_data!A237</f>
        <v>ORD10236</v>
      </c>
      <c r="B239" s="29" t="str">
        <f>Sales_data!H237</f>
        <v>27/05/1995</v>
      </c>
      <c r="C239" s="29">
        <f t="shared" ca="1" si="9"/>
        <v>31</v>
      </c>
      <c r="D239" s="29" t="str">
        <f>Sales_data!D237</f>
        <v>09/07/2025</v>
      </c>
      <c r="E239" s="29" t="str">
        <f>Sales_data!E237</f>
        <v>14/07/2025</v>
      </c>
      <c r="F239" s="29">
        <f t="shared" si="10"/>
        <v>5</v>
      </c>
      <c r="G239" s="29" t="str">
        <f t="shared" si="11"/>
        <v>OnTime</v>
      </c>
    </row>
    <row r="240" spans="1:7" ht="15" customHeight="1">
      <c r="A240" s="29" t="str">
        <f>Sales_data!A238</f>
        <v>ORD10237</v>
      </c>
      <c r="B240" s="29" t="str">
        <f>Sales_data!H238</f>
        <v>18/06/1998</v>
      </c>
      <c r="C240" s="29">
        <f t="shared" ca="1" si="9"/>
        <v>28</v>
      </c>
      <c r="D240" s="29" t="str">
        <f>Sales_data!D238</f>
        <v>08/02/2025</v>
      </c>
      <c r="E240" s="29" t="str">
        <f>Sales_data!E238</f>
        <v>16/02/2025</v>
      </c>
      <c r="F240" s="29">
        <f t="shared" si="10"/>
        <v>8</v>
      </c>
      <c r="G240" s="29" t="str">
        <f t="shared" si="11"/>
        <v>Delayed</v>
      </c>
    </row>
    <row r="241" spans="1:7" ht="15" customHeight="1">
      <c r="A241" s="29" t="str">
        <f>Sales_data!A239</f>
        <v>ORD10238</v>
      </c>
      <c r="B241" s="29" t="str">
        <f>Sales_data!H239</f>
        <v>21/01/1983</v>
      </c>
      <c r="C241" s="29">
        <f t="shared" ca="1" si="9"/>
        <v>43</v>
      </c>
      <c r="D241" s="29" t="str">
        <f>Sales_data!D239</f>
        <v>25/02/2025</v>
      </c>
      <c r="E241" s="29" t="str">
        <f>Sales_data!E239</f>
        <v>04/03/2025</v>
      </c>
      <c r="F241" s="29">
        <f t="shared" si="10"/>
        <v>7</v>
      </c>
      <c r="G241" s="29" t="str">
        <f t="shared" si="11"/>
        <v>Delayed</v>
      </c>
    </row>
    <row r="242" spans="1:7" ht="15" customHeight="1">
      <c r="A242" s="29" t="str">
        <f>Sales_data!A240</f>
        <v>ORD10239</v>
      </c>
      <c r="B242" s="29" t="str">
        <f>Sales_data!H240</f>
        <v>03/03/1978</v>
      </c>
      <c r="C242" s="29">
        <f t="shared" ca="1" si="9"/>
        <v>48</v>
      </c>
      <c r="D242" s="29" t="str">
        <f>Sales_data!D240</f>
        <v>27/01/2026</v>
      </c>
      <c r="E242" s="29" t="str">
        <f>Sales_data!E240</f>
        <v>06/02/2026</v>
      </c>
      <c r="F242" s="29">
        <f t="shared" si="10"/>
        <v>10</v>
      </c>
      <c r="G242" s="29" t="str">
        <f t="shared" si="11"/>
        <v>Delayed</v>
      </c>
    </row>
    <row r="243" spans="1:7" ht="15" customHeight="1">
      <c r="A243" s="29" t="str">
        <f>Sales_data!A241</f>
        <v>ORD10240</v>
      </c>
      <c r="B243" s="29" t="str">
        <f>Sales_data!H241</f>
        <v>24/06/1997</v>
      </c>
      <c r="C243" s="29">
        <f t="shared" ca="1" si="9"/>
        <v>29</v>
      </c>
      <c r="D243" s="29" t="str">
        <f>Sales_data!D241</f>
        <v>08/01/2026</v>
      </c>
      <c r="E243" s="29" t="str">
        <f>Sales_data!E241</f>
        <v>17/01/2026</v>
      </c>
      <c r="F243" s="29">
        <f t="shared" si="10"/>
        <v>9</v>
      </c>
      <c r="G243" s="29" t="str">
        <f t="shared" si="11"/>
        <v>Delayed</v>
      </c>
    </row>
    <row r="244" spans="1:7" ht="15" customHeight="1">
      <c r="A244" s="29" t="str">
        <f>Sales_data!A242</f>
        <v>ORD10241</v>
      </c>
      <c r="B244" s="29" t="str">
        <f>Sales_data!H242</f>
        <v>25/08/1976</v>
      </c>
      <c r="C244" s="29">
        <f t="shared" ca="1" si="9"/>
        <v>50</v>
      </c>
      <c r="D244" s="29" t="str">
        <f>Sales_data!D242</f>
        <v>25/03/2025</v>
      </c>
      <c r="E244" s="29" t="str">
        <f>Sales_data!E242</f>
        <v>27/03/2025</v>
      </c>
      <c r="F244" s="29">
        <f t="shared" si="10"/>
        <v>2</v>
      </c>
      <c r="G244" s="29" t="str">
        <f t="shared" si="11"/>
        <v>OnTime</v>
      </c>
    </row>
    <row r="245" spans="1:7" ht="15" customHeight="1">
      <c r="A245" s="29" t="str">
        <f>Sales_data!A243</f>
        <v>ORD10242</v>
      </c>
      <c r="B245" s="29" t="str">
        <f>Sales_data!H243</f>
        <v>04/04/1996</v>
      </c>
      <c r="C245" s="29">
        <f t="shared" ca="1" si="9"/>
        <v>30</v>
      </c>
      <c r="D245" s="29" t="str">
        <f>Sales_data!D243</f>
        <v>01/09/2025</v>
      </c>
      <c r="E245" s="29" t="str">
        <f>Sales_data!E243</f>
        <v>12/09/2025</v>
      </c>
      <c r="F245" s="29">
        <f t="shared" si="10"/>
        <v>11</v>
      </c>
      <c r="G245" s="29" t="str">
        <f t="shared" si="11"/>
        <v>Delayed</v>
      </c>
    </row>
    <row r="246" spans="1:7" ht="15" customHeight="1">
      <c r="A246" s="29" t="str">
        <f>Sales_data!A244</f>
        <v>ORD10243</v>
      </c>
      <c r="B246" s="29" t="str">
        <f>Sales_data!H244</f>
        <v>09/10/2001</v>
      </c>
      <c r="C246" s="29">
        <f t="shared" ca="1" si="9"/>
        <v>25</v>
      </c>
      <c r="D246" s="29" t="str">
        <f>Sales_data!D244</f>
        <v>09/01/2026</v>
      </c>
      <c r="E246" s="29" t="str">
        <f>Sales_data!E244</f>
        <v>13/01/2026</v>
      </c>
      <c r="F246" s="29">
        <f t="shared" si="10"/>
        <v>4</v>
      </c>
      <c r="G246" s="29" t="str">
        <f t="shared" si="11"/>
        <v>OnTime</v>
      </c>
    </row>
    <row r="247" spans="1:7" ht="15" customHeight="1">
      <c r="A247" s="29" t="str">
        <f>Sales_data!A245</f>
        <v>ORD10244</v>
      </c>
      <c r="B247" s="29" t="str">
        <f>Sales_data!H245</f>
        <v>11/04/1995</v>
      </c>
      <c r="C247" s="29">
        <f t="shared" ca="1" si="9"/>
        <v>31</v>
      </c>
      <c r="D247" s="29" t="str">
        <f>Sales_data!D245</f>
        <v>16/05/2026</v>
      </c>
      <c r="E247" s="29" t="str">
        <f>Sales_data!E245</f>
        <v>19/05/2026</v>
      </c>
      <c r="F247" s="29">
        <f t="shared" si="10"/>
        <v>3</v>
      </c>
      <c r="G247" s="29" t="str">
        <f t="shared" si="11"/>
        <v>OnTime</v>
      </c>
    </row>
    <row r="248" spans="1:7" ht="15" customHeight="1">
      <c r="A248" s="29" t="str">
        <f>Sales_data!A246</f>
        <v>ORD10245</v>
      </c>
      <c r="B248" s="29" t="str">
        <f>Sales_data!H246</f>
        <v>04/05/2000</v>
      </c>
      <c r="C248" s="29">
        <f t="shared" ca="1" si="9"/>
        <v>26</v>
      </c>
      <c r="D248" s="29" t="str">
        <f>Sales_data!D246</f>
        <v>13/10/2025</v>
      </c>
      <c r="E248" s="29" t="str">
        <f>Sales_data!E246</f>
        <v>14/10/2025</v>
      </c>
      <c r="F248" s="29">
        <f t="shared" si="10"/>
        <v>1</v>
      </c>
      <c r="G248" s="29" t="str">
        <f t="shared" si="11"/>
        <v>OnTime</v>
      </c>
    </row>
    <row r="249" spans="1:7" ht="15" customHeight="1">
      <c r="A249" s="29" t="str">
        <f>Sales_data!A247</f>
        <v>ORD10246</v>
      </c>
      <c r="B249" s="29" t="str">
        <f>Sales_data!H247</f>
        <v>01/03/2002</v>
      </c>
      <c r="C249" s="29">
        <f t="shared" ca="1" si="9"/>
        <v>24</v>
      </c>
      <c r="D249" s="29" t="str">
        <f>Sales_data!D247</f>
        <v>25/05/2025</v>
      </c>
      <c r="E249" s="29" t="str">
        <f>Sales_data!E247</f>
        <v>01/06/2025</v>
      </c>
      <c r="F249" s="29">
        <f t="shared" si="10"/>
        <v>7</v>
      </c>
      <c r="G249" s="29" t="str">
        <f t="shared" si="11"/>
        <v>Delayed</v>
      </c>
    </row>
    <row r="250" spans="1:7" ht="15" customHeight="1">
      <c r="A250" s="29" t="str">
        <f>Sales_data!A248</f>
        <v>ORD10247</v>
      </c>
      <c r="B250" s="29" t="str">
        <f>Sales_data!H248</f>
        <v>27/05/1975</v>
      </c>
      <c r="C250" s="29">
        <f t="shared" ca="1" si="9"/>
        <v>51</v>
      </c>
      <c r="D250" s="29" t="str">
        <f>Sales_data!D248</f>
        <v>03/01/2026</v>
      </c>
      <c r="E250" s="29" t="str">
        <f>Sales_data!E248</f>
        <v>04/01/2026</v>
      </c>
      <c r="F250" s="29">
        <f t="shared" si="10"/>
        <v>1</v>
      </c>
      <c r="G250" s="29" t="str">
        <f t="shared" si="11"/>
        <v>OnTime</v>
      </c>
    </row>
    <row r="251" spans="1:7" ht="15" customHeight="1">
      <c r="A251" s="29" t="str">
        <f>Sales_data!A249</f>
        <v>ORD10248</v>
      </c>
      <c r="B251" s="29" t="str">
        <f>Sales_data!H249</f>
        <v>02/12/1988</v>
      </c>
      <c r="C251" s="29">
        <f t="shared" ca="1" si="9"/>
        <v>37</v>
      </c>
      <c r="D251" s="29" t="str">
        <f>Sales_data!D249</f>
        <v>22/12/2025</v>
      </c>
      <c r="E251" s="29" t="str">
        <f>Sales_data!E249</f>
        <v>02/01/2026</v>
      </c>
      <c r="F251" s="29">
        <f t="shared" si="10"/>
        <v>11</v>
      </c>
      <c r="G251" s="29" t="str">
        <f t="shared" si="11"/>
        <v>Delayed</v>
      </c>
    </row>
    <row r="252" spans="1:7" ht="15" customHeight="1">
      <c r="A252" s="29" t="str">
        <f>Sales_data!A250</f>
        <v>ORD10249</v>
      </c>
      <c r="B252" s="29" t="str">
        <f>Sales_data!H250</f>
        <v>06/12/1984</v>
      </c>
      <c r="C252" s="29">
        <f t="shared" ca="1" si="9"/>
        <v>41</v>
      </c>
      <c r="D252" s="29" t="str">
        <f>Sales_data!D250</f>
        <v>28/12/2025</v>
      </c>
      <c r="E252" s="29" t="str">
        <f>Sales_data!E250</f>
        <v>05/01/2026</v>
      </c>
      <c r="F252" s="29">
        <f t="shared" si="10"/>
        <v>8</v>
      </c>
      <c r="G252" s="29" t="str">
        <f t="shared" si="11"/>
        <v>Delayed</v>
      </c>
    </row>
    <row r="253" spans="1:7" ht="15" customHeight="1">
      <c r="A253" s="29" t="str">
        <f>Sales_data!A251</f>
        <v>ORD10250</v>
      </c>
      <c r="B253" s="29" t="str">
        <f>Sales_data!H251</f>
        <v>01/05/1990</v>
      </c>
      <c r="C253" s="29">
        <f t="shared" ca="1" si="9"/>
        <v>36</v>
      </c>
      <c r="D253" s="29" t="str">
        <f>Sales_data!D251</f>
        <v>15/05/2025</v>
      </c>
      <c r="E253" s="29" t="str">
        <f>Sales_data!E251</f>
        <v>17/05/2025</v>
      </c>
      <c r="F253" s="29">
        <f t="shared" si="10"/>
        <v>2</v>
      </c>
      <c r="G253" s="29" t="str">
        <f t="shared" si="11"/>
        <v>OnTime</v>
      </c>
    </row>
    <row r="254" spans="1:7" ht="15" customHeight="1">
      <c r="A254" s="29" t="str">
        <f>Sales_data!A252</f>
        <v>ORD10251</v>
      </c>
      <c r="B254" s="29" t="str">
        <f>Sales_data!H252</f>
        <v>09/02/1988</v>
      </c>
      <c r="C254" s="29">
        <f t="shared" ca="1" si="9"/>
        <v>38</v>
      </c>
      <c r="D254" s="29" t="str">
        <f>Sales_data!D252</f>
        <v>17/02/2026</v>
      </c>
      <c r="E254" s="29" t="str">
        <f>Sales_data!E252</f>
        <v>25/02/2026</v>
      </c>
      <c r="F254" s="29">
        <f t="shared" si="10"/>
        <v>8</v>
      </c>
      <c r="G254" s="29" t="str">
        <f t="shared" si="11"/>
        <v>Delayed</v>
      </c>
    </row>
    <row r="255" spans="1:7" ht="15" customHeight="1">
      <c r="A255" s="29" t="str">
        <f>Sales_data!A253</f>
        <v>ORD10252</v>
      </c>
      <c r="B255" s="29" t="str">
        <f>Sales_data!H253</f>
        <v>28/03/1982</v>
      </c>
      <c r="C255" s="29">
        <f t="shared" ca="1" si="9"/>
        <v>44</v>
      </c>
      <c r="D255" s="29" t="str">
        <f>Sales_data!D253</f>
        <v>23/03/2025</v>
      </c>
      <c r="E255" s="29" t="str">
        <f>Sales_data!E253</f>
        <v>26/03/2025</v>
      </c>
      <c r="F255" s="29">
        <f t="shared" si="10"/>
        <v>3</v>
      </c>
      <c r="G255" s="29" t="str">
        <f t="shared" si="11"/>
        <v>OnTime</v>
      </c>
    </row>
    <row r="256" spans="1:7" ht="15" customHeight="1">
      <c r="A256" s="29" t="str">
        <f>Sales_data!A254</f>
        <v>ORD10253</v>
      </c>
      <c r="B256" s="29" t="str">
        <f>Sales_data!H254</f>
        <v>28/12/1976</v>
      </c>
      <c r="C256" s="29">
        <f t="shared" ca="1" si="9"/>
        <v>49</v>
      </c>
      <c r="D256" s="29" t="str">
        <f>Sales_data!D254</f>
        <v>15/12/2025</v>
      </c>
      <c r="E256" s="29" t="str">
        <f>Sales_data!E254</f>
        <v>16/12/2025</v>
      </c>
      <c r="F256" s="29">
        <f t="shared" si="10"/>
        <v>1</v>
      </c>
      <c r="G256" s="29" t="str">
        <f t="shared" si="11"/>
        <v>OnTime</v>
      </c>
    </row>
    <row r="257" spans="1:7" ht="15" customHeight="1">
      <c r="A257" s="29" t="str">
        <f>Sales_data!A255</f>
        <v>ORD10254</v>
      </c>
      <c r="B257" s="29" t="str">
        <f>Sales_data!H255</f>
        <v>03/08/2003</v>
      </c>
      <c r="C257" s="29">
        <f t="shared" ca="1" si="9"/>
        <v>23</v>
      </c>
      <c r="D257" s="29" t="str">
        <f>Sales_data!D255</f>
        <v>05/03/2025</v>
      </c>
      <c r="E257" s="29" t="str">
        <f>Sales_data!E255</f>
        <v>15/03/2025</v>
      </c>
      <c r="F257" s="29">
        <f t="shared" si="10"/>
        <v>10</v>
      </c>
      <c r="G257" s="29" t="str">
        <f t="shared" si="11"/>
        <v>Delayed</v>
      </c>
    </row>
    <row r="258" spans="1:7" ht="15" customHeight="1">
      <c r="A258" s="29" t="str">
        <f>Sales_data!A256</f>
        <v>ORD10255</v>
      </c>
      <c r="B258" s="29" t="str">
        <f>Sales_data!H256</f>
        <v>06/05/1986</v>
      </c>
      <c r="C258" s="29">
        <f t="shared" ca="1" si="9"/>
        <v>40</v>
      </c>
      <c r="D258" s="29" t="str">
        <f>Sales_data!D256</f>
        <v>19/09/2025</v>
      </c>
      <c r="E258" s="29" t="str">
        <f>Sales_data!E256</f>
        <v>01/10/2025</v>
      </c>
      <c r="F258" s="29">
        <f t="shared" si="10"/>
        <v>12</v>
      </c>
      <c r="G258" s="29" t="str">
        <f t="shared" si="11"/>
        <v>Delayed</v>
      </c>
    </row>
    <row r="259" spans="1:7" ht="15" customHeight="1">
      <c r="A259" s="29" t="str">
        <f>Sales_data!A257</f>
        <v>ORD10256</v>
      </c>
      <c r="B259" s="29" t="str">
        <f>Sales_data!H257</f>
        <v>04/02/1989</v>
      </c>
      <c r="C259" s="29">
        <f t="shared" ca="1" si="9"/>
        <v>37</v>
      </c>
      <c r="D259" s="29" t="str">
        <f>Sales_data!D257</f>
        <v>03/11/2025</v>
      </c>
      <c r="E259" s="29" t="str">
        <f>Sales_data!E257</f>
        <v>09/11/2025</v>
      </c>
      <c r="F259" s="29">
        <f t="shared" si="10"/>
        <v>6</v>
      </c>
      <c r="G259" s="29" t="str">
        <f t="shared" si="11"/>
        <v>Delayed</v>
      </c>
    </row>
    <row r="260" spans="1:7" ht="15" customHeight="1">
      <c r="A260" s="29" t="str">
        <f>Sales_data!A258</f>
        <v>ORD10257</v>
      </c>
      <c r="B260" s="29" t="str">
        <f>Sales_data!H258</f>
        <v>08/02/1980</v>
      </c>
      <c r="C260" s="29">
        <f t="shared" ref="C260:C323" ca="1" si="12">IFERROR(DATEDIF(DATE(VALUE(RIGHT(B260,4)),VALUE(MID(B260,4,2)),VALUE(LEFT(B260,2))),TODAY(),"Y"),"")</f>
        <v>46</v>
      </c>
      <c r="D260" s="29" t="str">
        <f>Sales_data!D258</f>
        <v>16/06/2025</v>
      </c>
      <c r="E260" s="29" t="str">
        <f>Sales_data!E258</f>
        <v>18/06/2025</v>
      </c>
      <c r="F260" s="29">
        <f t="shared" ref="F260:F323" si="13">IF(E260="","",IFERROR(DATE(VALUE(RIGHT(E260,4)),VALUE(MID(E260,4,2)),VALUE(LEFT(E260,2)))-DATE(VALUE(RIGHT(D260,4)),VALUE(MID(D260,4,2)),VALUE(LEFT(D260,2))),""))</f>
        <v>2</v>
      </c>
      <c r="G260" s="29" t="str">
        <f t="shared" ref="G260:G323" si="14">IF(E260="","Pending",IF(F260="","Pending",IF(F260&lt;=5,"OnTime","Delayed")))</f>
        <v>OnTime</v>
      </c>
    </row>
    <row r="261" spans="1:7" ht="15" customHeight="1">
      <c r="A261" s="29" t="str">
        <f>Sales_data!A259</f>
        <v>ORD10258</v>
      </c>
      <c r="B261" s="29" t="str">
        <f>Sales_data!H259</f>
        <v>13/01/1985</v>
      </c>
      <c r="C261" s="29">
        <f t="shared" ca="1" si="12"/>
        <v>41</v>
      </c>
      <c r="D261" s="29" t="str">
        <f>Sales_data!D259</f>
        <v>04/06/2025</v>
      </c>
      <c r="E261" s="29" t="str">
        <f>Sales_data!E259</f>
        <v>11/06/2025</v>
      </c>
      <c r="F261" s="29">
        <f t="shared" si="13"/>
        <v>7</v>
      </c>
      <c r="G261" s="29" t="str">
        <f t="shared" si="14"/>
        <v>Delayed</v>
      </c>
    </row>
    <row r="262" spans="1:7" ht="15" customHeight="1">
      <c r="A262" s="29" t="str">
        <f>Sales_data!A260</f>
        <v>ORD10259</v>
      </c>
      <c r="B262" s="29" t="str">
        <f>Sales_data!H260</f>
        <v>24/07/1979</v>
      </c>
      <c r="C262" s="29">
        <f t="shared" ca="1" si="12"/>
        <v>47</v>
      </c>
      <c r="D262" s="29" t="str">
        <f>Sales_data!D260</f>
        <v>07/02/2025</v>
      </c>
      <c r="E262" s="29" t="str">
        <f>Sales_data!E260</f>
        <v>12/02/2025</v>
      </c>
      <c r="F262" s="29">
        <f t="shared" si="13"/>
        <v>5</v>
      </c>
      <c r="G262" s="29" t="str">
        <f t="shared" si="14"/>
        <v>OnTime</v>
      </c>
    </row>
    <row r="263" spans="1:7" ht="15" customHeight="1">
      <c r="A263" s="29" t="str">
        <f>Sales_data!A261</f>
        <v>ORD10260</v>
      </c>
      <c r="B263" s="29" t="str">
        <f>Sales_data!H261</f>
        <v>03/08/1993</v>
      </c>
      <c r="C263" s="29">
        <f t="shared" ca="1" si="12"/>
        <v>33</v>
      </c>
      <c r="D263" s="29" t="str">
        <f>Sales_data!D261</f>
        <v>09/05/2026</v>
      </c>
      <c r="E263" s="29" t="str">
        <f>Sales_data!E261</f>
        <v>13/05/2026</v>
      </c>
      <c r="F263" s="29">
        <f t="shared" si="13"/>
        <v>4</v>
      </c>
      <c r="G263" s="29" t="str">
        <f t="shared" si="14"/>
        <v>OnTime</v>
      </c>
    </row>
    <row r="264" spans="1:7" ht="15" customHeight="1">
      <c r="A264" s="29" t="str">
        <f>Sales_data!A262</f>
        <v>ORD10261</v>
      </c>
      <c r="B264" s="29" t="str">
        <f>Sales_data!H262</f>
        <v>23/08/1975</v>
      </c>
      <c r="C264" s="29">
        <f t="shared" ca="1" si="12"/>
        <v>51</v>
      </c>
      <c r="D264" s="29" t="str">
        <f>Sales_data!D262</f>
        <v>20/07/2025</v>
      </c>
      <c r="E264" s="29" t="str">
        <f>Sales_data!E262</f>
        <v>30/07/2025</v>
      </c>
      <c r="F264" s="29">
        <f t="shared" si="13"/>
        <v>10</v>
      </c>
      <c r="G264" s="29" t="str">
        <f t="shared" si="14"/>
        <v>Delayed</v>
      </c>
    </row>
    <row r="265" spans="1:7" ht="15" customHeight="1">
      <c r="A265" s="29" t="str">
        <f>Sales_data!A263</f>
        <v>ORD10262</v>
      </c>
      <c r="B265" s="29" t="str">
        <f>Sales_data!H263</f>
        <v>23/04/1978</v>
      </c>
      <c r="C265" s="29">
        <f t="shared" ca="1" si="12"/>
        <v>48</v>
      </c>
      <c r="D265" s="29" t="str">
        <f>Sales_data!D263</f>
        <v>28/02/2025</v>
      </c>
      <c r="E265" s="29" t="str">
        <f>Sales_data!E263</f>
        <v>07/03/2025</v>
      </c>
      <c r="F265" s="29">
        <f t="shared" si="13"/>
        <v>7</v>
      </c>
      <c r="G265" s="29" t="str">
        <f t="shared" si="14"/>
        <v>Delayed</v>
      </c>
    </row>
    <row r="266" spans="1:7" ht="15" customHeight="1">
      <c r="A266" s="29" t="str">
        <f>Sales_data!A264</f>
        <v>ORD10263</v>
      </c>
      <c r="B266" s="29" t="str">
        <f>Sales_data!H264</f>
        <v>25/09/2003</v>
      </c>
      <c r="C266" s="29">
        <f t="shared" ca="1" si="12"/>
        <v>23</v>
      </c>
      <c r="D266" s="29" t="str">
        <f>Sales_data!D264</f>
        <v>08/07/2025</v>
      </c>
      <c r="E266" s="29" t="str">
        <f>Sales_data!E264</f>
        <v>13/07/2025</v>
      </c>
      <c r="F266" s="29">
        <f t="shared" si="13"/>
        <v>5</v>
      </c>
      <c r="G266" s="29" t="str">
        <f t="shared" si="14"/>
        <v>OnTime</v>
      </c>
    </row>
    <row r="267" spans="1:7" ht="15" customHeight="1">
      <c r="A267" s="29" t="str">
        <f>Sales_data!A265</f>
        <v>ORD10264</v>
      </c>
      <c r="B267" s="29" t="str">
        <f>Sales_data!H265</f>
        <v>09/04/2002</v>
      </c>
      <c r="C267" s="29">
        <f t="shared" ca="1" si="12"/>
        <v>24</v>
      </c>
      <c r="D267" s="29" t="str">
        <f>Sales_data!D265</f>
        <v>12/12/2025</v>
      </c>
      <c r="E267" s="29" t="str">
        <f>Sales_data!E265</f>
        <v>19/12/2025</v>
      </c>
      <c r="F267" s="29">
        <f t="shared" si="13"/>
        <v>7</v>
      </c>
      <c r="G267" s="29" t="str">
        <f t="shared" si="14"/>
        <v>Delayed</v>
      </c>
    </row>
    <row r="268" spans="1:7" ht="15" customHeight="1">
      <c r="A268" s="29" t="str">
        <f>Sales_data!A266</f>
        <v>ORD10265</v>
      </c>
      <c r="B268" s="29" t="str">
        <f>Sales_data!H266</f>
        <v>24/09/1985</v>
      </c>
      <c r="C268" s="29">
        <f t="shared" ca="1" si="12"/>
        <v>41</v>
      </c>
      <c r="D268" s="29" t="str">
        <f>Sales_data!D266</f>
        <v>04/01/2026</v>
      </c>
      <c r="E268" s="29" t="str">
        <f>Sales_data!E266</f>
        <v>14/01/2026</v>
      </c>
      <c r="F268" s="29">
        <f t="shared" si="13"/>
        <v>10</v>
      </c>
      <c r="G268" s="29" t="str">
        <f t="shared" si="14"/>
        <v>Delayed</v>
      </c>
    </row>
    <row r="269" spans="1:7" ht="15" customHeight="1">
      <c r="A269" s="29" t="str">
        <f>Sales_data!A267</f>
        <v>ORD10266</v>
      </c>
      <c r="B269" s="29" t="str">
        <f>Sales_data!H267</f>
        <v>12/12/1984</v>
      </c>
      <c r="C269" s="29">
        <f t="shared" ca="1" si="12"/>
        <v>41</v>
      </c>
      <c r="D269" s="29" t="str">
        <f>Sales_data!D267</f>
        <v>20/08/2025</v>
      </c>
      <c r="E269" s="29" t="str">
        <f>Sales_data!E267</f>
        <v>25/08/2025</v>
      </c>
      <c r="F269" s="29">
        <f t="shared" si="13"/>
        <v>5</v>
      </c>
      <c r="G269" s="29" t="str">
        <f t="shared" si="14"/>
        <v>OnTime</v>
      </c>
    </row>
    <row r="270" spans="1:7" ht="15" customHeight="1">
      <c r="A270" s="29" t="str">
        <f>Sales_data!A268</f>
        <v>ORD10267</v>
      </c>
      <c r="B270" s="29" t="str">
        <f>Sales_data!H268</f>
        <v>20/07/1984</v>
      </c>
      <c r="C270" s="29">
        <f t="shared" ca="1" si="12"/>
        <v>42</v>
      </c>
      <c r="D270" s="29" t="str">
        <f>Sales_data!D268</f>
        <v>03/05/2025</v>
      </c>
      <c r="E270" s="29" t="str">
        <f>Sales_data!E268</f>
        <v>11/05/2025</v>
      </c>
      <c r="F270" s="29">
        <f t="shared" si="13"/>
        <v>8</v>
      </c>
      <c r="G270" s="29" t="str">
        <f t="shared" si="14"/>
        <v>Delayed</v>
      </c>
    </row>
    <row r="271" spans="1:7" ht="15" customHeight="1">
      <c r="A271" s="29" t="str">
        <f>Sales_data!A269</f>
        <v>ORD10268</v>
      </c>
      <c r="B271" s="29" t="str">
        <f>Sales_data!H269</f>
        <v>15/03/1988</v>
      </c>
      <c r="C271" s="29">
        <f t="shared" ca="1" si="12"/>
        <v>38</v>
      </c>
      <c r="D271" s="29" t="str">
        <f>Sales_data!D269</f>
        <v>09/01/2025</v>
      </c>
      <c r="E271" s="29" t="str">
        <f>Sales_data!E269</f>
        <v>12/01/2025</v>
      </c>
      <c r="F271" s="29">
        <f t="shared" si="13"/>
        <v>3</v>
      </c>
      <c r="G271" s="29" t="str">
        <f t="shared" si="14"/>
        <v>OnTime</v>
      </c>
    </row>
    <row r="272" spans="1:7" ht="15" customHeight="1">
      <c r="A272" s="29" t="str">
        <f>Sales_data!A270</f>
        <v>ORD10269</v>
      </c>
      <c r="B272" s="29" t="str">
        <f>Sales_data!H270</f>
        <v>27/05/1987</v>
      </c>
      <c r="C272" s="29">
        <f t="shared" ca="1" si="12"/>
        <v>39</v>
      </c>
      <c r="D272" s="29" t="str">
        <f>Sales_data!D270</f>
        <v>01/09/2025</v>
      </c>
      <c r="E272" s="29" t="str">
        <f>Sales_data!E270</f>
        <v>10/09/2025</v>
      </c>
      <c r="F272" s="29">
        <f t="shared" si="13"/>
        <v>9</v>
      </c>
      <c r="G272" s="29" t="str">
        <f t="shared" si="14"/>
        <v>Delayed</v>
      </c>
    </row>
    <row r="273" spans="1:7" ht="15" customHeight="1">
      <c r="A273" s="29" t="str">
        <f>Sales_data!A271</f>
        <v>ORD10270</v>
      </c>
      <c r="B273" s="29" t="str">
        <f>Sales_data!H271</f>
        <v>25/10/1988</v>
      </c>
      <c r="C273" s="29">
        <f t="shared" ca="1" si="12"/>
        <v>37</v>
      </c>
      <c r="D273" s="29" t="str">
        <f>Sales_data!D271</f>
        <v>02/05/2026</v>
      </c>
      <c r="E273" s="29" t="str">
        <f>Sales_data!E271</f>
        <v>07/05/2026</v>
      </c>
      <c r="F273" s="29">
        <f t="shared" si="13"/>
        <v>5</v>
      </c>
      <c r="G273" s="29" t="str">
        <f t="shared" si="14"/>
        <v>OnTime</v>
      </c>
    </row>
    <row r="274" spans="1:7" ht="15" customHeight="1">
      <c r="A274" s="29" t="str">
        <f>Sales_data!A272</f>
        <v>ORD10271</v>
      </c>
      <c r="B274" s="29" t="str">
        <f>Sales_data!H272</f>
        <v>12/12/1990</v>
      </c>
      <c r="C274" s="29">
        <f t="shared" ca="1" si="12"/>
        <v>35</v>
      </c>
      <c r="D274" s="29" t="str">
        <f>Sales_data!D272</f>
        <v>17/04/2025</v>
      </c>
      <c r="E274" s="29" t="str">
        <f>Sales_data!E272</f>
        <v>26/04/2025</v>
      </c>
      <c r="F274" s="29">
        <f t="shared" si="13"/>
        <v>9</v>
      </c>
      <c r="G274" s="29" t="str">
        <f t="shared" si="14"/>
        <v>Delayed</v>
      </c>
    </row>
    <row r="275" spans="1:7" ht="15" customHeight="1">
      <c r="A275" s="29" t="str">
        <f>Sales_data!A273</f>
        <v>ORD10272</v>
      </c>
      <c r="B275" s="29" t="str">
        <f>Sales_data!H273</f>
        <v>23/02/1981</v>
      </c>
      <c r="C275" s="29">
        <f t="shared" ca="1" si="12"/>
        <v>45</v>
      </c>
      <c r="D275" s="29" t="str">
        <f>Sales_data!D273</f>
        <v>09/08/2025</v>
      </c>
      <c r="E275" s="29" t="str">
        <f>Sales_data!E273</f>
        <v>18/08/2025</v>
      </c>
      <c r="F275" s="29">
        <f t="shared" si="13"/>
        <v>9</v>
      </c>
      <c r="G275" s="29" t="str">
        <f t="shared" si="14"/>
        <v>Delayed</v>
      </c>
    </row>
    <row r="276" spans="1:7" ht="15" customHeight="1">
      <c r="A276" s="29" t="str">
        <f>Sales_data!A274</f>
        <v>ORD10273</v>
      </c>
      <c r="B276" s="29" t="str">
        <f>Sales_data!H274</f>
        <v>03/04/1985</v>
      </c>
      <c r="C276" s="29">
        <f t="shared" ca="1" si="12"/>
        <v>41</v>
      </c>
      <c r="D276" s="29" t="str">
        <f>Sales_data!D274</f>
        <v>04/04/2026</v>
      </c>
      <c r="E276" s="29" t="str">
        <f>Sales_data!E274</f>
        <v>16/04/2026</v>
      </c>
      <c r="F276" s="29">
        <f t="shared" si="13"/>
        <v>12</v>
      </c>
      <c r="G276" s="29" t="str">
        <f t="shared" si="14"/>
        <v>Delayed</v>
      </c>
    </row>
    <row r="277" spans="1:7" ht="15" customHeight="1">
      <c r="A277" s="29" t="str">
        <f>Sales_data!A275</f>
        <v>ORD10274</v>
      </c>
      <c r="B277" s="29" t="str">
        <f>Sales_data!H275</f>
        <v>06/08/1976</v>
      </c>
      <c r="C277" s="29">
        <f t="shared" ca="1" si="12"/>
        <v>50</v>
      </c>
      <c r="D277" s="29" t="str">
        <f>Sales_data!D275</f>
        <v>22/06/2025</v>
      </c>
      <c r="E277" s="29" t="str">
        <f>Sales_data!E275</f>
        <v>28/06/2025</v>
      </c>
      <c r="F277" s="29">
        <f t="shared" si="13"/>
        <v>6</v>
      </c>
      <c r="G277" s="29" t="str">
        <f t="shared" si="14"/>
        <v>Delayed</v>
      </c>
    </row>
    <row r="278" spans="1:7" ht="15" customHeight="1">
      <c r="A278" s="29" t="str">
        <f>Sales_data!A276</f>
        <v>ORD10275</v>
      </c>
      <c r="B278" s="29" t="str">
        <f>Sales_data!H276</f>
        <v>13/05/1978</v>
      </c>
      <c r="C278" s="29">
        <f t="shared" ca="1" si="12"/>
        <v>48</v>
      </c>
      <c r="D278" s="29" t="str">
        <f>Sales_data!D276</f>
        <v>19/05/2025</v>
      </c>
      <c r="E278" s="29" t="str">
        <f>Sales_data!E276</f>
        <v>24/05/2025</v>
      </c>
      <c r="F278" s="29">
        <f t="shared" si="13"/>
        <v>5</v>
      </c>
      <c r="G278" s="29" t="str">
        <f t="shared" si="14"/>
        <v>OnTime</v>
      </c>
    </row>
    <row r="279" spans="1:7" ht="15" customHeight="1">
      <c r="A279" s="29" t="str">
        <f>Sales_data!A277</f>
        <v>ORD10276</v>
      </c>
      <c r="B279" s="29" t="str">
        <f>Sales_data!H277</f>
        <v>19/08/1998</v>
      </c>
      <c r="C279" s="29">
        <f t="shared" ca="1" si="12"/>
        <v>28</v>
      </c>
      <c r="D279" s="29" t="str">
        <f>Sales_data!D277</f>
        <v>29/03/2025</v>
      </c>
      <c r="E279" s="29" t="str">
        <f>Sales_data!E277</f>
        <v>07/04/2025</v>
      </c>
      <c r="F279" s="29">
        <f t="shared" si="13"/>
        <v>9</v>
      </c>
      <c r="G279" s="29" t="str">
        <f t="shared" si="14"/>
        <v>Delayed</v>
      </c>
    </row>
    <row r="280" spans="1:7" ht="15" customHeight="1">
      <c r="A280" s="29" t="str">
        <f>Sales_data!A278</f>
        <v>ORD10277</v>
      </c>
      <c r="B280" s="29" t="str">
        <f>Sales_data!H278</f>
        <v>20/10/1975</v>
      </c>
      <c r="C280" s="29">
        <f t="shared" ca="1" si="12"/>
        <v>50</v>
      </c>
      <c r="D280" s="29" t="str">
        <f>Sales_data!D278</f>
        <v>18/02/2026</v>
      </c>
      <c r="E280" s="29" t="str">
        <f>Sales_data!E278</f>
        <v>22/02/2026</v>
      </c>
      <c r="F280" s="29">
        <f t="shared" si="13"/>
        <v>4</v>
      </c>
      <c r="G280" s="29" t="str">
        <f t="shared" si="14"/>
        <v>OnTime</v>
      </c>
    </row>
    <row r="281" spans="1:7" ht="15" customHeight="1">
      <c r="A281" s="29" t="str">
        <f>Sales_data!A279</f>
        <v>ORD10278</v>
      </c>
      <c r="B281" s="29" t="str">
        <f>Sales_data!H279</f>
        <v>28/09/1975</v>
      </c>
      <c r="C281" s="29">
        <f t="shared" ca="1" si="12"/>
        <v>51</v>
      </c>
      <c r="D281" s="29" t="str">
        <f>Sales_data!D279</f>
        <v>21/01/2026</v>
      </c>
      <c r="E281" s="29" t="str">
        <f>Sales_data!E279</f>
        <v>29/01/2026</v>
      </c>
      <c r="F281" s="29">
        <f t="shared" si="13"/>
        <v>8</v>
      </c>
      <c r="G281" s="29" t="str">
        <f t="shared" si="14"/>
        <v>Delayed</v>
      </c>
    </row>
    <row r="282" spans="1:7" ht="15" customHeight="1">
      <c r="A282" s="29" t="str">
        <f>Sales_data!A280</f>
        <v>ORD10279</v>
      </c>
      <c r="B282" s="29" t="str">
        <f>Sales_data!H280</f>
        <v>23/09/2002</v>
      </c>
      <c r="C282" s="29">
        <f t="shared" ca="1" si="12"/>
        <v>24</v>
      </c>
      <c r="D282" s="29" t="str">
        <f>Sales_data!D280</f>
        <v>17/09/2025</v>
      </c>
      <c r="E282" s="29" t="str">
        <f>Sales_data!E280</f>
        <v>29/09/2025</v>
      </c>
      <c r="F282" s="29">
        <f t="shared" si="13"/>
        <v>12</v>
      </c>
      <c r="G282" s="29" t="str">
        <f t="shared" si="14"/>
        <v>Delayed</v>
      </c>
    </row>
    <row r="283" spans="1:7" ht="15" customHeight="1">
      <c r="A283" s="29" t="str">
        <f>Sales_data!A281</f>
        <v>ORD10280</v>
      </c>
      <c r="B283" s="29" t="str">
        <f>Sales_data!H281</f>
        <v>17/06/1988</v>
      </c>
      <c r="C283" s="29">
        <f t="shared" ca="1" si="12"/>
        <v>38</v>
      </c>
      <c r="D283" s="29" t="str">
        <f>Sales_data!D281</f>
        <v>19/06/2025</v>
      </c>
      <c r="E283" s="29" t="str">
        <f>Sales_data!E281</f>
        <v>30/06/2025</v>
      </c>
      <c r="F283" s="29">
        <f t="shared" si="13"/>
        <v>11</v>
      </c>
      <c r="G283" s="29" t="str">
        <f t="shared" si="14"/>
        <v>Delayed</v>
      </c>
    </row>
    <row r="284" spans="1:7" ht="15" customHeight="1">
      <c r="A284" s="29" t="str">
        <f>Sales_data!A282</f>
        <v>ORD10281</v>
      </c>
      <c r="B284" s="29" t="str">
        <f>Sales_data!H282</f>
        <v>02/02/1991</v>
      </c>
      <c r="C284" s="29">
        <f t="shared" ca="1" si="12"/>
        <v>35</v>
      </c>
      <c r="D284" s="29" t="str">
        <f>Sales_data!D282</f>
        <v>12/05/2025</v>
      </c>
      <c r="E284" s="29" t="str">
        <f>Sales_data!E282</f>
        <v>16/05/2025</v>
      </c>
      <c r="F284" s="29">
        <f t="shared" si="13"/>
        <v>4</v>
      </c>
      <c r="G284" s="29" t="str">
        <f t="shared" si="14"/>
        <v>OnTime</v>
      </c>
    </row>
    <row r="285" spans="1:7" ht="15" customHeight="1">
      <c r="A285" s="29" t="str">
        <f>Sales_data!A283</f>
        <v>ORD10282</v>
      </c>
      <c r="B285" s="29" t="str">
        <f>Sales_data!H283</f>
        <v>09/08/1978</v>
      </c>
      <c r="C285" s="29">
        <f t="shared" ca="1" si="12"/>
        <v>48</v>
      </c>
      <c r="D285" s="29" t="str">
        <f>Sales_data!D283</f>
        <v>06/09/2025</v>
      </c>
      <c r="E285" s="29" t="str">
        <f>Sales_data!E283</f>
        <v>18/09/2025</v>
      </c>
      <c r="F285" s="29">
        <f t="shared" si="13"/>
        <v>12</v>
      </c>
      <c r="G285" s="29" t="str">
        <f t="shared" si="14"/>
        <v>Delayed</v>
      </c>
    </row>
    <row r="286" spans="1:7" ht="15" customHeight="1">
      <c r="A286" s="29" t="str">
        <f>Sales_data!A284</f>
        <v>ORD10283</v>
      </c>
      <c r="B286" s="29" t="str">
        <f>Sales_data!H284</f>
        <v>02/02/1994</v>
      </c>
      <c r="C286" s="29">
        <f t="shared" ca="1" si="12"/>
        <v>32</v>
      </c>
      <c r="D286" s="29" t="str">
        <f>Sales_data!D284</f>
        <v>23/04/2025</v>
      </c>
      <c r="E286" s="29" t="str">
        <f>Sales_data!E284</f>
        <v>29/04/2025</v>
      </c>
      <c r="F286" s="29">
        <f t="shared" si="13"/>
        <v>6</v>
      </c>
      <c r="G286" s="29" t="str">
        <f t="shared" si="14"/>
        <v>Delayed</v>
      </c>
    </row>
    <row r="287" spans="1:7" ht="15" customHeight="1">
      <c r="A287" s="29" t="str">
        <f>Sales_data!A285</f>
        <v>ORD10284</v>
      </c>
      <c r="B287" s="29" t="str">
        <f>Sales_data!H285</f>
        <v>28/03/1995</v>
      </c>
      <c r="C287" s="29">
        <f t="shared" ca="1" si="12"/>
        <v>31</v>
      </c>
      <c r="D287" s="29" t="str">
        <f>Sales_data!D285</f>
        <v>21/02/2026</v>
      </c>
      <c r="E287" s="29" t="str">
        <f>Sales_data!E285</f>
        <v>27/02/2026</v>
      </c>
      <c r="F287" s="29">
        <f t="shared" si="13"/>
        <v>6</v>
      </c>
      <c r="G287" s="29" t="str">
        <f t="shared" si="14"/>
        <v>Delayed</v>
      </c>
    </row>
    <row r="288" spans="1:7" ht="15" customHeight="1">
      <c r="A288" s="29" t="str">
        <f>Sales_data!A286</f>
        <v>ORD10285</v>
      </c>
      <c r="B288" s="29" t="str">
        <f>Sales_data!H286</f>
        <v>12/03/1992</v>
      </c>
      <c r="C288" s="29">
        <f t="shared" ca="1" si="12"/>
        <v>34</v>
      </c>
      <c r="D288" s="29" t="str">
        <f>Sales_data!D286</f>
        <v>28/12/2025</v>
      </c>
      <c r="E288" s="29" t="str">
        <f>Sales_data!E286</f>
        <v>01/01/2026</v>
      </c>
      <c r="F288" s="29">
        <f t="shared" si="13"/>
        <v>4</v>
      </c>
      <c r="G288" s="29" t="str">
        <f t="shared" si="14"/>
        <v>OnTime</v>
      </c>
    </row>
    <row r="289" spans="1:7" ht="15" customHeight="1">
      <c r="A289" s="29" t="str">
        <f>Sales_data!A287</f>
        <v>ORD10286</v>
      </c>
      <c r="B289" s="29" t="str">
        <f>Sales_data!H287</f>
        <v>23/01/1981</v>
      </c>
      <c r="C289" s="29">
        <f t="shared" ca="1" si="12"/>
        <v>45</v>
      </c>
      <c r="D289" s="29" t="str">
        <f>Sales_data!D287</f>
        <v>22/09/2025</v>
      </c>
      <c r="E289" s="29" t="str">
        <f>Sales_data!E287</f>
        <v>30/09/2025</v>
      </c>
      <c r="F289" s="29">
        <f t="shared" si="13"/>
        <v>8</v>
      </c>
      <c r="G289" s="29" t="str">
        <f t="shared" si="14"/>
        <v>Delayed</v>
      </c>
    </row>
    <row r="290" spans="1:7" ht="15" customHeight="1">
      <c r="A290" s="29" t="str">
        <f>Sales_data!A288</f>
        <v>ORD10287</v>
      </c>
      <c r="B290" s="29" t="str">
        <f>Sales_data!H288</f>
        <v>28/09/1984</v>
      </c>
      <c r="C290" s="29">
        <f t="shared" ca="1" si="12"/>
        <v>42</v>
      </c>
      <c r="D290" s="29" t="str">
        <f>Sales_data!D288</f>
        <v>08/05/2026</v>
      </c>
      <c r="E290" s="29" t="str">
        <f>Sales_data!E288</f>
        <v>11/05/2026</v>
      </c>
      <c r="F290" s="29">
        <f t="shared" si="13"/>
        <v>3</v>
      </c>
      <c r="G290" s="29" t="str">
        <f t="shared" si="14"/>
        <v>OnTime</v>
      </c>
    </row>
    <row r="291" spans="1:7" ht="15" customHeight="1">
      <c r="A291" s="29" t="str">
        <f>Sales_data!A289</f>
        <v>ORD10288</v>
      </c>
      <c r="B291" s="29" t="str">
        <f>Sales_data!H289</f>
        <v>06/11/1975</v>
      </c>
      <c r="C291" s="29">
        <f t="shared" ca="1" si="12"/>
        <v>50</v>
      </c>
      <c r="D291" s="29" t="str">
        <f>Sales_data!D289</f>
        <v>05/11/2025</v>
      </c>
      <c r="E291" s="29" t="str">
        <f>Sales_data!E289</f>
        <v>06/11/2025</v>
      </c>
      <c r="F291" s="29">
        <f t="shared" si="13"/>
        <v>1</v>
      </c>
      <c r="G291" s="29" t="str">
        <f t="shared" si="14"/>
        <v>OnTime</v>
      </c>
    </row>
    <row r="292" spans="1:7" ht="15" customHeight="1">
      <c r="A292" s="29" t="str">
        <f>Sales_data!A290</f>
        <v>ORD10289</v>
      </c>
      <c r="B292" s="29" t="str">
        <f>Sales_data!H290</f>
        <v>26/06/1995</v>
      </c>
      <c r="C292" s="29">
        <f t="shared" ca="1" si="12"/>
        <v>31</v>
      </c>
      <c r="D292" s="29" t="str">
        <f>Sales_data!D290</f>
        <v>08/03/2025</v>
      </c>
      <c r="E292" s="29" t="str">
        <f>Sales_data!E290</f>
        <v>15/03/2025</v>
      </c>
      <c r="F292" s="29">
        <f t="shared" si="13"/>
        <v>7</v>
      </c>
      <c r="G292" s="29" t="str">
        <f t="shared" si="14"/>
        <v>Delayed</v>
      </c>
    </row>
    <row r="293" spans="1:7" ht="15" customHeight="1">
      <c r="A293" s="29" t="str">
        <f>Sales_data!A291</f>
        <v>ORD10290</v>
      </c>
      <c r="B293" s="29" t="str">
        <f>Sales_data!H291</f>
        <v>21/11/1979</v>
      </c>
      <c r="C293" s="29">
        <f t="shared" ca="1" si="12"/>
        <v>46</v>
      </c>
      <c r="D293" s="29" t="str">
        <f>Sales_data!D291</f>
        <v>09/02/2026</v>
      </c>
      <c r="E293" s="29" t="str">
        <f>Sales_data!E291</f>
        <v>21/02/2026</v>
      </c>
      <c r="F293" s="29">
        <f t="shared" si="13"/>
        <v>12</v>
      </c>
      <c r="G293" s="29" t="str">
        <f t="shared" si="14"/>
        <v>Delayed</v>
      </c>
    </row>
    <row r="294" spans="1:7" ht="15" customHeight="1">
      <c r="A294" s="29" t="str">
        <f>Sales_data!A292</f>
        <v>ORD10291</v>
      </c>
      <c r="B294" s="29" t="str">
        <f>Sales_data!H292</f>
        <v>28/01/1987</v>
      </c>
      <c r="C294" s="29">
        <f t="shared" ca="1" si="12"/>
        <v>39</v>
      </c>
      <c r="D294" s="29" t="str">
        <f>Sales_data!D292</f>
        <v>17/03/2025</v>
      </c>
      <c r="E294" s="29" t="str">
        <f>Sales_data!E292</f>
        <v>23/03/2025</v>
      </c>
      <c r="F294" s="29">
        <f t="shared" si="13"/>
        <v>6</v>
      </c>
      <c r="G294" s="29" t="str">
        <f t="shared" si="14"/>
        <v>Delayed</v>
      </c>
    </row>
    <row r="295" spans="1:7" ht="15" customHeight="1">
      <c r="A295" s="29" t="str">
        <f>Sales_data!A293</f>
        <v>ORD10292</v>
      </c>
      <c r="B295" s="29" t="str">
        <f>Sales_data!H293</f>
        <v>08/02/2001</v>
      </c>
      <c r="C295" s="29">
        <f t="shared" ca="1" si="12"/>
        <v>25</v>
      </c>
      <c r="D295" s="29" t="str">
        <f>Sales_data!D293</f>
        <v>27/03/2025</v>
      </c>
      <c r="E295" s="29" t="str">
        <f>Sales_data!E293</f>
        <v>01/04/2025</v>
      </c>
      <c r="F295" s="29">
        <f t="shared" si="13"/>
        <v>5</v>
      </c>
      <c r="G295" s="29" t="str">
        <f t="shared" si="14"/>
        <v>OnTime</v>
      </c>
    </row>
    <row r="296" spans="1:7" ht="15" customHeight="1">
      <c r="A296" s="29" t="str">
        <f>Sales_data!A294</f>
        <v>ORD10293</v>
      </c>
      <c r="B296" s="29" t="str">
        <f>Sales_data!H294</f>
        <v>14/12/1989</v>
      </c>
      <c r="C296" s="29">
        <f t="shared" ca="1" si="12"/>
        <v>36</v>
      </c>
      <c r="D296" s="29" t="str">
        <f>Sales_data!D294</f>
        <v>12/03/2025</v>
      </c>
      <c r="E296" s="29" t="str">
        <f>Sales_data!E294</f>
        <v>14/03/2025</v>
      </c>
      <c r="F296" s="29">
        <f t="shared" si="13"/>
        <v>2</v>
      </c>
      <c r="G296" s="29" t="str">
        <f t="shared" si="14"/>
        <v>OnTime</v>
      </c>
    </row>
    <row r="297" spans="1:7" ht="15" customHeight="1">
      <c r="A297" s="29" t="str">
        <f>Sales_data!A295</f>
        <v>ORD10294</v>
      </c>
      <c r="B297" s="29" t="str">
        <f>Sales_data!H295</f>
        <v>15/12/1988</v>
      </c>
      <c r="C297" s="29">
        <f t="shared" ca="1" si="12"/>
        <v>37</v>
      </c>
      <c r="D297" s="29" t="str">
        <f>Sales_data!D295</f>
        <v>13/02/2026</v>
      </c>
      <c r="E297" s="29" t="str">
        <f>Sales_data!E295</f>
        <v>24/02/2026</v>
      </c>
      <c r="F297" s="29">
        <f t="shared" si="13"/>
        <v>11</v>
      </c>
      <c r="G297" s="29" t="str">
        <f t="shared" si="14"/>
        <v>Delayed</v>
      </c>
    </row>
    <row r="298" spans="1:7" ht="15" customHeight="1">
      <c r="A298" s="29" t="str">
        <f>Sales_data!A296</f>
        <v>ORD10295</v>
      </c>
      <c r="B298" s="29" t="str">
        <f>Sales_data!H296</f>
        <v>20/10/1990</v>
      </c>
      <c r="C298" s="29">
        <f t="shared" ca="1" si="12"/>
        <v>35</v>
      </c>
      <c r="D298" s="29" t="str">
        <f>Sales_data!D296</f>
        <v>11/02/2025</v>
      </c>
      <c r="E298" s="29" t="str">
        <f>Sales_data!E296</f>
        <v>14/02/2025</v>
      </c>
      <c r="F298" s="29">
        <f t="shared" si="13"/>
        <v>3</v>
      </c>
      <c r="G298" s="29" t="str">
        <f t="shared" si="14"/>
        <v>OnTime</v>
      </c>
    </row>
    <row r="299" spans="1:7" ht="15" customHeight="1">
      <c r="A299" s="29" t="str">
        <f>Sales_data!A297</f>
        <v>ORD10296</v>
      </c>
      <c r="B299" s="29" t="str">
        <f>Sales_data!H297</f>
        <v>08/09/1978</v>
      </c>
      <c r="C299" s="29">
        <f t="shared" ca="1" si="12"/>
        <v>48</v>
      </c>
      <c r="D299" s="29" t="str">
        <f>Sales_data!D297</f>
        <v>17/01/2025</v>
      </c>
      <c r="E299" s="29" t="str">
        <f>Sales_data!E297</f>
        <v>27/01/2025</v>
      </c>
      <c r="F299" s="29">
        <f t="shared" si="13"/>
        <v>10</v>
      </c>
      <c r="G299" s="29" t="str">
        <f t="shared" si="14"/>
        <v>Delayed</v>
      </c>
    </row>
    <row r="300" spans="1:7" ht="15" customHeight="1">
      <c r="A300" s="29" t="str">
        <f>Sales_data!A298</f>
        <v>ORD10297</v>
      </c>
      <c r="B300" s="29" t="str">
        <f>Sales_data!H298</f>
        <v>09/02/1978</v>
      </c>
      <c r="C300" s="29">
        <f t="shared" ca="1" si="12"/>
        <v>48</v>
      </c>
      <c r="D300" s="29" t="str">
        <f>Sales_data!D298</f>
        <v>01/04/2025</v>
      </c>
      <c r="E300" s="29" t="str">
        <f>Sales_data!E298</f>
        <v>12/04/2025</v>
      </c>
      <c r="F300" s="29">
        <f t="shared" si="13"/>
        <v>11</v>
      </c>
      <c r="G300" s="29" t="str">
        <f t="shared" si="14"/>
        <v>Delayed</v>
      </c>
    </row>
    <row r="301" spans="1:7" ht="15" customHeight="1">
      <c r="A301" s="29" t="str">
        <f>Sales_data!A299</f>
        <v>ORD10298</v>
      </c>
      <c r="B301" s="29" t="str">
        <f>Sales_data!H299</f>
        <v>03/01/2004</v>
      </c>
      <c r="C301" s="29">
        <f t="shared" ca="1" si="12"/>
        <v>22</v>
      </c>
      <c r="D301" s="29" t="str">
        <f>Sales_data!D299</f>
        <v>13/01/2025</v>
      </c>
      <c r="E301" s="29" t="str">
        <f>Sales_data!E299</f>
        <v>16/01/2025</v>
      </c>
      <c r="F301" s="29">
        <f t="shared" si="13"/>
        <v>3</v>
      </c>
      <c r="G301" s="29" t="str">
        <f t="shared" si="14"/>
        <v>OnTime</v>
      </c>
    </row>
    <row r="302" spans="1:7" ht="15" customHeight="1">
      <c r="A302" s="29" t="str">
        <f>Sales_data!A300</f>
        <v>ORD10299</v>
      </c>
      <c r="B302" s="29" t="str">
        <f>Sales_data!H300</f>
        <v>02/05/1992</v>
      </c>
      <c r="C302" s="29">
        <f t="shared" ca="1" si="12"/>
        <v>34</v>
      </c>
      <c r="D302" s="29" t="str">
        <f>Sales_data!D300</f>
        <v>05/10/2025</v>
      </c>
      <c r="E302" s="29" t="str">
        <f>Sales_data!E300</f>
        <v>17/10/2025</v>
      </c>
      <c r="F302" s="29">
        <f t="shared" si="13"/>
        <v>12</v>
      </c>
      <c r="G302" s="29" t="str">
        <f t="shared" si="14"/>
        <v>Delayed</v>
      </c>
    </row>
    <row r="303" spans="1:7" ht="15" customHeight="1">
      <c r="A303" s="29" t="str">
        <f>Sales_data!A301</f>
        <v>ORD10300</v>
      </c>
      <c r="B303" s="29" t="str">
        <f>Sales_data!H301</f>
        <v>26/01/2003</v>
      </c>
      <c r="C303" s="29">
        <f t="shared" ca="1" si="12"/>
        <v>23</v>
      </c>
      <c r="D303" s="29" t="str">
        <f>Sales_data!D301</f>
        <v>25/02/2026</v>
      </c>
      <c r="E303" s="29" t="str">
        <f>Sales_data!E301</f>
        <v>08/03/2026</v>
      </c>
      <c r="F303" s="29">
        <f t="shared" si="13"/>
        <v>11</v>
      </c>
      <c r="G303" s="29" t="str">
        <f t="shared" si="14"/>
        <v>Delayed</v>
      </c>
    </row>
    <row r="304" spans="1:7" ht="15" customHeight="1">
      <c r="A304" s="29" t="str">
        <f>Sales_data!A302</f>
        <v>ORD10301</v>
      </c>
      <c r="B304" s="29" t="str">
        <f>Sales_data!H302</f>
        <v>20/05/1987</v>
      </c>
      <c r="C304" s="29">
        <f t="shared" ca="1" si="12"/>
        <v>39</v>
      </c>
      <c r="D304" s="29" t="str">
        <f>Sales_data!D302</f>
        <v>16/05/2025</v>
      </c>
      <c r="E304" s="29" t="str">
        <f>Sales_data!E302</f>
        <v>26/05/2025</v>
      </c>
      <c r="F304" s="29">
        <f t="shared" si="13"/>
        <v>10</v>
      </c>
      <c r="G304" s="29" t="str">
        <f t="shared" si="14"/>
        <v>Delayed</v>
      </c>
    </row>
    <row r="305" spans="1:7" ht="15" customHeight="1">
      <c r="A305" s="29" t="str">
        <f>Sales_data!A303</f>
        <v>ORD10302</v>
      </c>
      <c r="B305" s="29" t="str">
        <f>Sales_data!H303</f>
        <v>07/09/1975</v>
      </c>
      <c r="C305" s="29">
        <f t="shared" ca="1" si="12"/>
        <v>51</v>
      </c>
      <c r="D305" s="29" t="str">
        <f>Sales_data!D303</f>
        <v>02/01/2026</v>
      </c>
      <c r="E305" s="29" t="str">
        <f>Sales_data!E303</f>
        <v>05/01/2026</v>
      </c>
      <c r="F305" s="29">
        <f t="shared" si="13"/>
        <v>3</v>
      </c>
      <c r="G305" s="29" t="str">
        <f t="shared" si="14"/>
        <v>OnTime</v>
      </c>
    </row>
    <row r="306" spans="1:7" ht="15" customHeight="1">
      <c r="A306" s="29" t="str">
        <f>Sales_data!A304</f>
        <v>ORD10303</v>
      </c>
      <c r="B306" s="29" t="str">
        <f>Sales_data!H304</f>
        <v>10/08/1980</v>
      </c>
      <c r="C306" s="29">
        <f t="shared" ca="1" si="12"/>
        <v>46</v>
      </c>
      <c r="D306" s="29" t="str">
        <f>Sales_data!D304</f>
        <v>23/07/2025</v>
      </c>
      <c r="E306" s="29" t="str">
        <f>Sales_data!E304</f>
        <v>27/07/2025</v>
      </c>
      <c r="F306" s="29">
        <f t="shared" si="13"/>
        <v>4</v>
      </c>
      <c r="G306" s="29" t="str">
        <f t="shared" si="14"/>
        <v>OnTime</v>
      </c>
    </row>
    <row r="307" spans="1:7" ht="15" customHeight="1">
      <c r="A307" s="29" t="str">
        <f>Sales_data!A305</f>
        <v>ORD10304</v>
      </c>
      <c r="B307" s="29" t="str">
        <f>Sales_data!H305</f>
        <v>07/04/1989</v>
      </c>
      <c r="C307" s="29">
        <f t="shared" ca="1" si="12"/>
        <v>37</v>
      </c>
      <c r="D307" s="29" t="str">
        <f>Sales_data!D305</f>
        <v>23/04/2026</v>
      </c>
      <c r="E307" s="29" t="str">
        <f>Sales_data!E305</f>
        <v>26/04/2026</v>
      </c>
      <c r="F307" s="29">
        <f t="shared" si="13"/>
        <v>3</v>
      </c>
      <c r="G307" s="29" t="str">
        <f t="shared" si="14"/>
        <v>OnTime</v>
      </c>
    </row>
    <row r="308" spans="1:7" ht="15" customHeight="1">
      <c r="A308" s="29" t="str">
        <f>Sales_data!A306</f>
        <v>ORD10305</v>
      </c>
      <c r="B308" s="29" t="str">
        <f>Sales_data!H306</f>
        <v>20/08/1998</v>
      </c>
      <c r="C308" s="29">
        <f t="shared" ca="1" si="12"/>
        <v>28</v>
      </c>
      <c r="D308" s="29" t="str">
        <f>Sales_data!D306</f>
        <v>02/03/2025</v>
      </c>
      <c r="E308" s="29" t="str">
        <f>Sales_data!E306</f>
        <v>06/03/2025</v>
      </c>
      <c r="F308" s="29">
        <f t="shared" si="13"/>
        <v>4</v>
      </c>
      <c r="G308" s="29" t="str">
        <f t="shared" si="14"/>
        <v>OnTime</v>
      </c>
    </row>
    <row r="309" spans="1:7" ht="15" customHeight="1">
      <c r="A309" s="29" t="str">
        <f>Sales_data!A307</f>
        <v>ORD10306</v>
      </c>
      <c r="B309" s="29" t="str">
        <f>Sales_data!H307</f>
        <v>03/04/2001</v>
      </c>
      <c r="C309" s="29">
        <f t="shared" ca="1" si="12"/>
        <v>25</v>
      </c>
      <c r="D309" s="29" t="str">
        <f>Sales_data!D307</f>
        <v>09/02/2026</v>
      </c>
      <c r="E309" s="29" t="str">
        <f>Sales_data!E307</f>
        <v>17/02/2026</v>
      </c>
      <c r="F309" s="29">
        <f t="shared" si="13"/>
        <v>8</v>
      </c>
      <c r="G309" s="29" t="str">
        <f t="shared" si="14"/>
        <v>Delayed</v>
      </c>
    </row>
    <row r="310" spans="1:7" ht="15" customHeight="1">
      <c r="A310" s="29" t="str">
        <f>Sales_data!A308</f>
        <v>ORD10307</v>
      </c>
      <c r="B310" s="29" t="str">
        <f>Sales_data!H308</f>
        <v>05/03/1992</v>
      </c>
      <c r="C310" s="29">
        <f t="shared" ca="1" si="12"/>
        <v>34</v>
      </c>
      <c r="D310" s="29" t="str">
        <f>Sales_data!D308</f>
        <v>16/02/2025</v>
      </c>
      <c r="E310" s="29" t="str">
        <f>Sales_data!E308</f>
        <v>26/02/2025</v>
      </c>
      <c r="F310" s="29">
        <f t="shared" si="13"/>
        <v>10</v>
      </c>
      <c r="G310" s="29" t="str">
        <f t="shared" si="14"/>
        <v>Delayed</v>
      </c>
    </row>
    <row r="311" spans="1:7" ht="15" customHeight="1">
      <c r="A311" s="29" t="str">
        <f>Sales_data!A309</f>
        <v>ORD10308</v>
      </c>
      <c r="B311" s="29" t="str">
        <f>Sales_data!H309</f>
        <v>28/12/1976</v>
      </c>
      <c r="C311" s="29">
        <f t="shared" ca="1" si="12"/>
        <v>49</v>
      </c>
      <c r="D311" s="29" t="str">
        <f>Sales_data!D309</f>
        <v>28/08/2025</v>
      </c>
      <c r="E311" s="29" t="str">
        <f>Sales_data!E309</f>
        <v>08/09/2025</v>
      </c>
      <c r="F311" s="29">
        <f t="shared" si="13"/>
        <v>11</v>
      </c>
      <c r="G311" s="29" t="str">
        <f t="shared" si="14"/>
        <v>Delayed</v>
      </c>
    </row>
    <row r="312" spans="1:7" ht="15" customHeight="1">
      <c r="A312" s="29" t="str">
        <f>Sales_data!A310</f>
        <v>ORD10309</v>
      </c>
      <c r="B312" s="29" t="str">
        <f>Sales_data!H310</f>
        <v>04/09/1986</v>
      </c>
      <c r="C312" s="29">
        <f t="shared" ca="1" si="12"/>
        <v>40</v>
      </c>
      <c r="D312" s="29" t="str">
        <f>Sales_data!D310</f>
        <v>06/10/2025</v>
      </c>
      <c r="E312" s="29" t="str">
        <f>Sales_data!E310</f>
        <v>11/10/2025</v>
      </c>
      <c r="F312" s="29">
        <f t="shared" si="13"/>
        <v>5</v>
      </c>
      <c r="G312" s="29" t="str">
        <f t="shared" si="14"/>
        <v>OnTime</v>
      </c>
    </row>
    <row r="313" spans="1:7" ht="15" customHeight="1">
      <c r="A313" s="29" t="str">
        <f>Sales_data!A311</f>
        <v>ORD10310</v>
      </c>
      <c r="B313" s="29" t="str">
        <f>Sales_data!H311</f>
        <v>14/08/1989</v>
      </c>
      <c r="C313" s="29">
        <f t="shared" ca="1" si="12"/>
        <v>37</v>
      </c>
      <c r="D313" s="29" t="str">
        <f>Sales_data!D311</f>
        <v>17/01/2025</v>
      </c>
      <c r="E313" s="29" t="str">
        <f>Sales_data!E311</f>
        <v>29/01/2025</v>
      </c>
      <c r="F313" s="29">
        <f t="shared" si="13"/>
        <v>12</v>
      </c>
      <c r="G313" s="29" t="str">
        <f t="shared" si="14"/>
        <v>Delayed</v>
      </c>
    </row>
    <row r="314" spans="1:7" ht="15" customHeight="1">
      <c r="A314" s="29" t="str">
        <f>Sales_data!A312</f>
        <v>ORD10311</v>
      </c>
      <c r="B314" s="29" t="str">
        <f>Sales_data!H312</f>
        <v>02/03/1991</v>
      </c>
      <c r="C314" s="29">
        <f t="shared" ca="1" si="12"/>
        <v>35</v>
      </c>
      <c r="D314" s="29" t="str">
        <f>Sales_data!D312</f>
        <v>13/10/2025</v>
      </c>
      <c r="E314" s="29" t="str">
        <f>Sales_data!E312</f>
        <v>16/10/2025</v>
      </c>
      <c r="F314" s="29">
        <f t="shared" si="13"/>
        <v>3</v>
      </c>
      <c r="G314" s="29" t="str">
        <f t="shared" si="14"/>
        <v>OnTime</v>
      </c>
    </row>
    <row r="315" spans="1:7" ht="15" customHeight="1">
      <c r="A315" s="29" t="str">
        <f>Sales_data!A313</f>
        <v>ORD10312</v>
      </c>
      <c r="B315" s="29" t="str">
        <f>Sales_data!H313</f>
        <v>13/08/1989</v>
      </c>
      <c r="C315" s="29">
        <f t="shared" ca="1" si="12"/>
        <v>37</v>
      </c>
      <c r="D315" s="29" t="str">
        <f>Sales_data!D313</f>
        <v>26/04/2026</v>
      </c>
      <c r="E315" s="29" t="str">
        <f>Sales_data!E313</f>
        <v>28/04/2026</v>
      </c>
      <c r="F315" s="29">
        <f t="shared" si="13"/>
        <v>2</v>
      </c>
      <c r="G315" s="29" t="str">
        <f t="shared" si="14"/>
        <v>OnTime</v>
      </c>
    </row>
    <row r="316" spans="1:7" ht="15" customHeight="1">
      <c r="A316" s="29" t="str">
        <f>Sales_data!A314</f>
        <v>ORD10313</v>
      </c>
      <c r="B316" s="29" t="str">
        <f>Sales_data!H314</f>
        <v>02/02/2003</v>
      </c>
      <c r="C316" s="29">
        <f t="shared" ca="1" si="12"/>
        <v>23</v>
      </c>
      <c r="D316" s="29" t="str">
        <f>Sales_data!D314</f>
        <v>24/03/2026</v>
      </c>
      <c r="E316" s="29" t="str">
        <f>Sales_data!E314</f>
        <v>04/04/2026</v>
      </c>
      <c r="F316" s="29">
        <f t="shared" si="13"/>
        <v>11</v>
      </c>
      <c r="G316" s="29" t="str">
        <f t="shared" si="14"/>
        <v>Delayed</v>
      </c>
    </row>
    <row r="317" spans="1:7" ht="15" customHeight="1">
      <c r="A317" s="29" t="str">
        <f>Sales_data!A315</f>
        <v>ORD10314</v>
      </c>
      <c r="B317" s="29" t="str">
        <f>Sales_data!H315</f>
        <v>16/11/1995</v>
      </c>
      <c r="C317" s="29">
        <f t="shared" ca="1" si="12"/>
        <v>30</v>
      </c>
      <c r="D317" s="29" t="str">
        <f>Sales_data!D315</f>
        <v>08/05/2025</v>
      </c>
      <c r="E317" s="29" t="str">
        <f>Sales_data!E315</f>
        <v>19/05/2025</v>
      </c>
      <c r="F317" s="29">
        <f t="shared" si="13"/>
        <v>11</v>
      </c>
      <c r="G317" s="29" t="str">
        <f t="shared" si="14"/>
        <v>Delayed</v>
      </c>
    </row>
    <row r="318" spans="1:7" ht="15" customHeight="1">
      <c r="A318" s="29" t="str">
        <f>Sales_data!A316</f>
        <v>ORD10315</v>
      </c>
      <c r="B318" s="29" t="str">
        <f>Sales_data!H316</f>
        <v>24/11/1989</v>
      </c>
      <c r="C318" s="29">
        <f t="shared" ca="1" si="12"/>
        <v>36</v>
      </c>
      <c r="D318" s="29" t="str">
        <f>Sales_data!D316</f>
        <v>07/03/2026</v>
      </c>
      <c r="E318" s="29" t="str">
        <f>Sales_data!E316</f>
        <v>10/03/2026</v>
      </c>
      <c r="F318" s="29">
        <f t="shared" si="13"/>
        <v>3</v>
      </c>
      <c r="G318" s="29" t="str">
        <f t="shared" si="14"/>
        <v>OnTime</v>
      </c>
    </row>
    <row r="319" spans="1:7" ht="15" customHeight="1">
      <c r="A319" s="29" t="str">
        <f>Sales_data!A317</f>
        <v>ORD10316</v>
      </c>
      <c r="B319" s="29" t="str">
        <f>Sales_data!H317</f>
        <v>20/04/1988</v>
      </c>
      <c r="C319" s="29">
        <f t="shared" ca="1" si="12"/>
        <v>38</v>
      </c>
      <c r="D319" s="29" t="str">
        <f>Sales_data!D317</f>
        <v>26/12/2025</v>
      </c>
      <c r="E319" s="29" t="str">
        <f>Sales_data!E317</f>
        <v>30/12/2025</v>
      </c>
      <c r="F319" s="29">
        <f t="shared" si="13"/>
        <v>4</v>
      </c>
      <c r="G319" s="29" t="str">
        <f t="shared" si="14"/>
        <v>OnTime</v>
      </c>
    </row>
    <row r="320" spans="1:7" ht="15" customHeight="1">
      <c r="A320" s="29" t="str">
        <f>Sales_data!A318</f>
        <v>ORD10317</v>
      </c>
      <c r="B320" s="29" t="str">
        <f>Sales_data!H318</f>
        <v>02/11/1978</v>
      </c>
      <c r="C320" s="29">
        <f t="shared" ca="1" si="12"/>
        <v>47</v>
      </c>
      <c r="D320" s="29" t="str">
        <f>Sales_data!D318</f>
        <v>19/04/2026</v>
      </c>
      <c r="E320" s="29" t="str">
        <f>Sales_data!E318</f>
        <v>25/04/2026</v>
      </c>
      <c r="F320" s="29">
        <f t="shared" si="13"/>
        <v>6</v>
      </c>
      <c r="G320" s="29" t="str">
        <f t="shared" si="14"/>
        <v>Delayed</v>
      </c>
    </row>
    <row r="321" spans="1:7" ht="15" customHeight="1">
      <c r="A321" s="29" t="str">
        <f>Sales_data!A319</f>
        <v>ORD10318</v>
      </c>
      <c r="B321" s="29" t="str">
        <f>Sales_data!H319</f>
        <v>13/12/1989</v>
      </c>
      <c r="C321" s="29">
        <f t="shared" ca="1" si="12"/>
        <v>36</v>
      </c>
      <c r="D321" s="29" t="str">
        <f>Sales_data!D319</f>
        <v>05/11/2025</v>
      </c>
      <c r="E321" s="29" t="str">
        <f>Sales_data!E319</f>
        <v>08/11/2025</v>
      </c>
      <c r="F321" s="29">
        <f t="shared" si="13"/>
        <v>3</v>
      </c>
      <c r="G321" s="29" t="str">
        <f t="shared" si="14"/>
        <v>OnTime</v>
      </c>
    </row>
    <row r="322" spans="1:7" ht="15" customHeight="1">
      <c r="A322" s="29" t="str">
        <f>Sales_data!A320</f>
        <v>ORD10319</v>
      </c>
      <c r="B322" s="29" t="str">
        <f>Sales_data!H320</f>
        <v>08/01/1995</v>
      </c>
      <c r="C322" s="29">
        <f t="shared" ca="1" si="12"/>
        <v>31</v>
      </c>
      <c r="D322" s="29" t="str">
        <f>Sales_data!D320</f>
        <v>24/02/2026</v>
      </c>
      <c r="E322" s="29" t="str">
        <f>Sales_data!E320</f>
        <v>28/02/2026</v>
      </c>
      <c r="F322" s="29">
        <f t="shared" si="13"/>
        <v>4</v>
      </c>
      <c r="G322" s="29" t="str">
        <f t="shared" si="14"/>
        <v>OnTime</v>
      </c>
    </row>
    <row r="323" spans="1:7" ht="15" customHeight="1">
      <c r="A323" s="29" t="str">
        <f>Sales_data!A321</f>
        <v>ORD10320</v>
      </c>
      <c r="B323" s="29" t="str">
        <f>Sales_data!H321</f>
        <v>23/10/1994</v>
      </c>
      <c r="C323" s="29">
        <f t="shared" ca="1" si="12"/>
        <v>31</v>
      </c>
      <c r="D323" s="29" t="str">
        <f>Sales_data!D321</f>
        <v>23/03/2025</v>
      </c>
      <c r="E323" s="29" t="str">
        <f>Sales_data!E321</f>
        <v>25/03/2025</v>
      </c>
      <c r="F323" s="29">
        <f t="shared" si="13"/>
        <v>2</v>
      </c>
      <c r="G323" s="29" t="str">
        <f t="shared" si="14"/>
        <v>OnTime</v>
      </c>
    </row>
    <row r="324" spans="1:7" ht="15" customHeight="1">
      <c r="A324" s="29" t="str">
        <f>Sales_data!A322</f>
        <v>ORD10321</v>
      </c>
      <c r="B324" s="29" t="str">
        <f>Sales_data!H322</f>
        <v>21/05/1996</v>
      </c>
      <c r="C324" s="29">
        <f t="shared" ref="C324:C387" ca="1" si="15">IFERROR(DATEDIF(DATE(VALUE(RIGHT(B324,4)),VALUE(MID(B324,4,2)),VALUE(LEFT(B324,2))),TODAY(),"Y"),"")</f>
        <v>30</v>
      </c>
      <c r="D324" s="29" t="str">
        <f>Sales_data!D322</f>
        <v>27/02/2025</v>
      </c>
      <c r="E324" s="29" t="str">
        <f>Sales_data!E322</f>
        <v>10/03/2025</v>
      </c>
      <c r="F324" s="29">
        <f t="shared" ref="F324:F387" si="16">IF(E324="","",IFERROR(DATE(VALUE(RIGHT(E324,4)),VALUE(MID(E324,4,2)),VALUE(LEFT(E324,2)))-DATE(VALUE(RIGHT(D324,4)),VALUE(MID(D324,4,2)),VALUE(LEFT(D324,2))),""))</f>
        <v>11</v>
      </c>
      <c r="G324" s="29" t="str">
        <f t="shared" ref="G324:G387" si="17">IF(E324="","Pending",IF(F324="","Pending",IF(F324&lt;=5,"OnTime","Delayed")))</f>
        <v>Delayed</v>
      </c>
    </row>
    <row r="325" spans="1:7" ht="15" customHeight="1">
      <c r="A325" s="29" t="str">
        <f>Sales_data!A323</f>
        <v>ORD10322</v>
      </c>
      <c r="B325" s="29" t="str">
        <f>Sales_data!H323</f>
        <v>26/05/1982</v>
      </c>
      <c r="C325" s="29">
        <f t="shared" ca="1" si="15"/>
        <v>44</v>
      </c>
      <c r="D325" s="29" t="str">
        <f>Sales_data!D323</f>
        <v>03/06/2025</v>
      </c>
      <c r="E325" s="29" t="str">
        <f>Sales_data!E323</f>
        <v>14/06/2025</v>
      </c>
      <c r="F325" s="29">
        <f t="shared" si="16"/>
        <v>11</v>
      </c>
      <c r="G325" s="29" t="str">
        <f t="shared" si="17"/>
        <v>Delayed</v>
      </c>
    </row>
    <row r="326" spans="1:7" ht="15" customHeight="1">
      <c r="A326" s="29" t="str">
        <f>Sales_data!A324</f>
        <v>ORD10323</v>
      </c>
      <c r="B326" s="29" t="str">
        <f>Sales_data!H324</f>
        <v>22/11/2001</v>
      </c>
      <c r="C326" s="29">
        <f t="shared" ca="1" si="15"/>
        <v>24</v>
      </c>
      <c r="D326" s="29" t="str">
        <f>Sales_data!D324</f>
        <v>07/07/2025</v>
      </c>
      <c r="E326" s="29" t="str">
        <f>Sales_data!E324</f>
        <v>16/07/2025</v>
      </c>
      <c r="F326" s="29">
        <f t="shared" si="16"/>
        <v>9</v>
      </c>
      <c r="G326" s="29" t="str">
        <f t="shared" si="17"/>
        <v>Delayed</v>
      </c>
    </row>
    <row r="327" spans="1:7" ht="15" customHeight="1">
      <c r="A327" s="29" t="str">
        <f>Sales_data!A325</f>
        <v>ORD10324</v>
      </c>
      <c r="B327" s="29" t="str">
        <f>Sales_data!H325</f>
        <v>26/02/1989</v>
      </c>
      <c r="C327" s="29">
        <f t="shared" ca="1" si="15"/>
        <v>37</v>
      </c>
      <c r="D327" s="29" t="str">
        <f>Sales_data!D325</f>
        <v>20/04/2026</v>
      </c>
      <c r="E327" s="29" t="str">
        <f>Sales_data!E325</f>
        <v>21/04/2026</v>
      </c>
      <c r="F327" s="29">
        <f t="shared" si="16"/>
        <v>1</v>
      </c>
      <c r="G327" s="29" t="str">
        <f t="shared" si="17"/>
        <v>OnTime</v>
      </c>
    </row>
    <row r="328" spans="1:7" ht="15" customHeight="1">
      <c r="A328" s="29" t="str">
        <f>Sales_data!A326</f>
        <v>ORD10325</v>
      </c>
      <c r="B328" s="29" t="str">
        <f>Sales_data!H326</f>
        <v>18/08/1985</v>
      </c>
      <c r="C328" s="29">
        <f t="shared" ca="1" si="15"/>
        <v>41</v>
      </c>
      <c r="D328" s="29" t="str">
        <f>Sales_data!D326</f>
        <v>10/12/2025</v>
      </c>
      <c r="E328" s="29" t="str">
        <f>Sales_data!E326</f>
        <v>21/12/2025</v>
      </c>
      <c r="F328" s="29">
        <f t="shared" si="16"/>
        <v>11</v>
      </c>
      <c r="G328" s="29" t="str">
        <f t="shared" si="17"/>
        <v>Delayed</v>
      </c>
    </row>
    <row r="329" spans="1:7" ht="15" customHeight="1">
      <c r="A329" s="29" t="str">
        <f>Sales_data!A327</f>
        <v>ORD10326</v>
      </c>
      <c r="B329" s="29" t="str">
        <f>Sales_data!H327</f>
        <v>03/01/1980</v>
      </c>
      <c r="C329" s="29">
        <f t="shared" ca="1" si="15"/>
        <v>46</v>
      </c>
      <c r="D329" s="29" t="str">
        <f>Sales_data!D327</f>
        <v>08/03/2026</v>
      </c>
      <c r="E329" s="29" t="str">
        <f>Sales_data!E327</f>
        <v>12/03/2026</v>
      </c>
      <c r="F329" s="29">
        <f t="shared" si="16"/>
        <v>4</v>
      </c>
      <c r="G329" s="29" t="str">
        <f t="shared" si="17"/>
        <v>OnTime</v>
      </c>
    </row>
    <row r="330" spans="1:7" ht="15" customHeight="1">
      <c r="A330" s="29" t="str">
        <f>Sales_data!A328</f>
        <v>ORD10327</v>
      </c>
      <c r="B330" s="29" t="str">
        <f>Sales_data!H328</f>
        <v>08/01/1978</v>
      </c>
      <c r="C330" s="29">
        <f t="shared" ca="1" si="15"/>
        <v>48</v>
      </c>
      <c r="D330" s="29" t="str">
        <f>Sales_data!D328</f>
        <v>25/11/2025</v>
      </c>
      <c r="E330" s="29" t="str">
        <f>Sales_data!E328</f>
        <v>28/11/2025</v>
      </c>
      <c r="F330" s="29">
        <f t="shared" si="16"/>
        <v>3</v>
      </c>
      <c r="G330" s="29" t="str">
        <f t="shared" si="17"/>
        <v>OnTime</v>
      </c>
    </row>
    <row r="331" spans="1:7" ht="15" customHeight="1">
      <c r="A331" s="29" t="str">
        <f>Sales_data!A329</f>
        <v>ORD10328</v>
      </c>
      <c r="B331" s="29" t="str">
        <f>Sales_data!H329</f>
        <v>05/08/1992</v>
      </c>
      <c r="C331" s="29">
        <f t="shared" ca="1" si="15"/>
        <v>34</v>
      </c>
      <c r="D331" s="29" t="str">
        <f>Sales_data!D329</f>
        <v>19/06/2025</v>
      </c>
      <c r="E331" s="29" t="str">
        <f>Sales_data!E329</f>
        <v>28/06/2025</v>
      </c>
      <c r="F331" s="29">
        <f t="shared" si="16"/>
        <v>9</v>
      </c>
      <c r="G331" s="29" t="str">
        <f t="shared" si="17"/>
        <v>Delayed</v>
      </c>
    </row>
    <row r="332" spans="1:7" ht="15" customHeight="1">
      <c r="A332" s="29" t="str">
        <f>Sales_data!A330</f>
        <v>ORD10329</v>
      </c>
      <c r="B332" s="29" t="str">
        <f>Sales_data!H330</f>
        <v>28/12/2004</v>
      </c>
      <c r="C332" s="29">
        <f t="shared" ca="1" si="15"/>
        <v>21</v>
      </c>
      <c r="D332" s="29" t="str">
        <f>Sales_data!D330</f>
        <v>22/07/2025</v>
      </c>
      <c r="E332" s="29" t="str">
        <f>Sales_data!E330</f>
        <v>01/08/2025</v>
      </c>
      <c r="F332" s="29">
        <f t="shared" si="16"/>
        <v>10</v>
      </c>
      <c r="G332" s="29" t="str">
        <f t="shared" si="17"/>
        <v>Delayed</v>
      </c>
    </row>
    <row r="333" spans="1:7" ht="15" customHeight="1">
      <c r="A333" s="29" t="str">
        <f>Sales_data!A331</f>
        <v>ORD10330</v>
      </c>
      <c r="B333" s="29" t="str">
        <f>Sales_data!H331</f>
        <v>07/01/2003</v>
      </c>
      <c r="C333" s="29">
        <f t="shared" ca="1" si="15"/>
        <v>23</v>
      </c>
      <c r="D333" s="29" t="str">
        <f>Sales_data!D331</f>
        <v>29/10/2025</v>
      </c>
      <c r="E333" s="29" t="str">
        <f>Sales_data!E331</f>
        <v>30/10/2025</v>
      </c>
      <c r="F333" s="29">
        <f t="shared" si="16"/>
        <v>1</v>
      </c>
      <c r="G333" s="29" t="str">
        <f t="shared" si="17"/>
        <v>OnTime</v>
      </c>
    </row>
    <row r="334" spans="1:7" ht="15" customHeight="1">
      <c r="A334" s="29" t="str">
        <f>Sales_data!A332</f>
        <v>ORD10331</v>
      </c>
      <c r="B334" s="29" t="str">
        <f>Sales_data!H332</f>
        <v>09/03/1993</v>
      </c>
      <c r="C334" s="29">
        <f t="shared" ca="1" si="15"/>
        <v>33</v>
      </c>
      <c r="D334" s="29" t="str">
        <f>Sales_data!D332</f>
        <v>05/03/2026</v>
      </c>
      <c r="E334" s="29" t="str">
        <f>Sales_data!E332</f>
        <v>10/03/2026</v>
      </c>
      <c r="F334" s="29">
        <f t="shared" si="16"/>
        <v>5</v>
      </c>
      <c r="G334" s="29" t="str">
        <f t="shared" si="17"/>
        <v>OnTime</v>
      </c>
    </row>
    <row r="335" spans="1:7" ht="15" customHeight="1">
      <c r="A335" s="29" t="str">
        <f>Sales_data!A333</f>
        <v>ORD10332</v>
      </c>
      <c r="B335" s="29" t="str">
        <f>Sales_data!H333</f>
        <v>03/06/1993</v>
      </c>
      <c r="C335" s="29">
        <f t="shared" ca="1" si="15"/>
        <v>33</v>
      </c>
      <c r="D335" s="29" t="str">
        <f>Sales_data!D333</f>
        <v>26/08/2025</v>
      </c>
      <c r="E335" s="29" t="str">
        <f>Sales_data!E333</f>
        <v>07/09/2025</v>
      </c>
      <c r="F335" s="29">
        <f t="shared" si="16"/>
        <v>12</v>
      </c>
      <c r="G335" s="29" t="str">
        <f t="shared" si="17"/>
        <v>Delayed</v>
      </c>
    </row>
    <row r="336" spans="1:7" ht="15" customHeight="1">
      <c r="A336" s="29" t="str">
        <f>Sales_data!A334</f>
        <v>ORD10333</v>
      </c>
      <c r="B336" s="29" t="str">
        <f>Sales_data!H334</f>
        <v>10/12/1999</v>
      </c>
      <c r="C336" s="29">
        <f t="shared" ca="1" si="15"/>
        <v>26</v>
      </c>
      <c r="D336" s="29" t="str">
        <f>Sales_data!D334</f>
        <v>05/04/2025</v>
      </c>
      <c r="E336" s="29" t="str">
        <f>Sales_data!E334</f>
        <v>08/04/2025</v>
      </c>
      <c r="F336" s="29">
        <f t="shared" si="16"/>
        <v>3</v>
      </c>
      <c r="G336" s="29" t="str">
        <f t="shared" si="17"/>
        <v>OnTime</v>
      </c>
    </row>
    <row r="337" spans="1:7" ht="15" customHeight="1">
      <c r="A337" s="29" t="str">
        <f>Sales_data!A335</f>
        <v>ORD10334</v>
      </c>
      <c r="B337" s="29" t="str">
        <f>Sales_data!H335</f>
        <v>06/06/1976</v>
      </c>
      <c r="C337" s="29">
        <f t="shared" ca="1" si="15"/>
        <v>50</v>
      </c>
      <c r="D337" s="29" t="str">
        <f>Sales_data!D335</f>
        <v>09/04/2025</v>
      </c>
      <c r="E337" s="29" t="str">
        <f>Sales_data!E335</f>
        <v>14/04/2025</v>
      </c>
      <c r="F337" s="29">
        <f t="shared" si="16"/>
        <v>5</v>
      </c>
      <c r="G337" s="29" t="str">
        <f t="shared" si="17"/>
        <v>OnTime</v>
      </c>
    </row>
    <row r="338" spans="1:7" ht="15" customHeight="1">
      <c r="A338" s="29" t="str">
        <f>Sales_data!A336</f>
        <v>ORD10335</v>
      </c>
      <c r="B338" s="29" t="str">
        <f>Sales_data!H336</f>
        <v>27/10/1984</v>
      </c>
      <c r="C338" s="29">
        <f t="shared" ca="1" si="15"/>
        <v>41</v>
      </c>
      <c r="D338" s="29" t="str">
        <f>Sales_data!D336</f>
        <v>13/05/2026</v>
      </c>
      <c r="E338" s="29" t="str">
        <f>Sales_data!E336</f>
        <v>16/05/2026</v>
      </c>
      <c r="F338" s="29">
        <f t="shared" si="16"/>
        <v>3</v>
      </c>
      <c r="G338" s="29" t="str">
        <f t="shared" si="17"/>
        <v>OnTime</v>
      </c>
    </row>
    <row r="339" spans="1:7" ht="15" customHeight="1">
      <c r="A339" s="29" t="str">
        <f>Sales_data!A337</f>
        <v>ORD10336</v>
      </c>
      <c r="B339" s="29" t="str">
        <f>Sales_data!H337</f>
        <v>28/02/1975</v>
      </c>
      <c r="C339" s="29">
        <f t="shared" ca="1" si="15"/>
        <v>51</v>
      </c>
      <c r="D339" s="29" t="str">
        <f>Sales_data!D337</f>
        <v>04/12/2025</v>
      </c>
      <c r="E339" s="29" t="str">
        <f>Sales_data!E337</f>
        <v>12/12/2025</v>
      </c>
      <c r="F339" s="29">
        <f t="shared" si="16"/>
        <v>8</v>
      </c>
      <c r="G339" s="29" t="str">
        <f t="shared" si="17"/>
        <v>Delayed</v>
      </c>
    </row>
    <row r="340" spans="1:7" ht="15" customHeight="1">
      <c r="A340" s="29" t="str">
        <f>Sales_data!A338</f>
        <v>ORD10337</v>
      </c>
      <c r="B340" s="29" t="str">
        <f>Sales_data!H338</f>
        <v>19/10/1993</v>
      </c>
      <c r="C340" s="29">
        <f t="shared" ca="1" si="15"/>
        <v>32</v>
      </c>
      <c r="D340" s="29" t="str">
        <f>Sales_data!D338</f>
        <v>08/03/2026</v>
      </c>
      <c r="E340" s="29" t="str">
        <f>Sales_data!E338</f>
        <v>10/03/2026</v>
      </c>
      <c r="F340" s="29">
        <f t="shared" si="16"/>
        <v>2</v>
      </c>
      <c r="G340" s="29" t="str">
        <f t="shared" si="17"/>
        <v>OnTime</v>
      </c>
    </row>
    <row r="341" spans="1:7" ht="15" customHeight="1">
      <c r="A341" s="29" t="str">
        <f>Sales_data!A339</f>
        <v>ORD10338</v>
      </c>
      <c r="B341" s="29" t="str">
        <f>Sales_data!H339</f>
        <v>25/10/1983</v>
      </c>
      <c r="C341" s="29">
        <f t="shared" ca="1" si="15"/>
        <v>42</v>
      </c>
      <c r="D341" s="29" t="str">
        <f>Sales_data!D339</f>
        <v>05/01/2026</v>
      </c>
      <c r="E341" s="29" t="str">
        <f>Sales_data!E339</f>
        <v>16/01/2026</v>
      </c>
      <c r="F341" s="29">
        <f t="shared" si="16"/>
        <v>11</v>
      </c>
      <c r="G341" s="29" t="str">
        <f t="shared" si="17"/>
        <v>Delayed</v>
      </c>
    </row>
    <row r="342" spans="1:7" ht="15" customHeight="1">
      <c r="A342" s="29" t="str">
        <f>Sales_data!A340</f>
        <v>ORD10339</v>
      </c>
      <c r="B342" s="29" t="str">
        <f>Sales_data!H340</f>
        <v>08/01/1983</v>
      </c>
      <c r="C342" s="29">
        <f t="shared" ca="1" si="15"/>
        <v>43</v>
      </c>
      <c r="D342" s="29" t="str">
        <f>Sales_data!D340</f>
        <v>07/02/2025</v>
      </c>
      <c r="E342" s="29" t="str">
        <f>Sales_data!E340</f>
        <v>10/02/2025</v>
      </c>
      <c r="F342" s="29">
        <f t="shared" si="16"/>
        <v>3</v>
      </c>
      <c r="G342" s="29" t="str">
        <f t="shared" si="17"/>
        <v>OnTime</v>
      </c>
    </row>
    <row r="343" spans="1:7" ht="15" customHeight="1">
      <c r="A343" s="29" t="str">
        <f>Sales_data!A341</f>
        <v>ORD10340</v>
      </c>
      <c r="B343" s="29" t="str">
        <f>Sales_data!H341</f>
        <v>14/12/1983</v>
      </c>
      <c r="C343" s="29">
        <f t="shared" ca="1" si="15"/>
        <v>42</v>
      </c>
      <c r="D343" s="29" t="str">
        <f>Sales_data!D341</f>
        <v>28/07/2025</v>
      </c>
      <c r="E343" s="29" t="str">
        <f>Sales_data!E341</f>
        <v>07/08/2025</v>
      </c>
      <c r="F343" s="29">
        <f t="shared" si="16"/>
        <v>10</v>
      </c>
      <c r="G343" s="29" t="str">
        <f t="shared" si="17"/>
        <v>Delayed</v>
      </c>
    </row>
    <row r="344" spans="1:7" ht="15" customHeight="1">
      <c r="A344" s="29" t="str">
        <f>Sales_data!A342</f>
        <v>ORD10341</v>
      </c>
      <c r="B344" s="29" t="str">
        <f>Sales_data!H342</f>
        <v>26/09/1983</v>
      </c>
      <c r="C344" s="29">
        <f t="shared" ca="1" si="15"/>
        <v>43</v>
      </c>
      <c r="D344" s="29" t="str">
        <f>Sales_data!D342</f>
        <v>15/10/2025</v>
      </c>
      <c r="E344" s="29" t="str">
        <f>Sales_data!E342</f>
        <v>21/10/2025</v>
      </c>
      <c r="F344" s="29">
        <f t="shared" si="16"/>
        <v>6</v>
      </c>
      <c r="G344" s="29" t="str">
        <f t="shared" si="17"/>
        <v>Delayed</v>
      </c>
    </row>
    <row r="345" spans="1:7" ht="15" customHeight="1">
      <c r="A345" s="29" t="str">
        <f>Sales_data!A343</f>
        <v>ORD10342</v>
      </c>
      <c r="B345" s="29" t="str">
        <f>Sales_data!H343</f>
        <v>23/05/1975</v>
      </c>
      <c r="C345" s="29">
        <f t="shared" ca="1" si="15"/>
        <v>51</v>
      </c>
      <c r="D345" s="29" t="str">
        <f>Sales_data!D343</f>
        <v>06/12/2025</v>
      </c>
      <c r="E345" s="29" t="str">
        <f>Sales_data!E343</f>
        <v>15/12/2025</v>
      </c>
      <c r="F345" s="29">
        <f t="shared" si="16"/>
        <v>9</v>
      </c>
      <c r="G345" s="29" t="str">
        <f t="shared" si="17"/>
        <v>Delayed</v>
      </c>
    </row>
    <row r="346" spans="1:7" ht="15" customHeight="1">
      <c r="A346" s="29" t="str">
        <f>Sales_data!A344</f>
        <v>ORD10343</v>
      </c>
      <c r="B346" s="29" t="str">
        <f>Sales_data!H344</f>
        <v>09/11/1994</v>
      </c>
      <c r="C346" s="29">
        <f t="shared" ca="1" si="15"/>
        <v>31</v>
      </c>
      <c r="D346" s="29" t="str">
        <f>Sales_data!D344</f>
        <v>20/05/2025</v>
      </c>
      <c r="E346" s="29" t="str">
        <f>Sales_data!E344</f>
        <v>22/05/2025</v>
      </c>
      <c r="F346" s="29">
        <f t="shared" si="16"/>
        <v>2</v>
      </c>
      <c r="G346" s="29" t="str">
        <f t="shared" si="17"/>
        <v>OnTime</v>
      </c>
    </row>
    <row r="347" spans="1:7" ht="15" customHeight="1">
      <c r="A347" s="29" t="str">
        <f>Sales_data!A345</f>
        <v>ORD10344</v>
      </c>
      <c r="B347" s="29" t="str">
        <f>Sales_data!H345</f>
        <v>17/12/1987</v>
      </c>
      <c r="C347" s="29">
        <f t="shared" ca="1" si="15"/>
        <v>38</v>
      </c>
      <c r="D347" s="29" t="str">
        <f>Sales_data!D345</f>
        <v>25/07/2025</v>
      </c>
      <c r="E347" s="29" t="str">
        <f>Sales_data!E345</f>
        <v>02/08/2025</v>
      </c>
      <c r="F347" s="29">
        <f t="shared" si="16"/>
        <v>8</v>
      </c>
      <c r="G347" s="29" t="str">
        <f t="shared" si="17"/>
        <v>Delayed</v>
      </c>
    </row>
    <row r="348" spans="1:7" ht="15" customHeight="1">
      <c r="A348" s="29" t="str">
        <f>Sales_data!A346</f>
        <v>ORD10345</v>
      </c>
      <c r="B348" s="29" t="str">
        <f>Sales_data!H346</f>
        <v>19/06/1975</v>
      </c>
      <c r="C348" s="29">
        <f t="shared" ca="1" si="15"/>
        <v>51</v>
      </c>
      <c r="D348" s="29" t="str">
        <f>Sales_data!D346</f>
        <v>05/08/2025</v>
      </c>
      <c r="E348" s="29" t="str">
        <f>Sales_data!E346</f>
        <v>17/08/2025</v>
      </c>
      <c r="F348" s="29">
        <f t="shared" si="16"/>
        <v>12</v>
      </c>
      <c r="G348" s="29" t="str">
        <f t="shared" si="17"/>
        <v>Delayed</v>
      </c>
    </row>
    <row r="349" spans="1:7" ht="15" customHeight="1">
      <c r="A349" s="29" t="str">
        <f>Sales_data!A347</f>
        <v>ORD10346</v>
      </c>
      <c r="B349" s="29" t="str">
        <f>Sales_data!H347</f>
        <v>09/01/1977</v>
      </c>
      <c r="C349" s="29">
        <f t="shared" ca="1" si="15"/>
        <v>49</v>
      </c>
      <c r="D349" s="29" t="str">
        <f>Sales_data!D347</f>
        <v>18/02/2026</v>
      </c>
      <c r="E349" s="29" t="str">
        <f>Sales_data!E347</f>
        <v>25/02/2026</v>
      </c>
      <c r="F349" s="29">
        <f t="shared" si="16"/>
        <v>7</v>
      </c>
      <c r="G349" s="29" t="str">
        <f t="shared" si="17"/>
        <v>Delayed</v>
      </c>
    </row>
    <row r="350" spans="1:7" ht="15" customHeight="1">
      <c r="A350" s="29" t="str">
        <f>Sales_data!A348</f>
        <v>ORD10347</v>
      </c>
      <c r="B350" s="29" t="str">
        <f>Sales_data!H348</f>
        <v>20/09/1993</v>
      </c>
      <c r="C350" s="29">
        <f t="shared" ca="1" si="15"/>
        <v>33</v>
      </c>
      <c r="D350" s="29" t="str">
        <f>Sales_data!D348</f>
        <v>21/03/2026</v>
      </c>
      <c r="E350" s="29" t="str">
        <f>Sales_data!E348</f>
        <v>26/03/2026</v>
      </c>
      <c r="F350" s="29">
        <f t="shared" si="16"/>
        <v>5</v>
      </c>
      <c r="G350" s="29" t="str">
        <f t="shared" si="17"/>
        <v>OnTime</v>
      </c>
    </row>
    <row r="351" spans="1:7" ht="15" customHeight="1">
      <c r="A351" s="29" t="str">
        <f>Sales_data!A349</f>
        <v>ORD10348</v>
      </c>
      <c r="B351" s="29" t="str">
        <f>Sales_data!H349</f>
        <v>05/03/1997</v>
      </c>
      <c r="C351" s="29">
        <f t="shared" ca="1" si="15"/>
        <v>29</v>
      </c>
      <c r="D351" s="29" t="str">
        <f>Sales_data!D349</f>
        <v>16/04/2026</v>
      </c>
      <c r="E351" s="29" t="str">
        <f>Sales_data!E349</f>
        <v>19/04/2026</v>
      </c>
      <c r="F351" s="29">
        <f t="shared" si="16"/>
        <v>3</v>
      </c>
      <c r="G351" s="29" t="str">
        <f t="shared" si="17"/>
        <v>OnTime</v>
      </c>
    </row>
    <row r="352" spans="1:7" ht="15" customHeight="1">
      <c r="A352" s="29" t="str">
        <f>Sales_data!A350</f>
        <v>ORD10349</v>
      </c>
      <c r="B352" s="29" t="str">
        <f>Sales_data!H350</f>
        <v>10/07/2002</v>
      </c>
      <c r="C352" s="29">
        <f t="shared" ca="1" si="15"/>
        <v>24</v>
      </c>
      <c r="D352" s="29" t="str">
        <f>Sales_data!D350</f>
        <v>13/10/2025</v>
      </c>
      <c r="E352" s="29" t="str">
        <f>Sales_data!E350</f>
        <v>14/10/2025</v>
      </c>
      <c r="F352" s="29">
        <f t="shared" si="16"/>
        <v>1</v>
      </c>
      <c r="G352" s="29" t="str">
        <f t="shared" si="17"/>
        <v>OnTime</v>
      </c>
    </row>
    <row r="353" spans="1:7" ht="15" customHeight="1">
      <c r="A353" s="29" t="str">
        <f>Sales_data!A351</f>
        <v>ORD10350</v>
      </c>
      <c r="B353" s="29" t="str">
        <f>Sales_data!H351</f>
        <v>18/04/1984</v>
      </c>
      <c r="C353" s="29">
        <f t="shared" ca="1" si="15"/>
        <v>42</v>
      </c>
      <c r="D353" s="29" t="str">
        <f>Sales_data!D351</f>
        <v>05/12/2025</v>
      </c>
      <c r="E353" s="29" t="str">
        <f>Sales_data!E351</f>
        <v>10/12/2025</v>
      </c>
      <c r="F353" s="29">
        <f t="shared" si="16"/>
        <v>5</v>
      </c>
      <c r="G353" s="29" t="str">
        <f t="shared" si="17"/>
        <v>OnTime</v>
      </c>
    </row>
    <row r="354" spans="1:7" ht="15" customHeight="1">
      <c r="A354" s="29" t="str">
        <f>Sales_data!A352</f>
        <v>ORD10351</v>
      </c>
      <c r="B354" s="29" t="str">
        <f>Sales_data!H352</f>
        <v>01/07/2003</v>
      </c>
      <c r="C354" s="29">
        <f t="shared" ca="1" si="15"/>
        <v>23</v>
      </c>
      <c r="D354" s="29" t="str">
        <f>Sales_data!D352</f>
        <v>30/07/2025</v>
      </c>
      <c r="E354" s="29" t="str">
        <f>Sales_data!E352</f>
        <v>04/08/2025</v>
      </c>
      <c r="F354" s="29">
        <f t="shared" si="16"/>
        <v>5</v>
      </c>
      <c r="G354" s="29" t="str">
        <f t="shared" si="17"/>
        <v>OnTime</v>
      </c>
    </row>
    <row r="355" spans="1:7" ht="15" customHeight="1">
      <c r="A355" s="29" t="str">
        <f>Sales_data!A353</f>
        <v>ORD10352</v>
      </c>
      <c r="B355" s="29" t="str">
        <f>Sales_data!H353</f>
        <v>25/10/1992</v>
      </c>
      <c r="C355" s="29">
        <f t="shared" ca="1" si="15"/>
        <v>33</v>
      </c>
      <c r="D355" s="29" t="str">
        <f>Sales_data!D353</f>
        <v>18/07/2025</v>
      </c>
      <c r="E355" s="29" t="str">
        <f>Sales_data!E353</f>
        <v>24/07/2025</v>
      </c>
      <c r="F355" s="29">
        <f t="shared" si="16"/>
        <v>6</v>
      </c>
      <c r="G355" s="29" t="str">
        <f t="shared" si="17"/>
        <v>Delayed</v>
      </c>
    </row>
    <row r="356" spans="1:7" ht="15" customHeight="1">
      <c r="A356" s="29" t="str">
        <f>Sales_data!A354</f>
        <v>ORD10353</v>
      </c>
      <c r="B356" s="29" t="str">
        <f>Sales_data!H354</f>
        <v>05/08/1988</v>
      </c>
      <c r="C356" s="29">
        <f t="shared" ca="1" si="15"/>
        <v>38</v>
      </c>
      <c r="D356" s="29" t="str">
        <f>Sales_data!D354</f>
        <v>11/03/2026</v>
      </c>
      <c r="E356" s="29" t="str">
        <f>Sales_data!E354</f>
        <v>12/03/2026</v>
      </c>
      <c r="F356" s="29">
        <f t="shared" si="16"/>
        <v>1</v>
      </c>
      <c r="G356" s="29" t="str">
        <f t="shared" si="17"/>
        <v>OnTime</v>
      </c>
    </row>
    <row r="357" spans="1:7" ht="15" customHeight="1">
      <c r="A357" s="29" t="str">
        <f>Sales_data!A355</f>
        <v>ORD10354</v>
      </c>
      <c r="B357" s="29" t="str">
        <f>Sales_data!H355</f>
        <v>24/06/1987</v>
      </c>
      <c r="C357" s="29">
        <f t="shared" ca="1" si="15"/>
        <v>39</v>
      </c>
      <c r="D357" s="29" t="str">
        <f>Sales_data!D355</f>
        <v>08/04/2026</v>
      </c>
      <c r="E357" s="29" t="str">
        <f>Sales_data!E355</f>
        <v>10/04/2026</v>
      </c>
      <c r="F357" s="29">
        <f t="shared" si="16"/>
        <v>2</v>
      </c>
      <c r="G357" s="29" t="str">
        <f t="shared" si="17"/>
        <v>OnTime</v>
      </c>
    </row>
    <row r="358" spans="1:7" ht="15" customHeight="1">
      <c r="A358" s="29" t="str">
        <f>Sales_data!A356</f>
        <v>ORD10355</v>
      </c>
      <c r="B358" s="29" t="str">
        <f>Sales_data!H356</f>
        <v>19/10/1989</v>
      </c>
      <c r="C358" s="29">
        <f t="shared" ca="1" si="15"/>
        <v>36</v>
      </c>
      <c r="D358" s="29" t="str">
        <f>Sales_data!D356</f>
        <v>18/09/2025</v>
      </c>
      <c r="E358" s="29" t="str">
        <f>Sales_data!E356</f>
        <v>25/09/2025</v>
      </c>
      <c r="F358" s="29">
        <f t="shared" si="16"/>
        <v>7</v>
      </c>
      <c r="G358" s="29" t="str">
        <f t="shared" si="17"/>
        <v>Delayed</v>
      </c>
    </row>
    <row r="359" spans="1:7" ht="15" customHeight="1">
      <c r="A359" s="29" t="str">
        <f>Sales_data!A357</f>
        <v>ORD10356</v>
      </c>
      <c r="B359" s="29" t="str">
        <f>Sales_data!H357</f>
        <v>22/05/1992</v>
      </c>
      <c r="C359" s="29">
        <f t="shared" ca="1" si="15"/>
        <v>34</v>
      </c>
      <c r="D359" s="29" t="str">
        <f>Sales_data!D357</f>
        <v>11/10/2025</v>
      </c>
      <c r="E359" s="29" t="str">
        <f>Sales_data!E357</f>
        <v>21/10/2025</v>
      </c>
      <c r="F359" s="29">
        <f t="shared" si="16"/>
        <v>10</v>
      </c>
      <c r="G359" s="29" t="str">
        <f t="shared" si="17"/>
        <v>Delayed</v>
      </c>
    </row>
    <row r="360" spans="1:7" ht="15" customHeight="1">
      <c r="A360" s="29" t="str">
        <f>Sales_data!A358</f>
        <v>ORD10357</v>
      </c>
      <c r="B360" s="29" t="str">
        <f>Sales_data!H358</f>
        <v>10/11/1989</v>
      </c>
      <c r="C360" s="29">
        <f t="shared" ca="1" si="15"/>
        <v>36</v>
      </c>
      <c r="D360" s="29" t="str">
        <f>Sales_data!D358</f>
        <v>\</v>
      </c>
      <c r="E360" s="29" t="str">
        <f>Sales_data!E358</f>
        <v>11/02/2025</v>
      </c>
      <c r="F360" s="29" t="str">
        <f t="shared" si="16"/>
        <v/>
      </c>
      <c r="G360" s="29" t="str">
        <f t="shared" si="17"/>
        <v>Pending</v>
      </c>
    </row>
    <row r="361" spans="1:7" ht="15" customHeight="1">
      <c r="A361" s="29" t="str">
        <f>Sales_data!A359</f>
        <v>ORD10358</v>
      </c>
      <c r="B361" s="29" t="str">
        <f>Sales_data!H359</f>
        <v>03/09/1980</v>
      </c>
      <c r="C361" s="29">
        <f t="shared" ca="1" si="15"/>
        <v>46</v>
      </c>
      <c r="D361" s="29" t="str">
        <f>Sales_data!D359</f>
        <v>14/12/2025</v>
      </c>
      <c r="E361" s="29" t="str">
        <f>Sales_data!E359</f>
        <v>26/12/2025</v>
      </c>
      <c r="F361" s="29">
        <f t="shared" si="16"/>
        <v>12</v>
      </c>
      <c r="G361" s="29" t="str">
        <f t="shared" si="17"/>
        <v>Delayed</v>
      </c>
    </row>
    <row r="362" spans="1:7" ht="15" customHeight="1">
      <c r="A362" s="29" t="str">
        <f>Sales_data!A360</f>
        <v>ORD10359</v>
      </c>
      <c r="B362" s="29" t="str">
        <f>Sales_data!H360</f>
        <v>06/03/1979</v>
      </c>
      <c r="C362" s="29">
        <f t="shared" ca="1" si="15"/>
        <v>47</v>
      </c>
      <c r="D362" s="29" t="str">
        <f>Sales_data!D360</f>
        <v>11/04/2026</v>
      </c>
      <c r="E362" s="29" t="str">
        <f>Sales_data!E360</f>
        <v>19/04/2026</v>
      </c>
      <c r="F362" s="29">
        <f t="shared" si="16"/>
        <v>8</v>
      </c>
      <c r="G362" s="29" t="str">
        <f t="shared" si="17"/>
        <v>Delayed</v>
      </c>
    </row>
    <row r="363" spans="1:7" ht="15" customHeight="1">
      <c r="A363" s="29" t="str">
        <f>Sales_data!A361</f>
        <v>ORD10360</v>
      </c>
      <c r="B363" s="29" t="str">
        <f>Sales_data!H361</f>
        <v>04/09/1996</v>
      </c>
      <c r="C363" s="29">
        <f t="shared" ca="1" si="15"/>
        <v>30</v>
      </c>
      <c r="D363" s="29" t="str">
        <f>Sales_data!D361</f>
        <v>19/04/2025</v>
      </c>
      <c r="E363" s="29" t="str">
        <f>Sales_data!E361</f>
        <v>22/04/2025</v>
      </c>
      <c r="F363" s="29">
        <f t="shared" si="16"/>
        <v>3</v>
      </c>
      <c r="G363" s="29" t="str">
        <f t="shared" si="17"/>
        <v>OnTime</v>
      </c>
    </row>
    <row r="364" spans="1:7" ht="15" customHeight="1">
      <c r="A364" s="29" t="str">
        <f>Sales_data!A362</f>
        <v>ORD10361</v>
      </c>
      <c r="B364" s="29" t="str">
        <f>Sales_data!H362</f>
        <v>14/03/1999</v>
      </c>
      <c r="C364" s="29">
        <f t="shared" ca="1" si="15"/>
        <v>27</v>
      </c>
      <c r="D364" s="29" t="str">
        <f>Sales_data!D362</f>
        <v>10/05/2026</v>
      </c>
      <c r="E364" s="29" t="str">
        <f>Sales_data!E362</f>
        <v>18/05/2026</v>
      </c>
      <c r="F364" s="29">
        <f t="shared" si="16"/>
        <v>8</v>
      </c>
      <c r="G364" s="29" t="str">
        <f t="shared" si="17"/>
        <v>Delayed</v>
      </c>
    </row>
    <row r="365" spans="1:7" ht="15" customHeight="1">
      <c r="A365" s="29" t="str">
        <f>Sales_data!A363</f>
        <v>ORD10362</v>
      </c>
      <c r="B365" s="29" t="str">
        <f>Sales_data!H363</f>
        <v>03/10/1984</v>
      </c>
      <c r="C365" s="29">
        <f t="shared" ca="1" si="15"/>
        <v>42</v>
      </c>
      <c r="D365" s="29" t="str">
        <f>Sales_data!D363</f>
        <v>20/07/2025</v>
      </c>
      <c r="E365" s="29" t="str">
        <f>Sales_data!E363</f>
        <v>26/07/2025</v>
      </c>
      <c r="F365" s="29">
        <f t="shared" si="16"/>
        <v>6</v>
      </c>
      <c r="G365" s="29" t="str">
        <f t="shared" si="17"/>
        <v>Delayed</v>
      </c>
    </row>
    <row r="366" spans="1:7" ht="15" customHeight="1">
      <c r="A366" s="29" t="str">
        <f>Sales_data!A364</f>
        <v>ORD10363</v>
      </c>
      <c r="B366" s="29" t="str">
        <f>Sales_data!H364</f>
        <v>09/07/1984</v>
      </c>
      <c r="C366" s="29">
        <f t="shared" ca="1" si="15"/>
        <v>42</v>
      </c>
      <c r="D366" s="29" t="str">
        <f>Sales_data!D364</f>
        <v>23/01/2026</v>
      </c>
      <c r="E366" s="29" t="str">
        <f>Sales_data!E364</f>
        <v>27/01/2026</v>
      </c>
      <c r="F366" s="29">
        <f t="shared" si="16"/>
        <v>4</v>
      </c>
      <c r="G366" s="29" t="str">
        <f t="shared" si="17"/>
        <v>OnTime</v>
      </c>
    </row>
    <row r="367" spans="1:7" ht="15" customHeight="1">
      <c r="A367" s="29" t="str">
        <f>Sales_data!A365</f>
        <v>ORD10364</v>
      </c>
      <c r="B367" s="29" t="str">
        <f>Sales_data!H365</f>
        <v>10/03/1989</v>
      </c>
      <c r="C367" s="29">
        <f t="shared" ca="1" si="15"/>
        <v>37</v>
      </c>
      <c r="D367" s="29" t="str">
        <f>Sales_data!D365</f>
        <v>16/03/2026</v>
      </c>
      <c r="E367" s="29" t="str">
        <f>Sales_data!E365</f>
        <v>21/03/2026</v>
      </c>
      <c r="F367" s="29">
        <f t="shared" si="16"/>
        <v>5</v>
      </c>
      <c r="G367" s="29" t="str">
        <f t="shared" si="17"/>
        <v>OnTime</v>
      </c>
    </row>
    <row r="368" spans="1:7" ht="15" customHeight="1">
      <c r="A368" s="29" t="str">
        <f>Sales_data!A366</f>
        <v>ORD10365</v>
      </c>
      <c r="B368" s="29" t="str">
        <f>Sales_data!H366</f>
        <v>19/04/1985</v>
      </c>
      <c r="C368" s="29">
        <f t="shared" ca="1" si="15"/>
        <v>41</v>
      </c>
      <c r="D368" s="29" t="str">
        <f>Sales_data!D366</f>
        <v>30/04/2025</v>
      </c>
      <c r="E368" s="29" t="str">
        <f>Sales_data!E366</f>
        <v>07/05/2025</v>
      </c>
      <c r="F368" s="29">
        <f t="shared" si="16"/>
        <v>7</v>
      </c>
      <c r="G368" s="29" t="str">
        <f t="shared" si="17"/>
        <v>Delayed</v>
      </c>
    </row>
    <row r="369" spans="1:7" ht="15" customHeight="1">
      <c r="A369" s="29" t="str">
        <f>Sales_data!A367</f>
        <v>ORD10366</v>
      </c>
      <c r="B369" s="29" t="str">
        <f>Sales_data!H367</f>
        <v>13/08/2003</v>
      </c>
      <c r="C369" s="29">
        <f t="shared" ca="1" si="15"/>
        <v>23</v>
      </c>
      <c r="D369" s="29" t="str">
        <f>Sales_data!D367</f>
        <v>03/02/2025</v>
      </c>
      <c r="E369" s="29" t="str">
        <f>Sales_data!E367</f>
        <v>13/02/2025</v>
      </c>
      <c r="F369" s="29">
        <f t="shared" si="16"/>
        <v>10</v>
      </c>
      <c r="G369" s="29" t="str">
        <f t="shared" si="17"/>
        <v>Delayed</v>
      </c>
    </row>
    <row r="370" spans="1:7" ht="15" customHeight="1">
      <c r="A370" s="29" t="str">
        <f>Sales_data!A368</f>
        <v>ORD10367</v>
      </c>
      <c r="B370" s="29" t="str">
        <f>Sales_data!H368</f>
        <v>11/09/1983</v>
      </c>
      <c r="C370" s="29">
        <f t="shared" ca="1" si="15"/>
        <v>43</v>
      </c>
      <c r="D370" s="29" t="str">
        <f>Sales_data!D368</f>
        <v>07/03/2026</v>
      </c>
      <c r="E370" s="29" t="str">
        <f>Sales_data!E368</f>
        <v>16/03/2026</v>
      </c>
      <c r="F370" s="29">
        <f t="shared" si="16"/>
        <v>9</v>
      </c>
      <c r="G370" s="29" t="str">
        <f t="shared" si="17"/>
        <v>Delayed</v>
      </c>
    </row>
    <row r="371" spans="1:7" ht="15" customHeight="1">
      <c r="A371" s="29" t="str">
        <f>Sales_data!A369</f>
        <v>ORD10368</v>
      </c>
      <c r="B371" s="29" t="str">
        <f>Sales_data!H369</f>
        <v>11/06/1976</v>
      </c>
      <c r="C371" s="29">
        <f t="shared" ca="1" si="15"/>
        <v>50</v>
      </c>
      <c r="D371" s="29" t="str">
        <f>Sales_data!D369</f>
        <v>03/05/2025</v>
      </c>
      <c r="E371" s="29" t="str">
        <f>Sales_data!E369</f>
        <v>15/05/2025</v>
      </c>
      <c r="F371" s="29">
        <f t="shared" si="16"/>
        <v>12</v>
      </c>
      <c r="G371" s="29" t="str">
        <f t="shared" si="17"/>
        <v>Delayed</v>
      </c>
    </row>
    <row r="372" spans="1:7" ht="15" customHeight="1">
      <c r="A372" s="29" t="str">
        <f>Sales_data!A370</f>
        <v>ORD10369</v>
      </c>
      <c r="B372" s="29" t="str">
        <f>Sales_data!H370</f>
        <v>04/01/1987</v>
      </c>
      <c r="C372" s="29">
        <f t="shared" ca="1" si="15"/>
        <v>39</v>
      </c>
      <c r="D372" s="29" t="str">
        <f>Sales_data!D370</f>
        <v>01/04/2026</v>
      </c>
      <c r="E372" s="29" t="str">
        <f>Sales_data!E370</f>
        <v>05/04/2026</v>
      </c>
      <c r="F372" s="29">
        <f t="shared" si="16"/>
        <v>4</v>
      </c>
      <c r="G372" s="29" t="str">
        <f t="shared" si="17"/>
        <v>OnTime</v>
      </c>
    </row>
    <row r="373" spans="1:7" ht="15" customHeight="1">
      <c r="A373" s="29" t="str">
        <f>Sales_data!A371</f>
        <v>ORD10370</v>
      </c>
      <c r="B373" s="29" t="str">
        <f>Sales_data!H371</f>
        <v>14/05/1992</v>
      </c>
      <c r="C373" s="29">
        <f t="shared" ca="1" si="15"/>
        <v>34</v>
      </c>
      <c r="D373" s="29">
        <f>Sales_data!D371</f>
        <v>0</v>
      </c>
      <c r="E373" s="29" t="str">
        <f>Sales_data!E371</f>
        <v>02/02/2025</v>
      </c>
      <c r="F373" s="29" t="str">
        <f t="shared" si="16"/>
        <v/>
      </c>
      <c r="G373" s="29" t="str">
        <f t="shared" si="17"/>
        <v>Pending</v>
      </c>
    </row>
    <row r="374" spans="1:7" ht="15" customHeight="1">
      <c r="A374" s="29" t="str">
        <f>Sales_data!A372</f>
        <v>ORD10371</v>
      </c>
      <c r="B374" s="29" t="str">
        <f>Sales_data!H372</f>
        <v>03/05/1989</v>
      </c>
      <c r="C374" s="29">
        <f t="shared" ca="1" si="15"/>
        <v>37</v>
      </c>
      <c r="D374" s="29" t="str">
        <f>Sales_data!D372</f>
        <v>06/10/2025</v>
      </c>
      <c r="E374" s="29" t="str">
        <f>Sales_data!E372</f>
        <v>08/10/2025</v>
      </c>
      <c r="F374" s="29">
        <f t="shared" si="16"/>
        <v>2</v>
      </c>
      <c r="G374" s="29" t="str">
        <f t="shared" si="17"/>
        <v>OnTime</v>
      </c>
    </row>
    <row r="375" spans="1:7" ht="15" customHeight="1">
      <c r="A375" s="29" t="str">
        <f>Sales_data!A373</f>
        <v>ORD10372</v>
      </c>
      <c r="B375" s="29" t="str">
        <f>Sales_data!H373</f>
        <v>19/12/1990</v>
      </c>
      <c r="C375" s="29">
        <f t="shared" ca="1" si="15"/>
        <v>35</v>
      </c>
      <c r="D375" s="29" t="str">
        <f>Sales_data!D373</f>
        <v>12/06/2025</v>
      </c>
      <c r="E375" s="29" t="str">
        <f>Sales_data!E373</f>
        <v>17/06/2025</v>
      </c>
      <c r="F375" s="29">
        <f t="shared" si="16"/>
        <v>5</v>
      </c>
      <c r="G375" s="29" t="str">
        <f t="shared" si="17"/>
        <v>OnTime</v>
      </c>
    </row>
    <row r="376" spans="1:7" ht="15" customHeight="1">
      <c r="A376" s="29" t="str">
        <f>Sales_data!A374</f>
        <v>ORD10373</v>
      </c>
      <c r="B376" s="29" t="str">
        <f>Sales_data!H374</f>
        <v>09/07/1995</v>
      </c>
      <c r="C376" s="29">
        <f t="shared" ca="1" si="15"/>
        <v>31</v>
      </c>
      <c r="D376" s="29" t="str">
        <f>Sales_data!D374</f>
        <v>18/11/2025</v>
      </c>
      <c r="E376" s="29" t="str">
        <f>Sales_data!E374</f>
        <v>20/11/2025</v>
      </c>
      <c r="F376" s="29">
        <f t="shared" si="16"/>
        <v>2</v>
      </c>
      <c r="G376" s="29" t="str">
        <f t="shared" si="17"/>
        <v>OnTime</v>
      </c>
    </row>
    <row r="377" spans="1:7" ht="15" customHeight="1">
      <c r="A377" s="29" t="str">
        <f>Sales_data!A375</f>
        <v>ORD10374</v>
      </c>
      <c r="B377" s="29" t="str">
        <f>Sales_data!H375</f>
        <v>23/12/1998</v>
      </c>
      <c r="C377" s="29">
        <f t="shared" ca="1" si="15"/>
        <v>27</v>
      </c>
      <c r="D377" s="29" t="str">
        <f>Sales_data!D375</f>
        <v>01/11/2025</v>
      </c>
      <c r="E377" s="29" t="str">
        <f>Sales_data!E375</f>
        <v>02/11/2025</v>
      </c>
      <c r="F377" s="29">
        <f t="shared" si="16"/>
        <v>1</v>
      </c>
      <c r="G377" s="29" t="str">
        <f t="shared" si="17"/>
        <v>OnTime</v>
      </c>
    </row>
    <row r="378" spans="1:7" ht="15" customHeight="1">
      <c r="A378" s="29" t="str">
        <f>Sales_data!A376</f>
        <v>ORD10375</v>
      </c>
      <c r="B378" s="29" t="str">
        <f>Sales_data!H376</f>
        <v>23/12/1979</v>
      </c>
      <c r="C378" s="29">
        <f t="shared" ca="1" si="15"/>
        <v>46</v>
      </c>
      <c r="D378" s="29" t="str">
        <f>Sales_data!D376</f>
        <v>24/01/2025</v>
      </c>
      <c r="E378" s="29" t="str">
        <f>Sales_data!E376</f>
        <v>31/01/2025</v>
      </c>
      <c r="F378" s="29">
        <f t="shared" si="16"/>
        <v>7</v>
      </c>
      <c r="G378" s="29" t="str">
        <f t="shared" si="17"/>
        <v>Delayed</v>
      </c>
    </row>
    <row r="379" spans="1:7" ht="15" customHeight="1">
      <c r="A379" s="29" t="str">
        <f>Sales_data!A377</f>
        <v>ORD10376</v>
      </c>
      <c r="B379" s="29" t="str">
        <f>Sales_data!H377</f>
        <v>15/12/1975</v>
      </c>
      <c r="C379" s="29">
        <f t="shared" ca="1" si="15"/>
        <v>50</v>
      </c>
      <c r="D379" s="29" t="str">
        <f>Sales_data!D377</f>
        <v>13/02/2026</v>
      </c>
      <c r="E379" s="29" t="str">
        <f>Sales_data!E377</f>
        <v>21/02/2026</v>
      </c>
      <c r="F379" s="29">
        <f t="shared" si="16"/>
        <v>8</v>
      </c>
      <c r="G379" s="29" t="str">
        <f t="shared" si="17"/>
        <v>Delayed</v>
      </c>
    </row>
    <row r="380" spans="1:7" ht="15" customHeight="1">
      <c r="A380" s="29" t="str">
        <f>Sales_data!A378</f>
        <v>ORD10377</v>
      </c>
      <c r="B380" s="29" t="str">
        <f>Sales_data!H378</f>
        <v>17/05/1993</v>
      </c>
      <c r="C380" s="29">
        <f t="shared" ca="1" si="15"/>
        <v>33</v>
      </c>
      <c r="D380" s="29" t="str">
        <f>Sales_data!D378</f>
        <v>08/02/2025</v>
      </c>
      <c r="E380" s="29" t="str">
        <f>Sales_data!E378</f>
        <v>19/02/2025</v>
      </c>
      <c r="F380" s="29">
        <f t="shared" si="16"/>
        <v>11</v>
      </c>
      <c r="G380" s="29" t="str">
        <f t="shared" si="17"/>
        <v>Delayed</v>
      </c>
    </row>
    <row r="381" spans="1:7" ht="15" customHeight="1">
      <c r="A381" s="29" t="str">
        <f>Sales_data!A379</f>
        <v>ORD10378</v>
      </c>
      <c r="B381" s="29" t="str">
        <f>Sales_data!H379</f>
        <v>17/09/1976</v>
      </c>
      <c r="C381" s="29">
        <f t="shared" ca="1" si="15"/>
        <v>50</v>
      </c>
      <c r="D381" s="29" t="str">
        <f>Sales_data!D379</f>
        <v>28/12/2025</v>
      </c>
      <c r="E381" s="29" t="str">
        <f>Sales_data!E379</f>
        <v>06/01/2026</v>
      </c>
      <c r="F381" s="29">
        <f t="shared" si="16"/>
        <v>9</v>
      </c>
      <c r="G381" s="29" t="str">
        <f t="shared" si="17"/>
        <v>Delayed</v>
      </c>
    </row>
    <row r="382" spans="1:7" ht="15" customHeight="1">
      <c r="A382" s="29" t="str">
        <f>Sales_data!A380</f>
        <v>ORD10379</v>
      </c>
      <c r="B382" s="29" t="str">
        <f>Sales_data!H380</f>
        <v>22/12/1996</v>
      </c>
      <c r="C382" s="29">
        <f t="shared" ca="1" si="15"/>
        <v>29</v>
      </c>
      <c r="D382" s="29" t="str">
        <f>Sales_data!D380</f>
        <v>01/10/2025</v>
      </c>
      <c r="E382" s="29" t="str">
        <f>Sales_data!E380</f>
        <v>03/10/2025</v>
      </c>
      <c r="F382" s="29">
        <f t="shared" si="16"/>
        <v>2</v>
      </c>
      <c r="G382" s="29" t="str">
        <f t="shared" si="17"/>
        <v>OnTime</v>
      </c>
    </row>
    <row r="383" spans="1:7" ht="15" customHeight="1">
      <c r="A383" s="29" t="str">
        <f>Sales_data!A381</f>
        <v>ORD10380</v>
      </c>
      <c r="B383" s="29" t="str">
        <f>Sales_data!H381</f>
        <v>25/12/1995</v>
      </c>
      <c r="C383" s="29">
        <f t="shared" ca="1" si="15"/>
        <v>30</v>
      </c>
      <c r="D383" s="29" t="str">
        <f>Sales_data!D381</f>
        <v>18/12/2025</v>
      </c>
      <c r="E383" s="29" t="str">
        <f>Sales_data!E381</f>
        <v>19/12/2025</v>
      </c>
      <c r="F383" s="29">
        <f t="shared" si="16"/>
        <v>1</v>
      </c>
      <c r="G383" s="29" t="str">
        <f t="shared" si="17"/>
        <v>OnTime</v>
      </c>
    </row>
    <row r="384" spans="1:7" ht="15" customHeight="1">
      <c r="A384" s="29" t="str">
        <f>Sales_data!A382</f>
        <v>ORD10381</v>
      </c>
      <c r="B384" s="29" t="str">
        <f>Sales_data!H382</f>
        <v>23/06/1985</v>
      </c>
      <c r="C384" s="29">
        <f t="shared" ca="1" si="15"/>
        <v>41</v>
      </c>
      <c r="D384" s="29" t="str">
        <f>Sales_data!D382</f>
        <v>29/09/2025</v>
      </c>
      <c r="E384" s="29" t="str">
        <f>Sales_data!E382</f>
        <v>07/10/2025</v>
      </c>
      <c r="F384" s="29">
        <f t="shared" si="16"/>
        <v>8</v>
      </c>
      <c r="G384" s="29" t="str">
        <f t="shared" si="17"/>
        <v>Delayed</v>
      </c>
    </row>
    <row r="385" spans="1:7" ht="15" customHeight="1">
      <c r="A385" s="29" t="str">
        <f>Sales_data!A383</f>
        <v>ORD10382</v>
      </c>
      <c r="B385" s="29" t="str">
        <f>Sales_data!H383</f>
        <v>10/02/1984</v>
      </c>
      <c r="C385" s="29">
        <f t="shared" ca="1" si="15"/>
        <v>42</v>
      </c>
      <c r="D385" s="29" t="str">
        <f>Sales_data!D383</f>
        <v>14/05/2025</v>
      </c>
      <c r="E385" s="29" t="str">
        <f>Sales_data!E383</f>
        <v>22/05/2025</v>
      </c>
      <c r="F385" s="29">
        <f t="shared" si="16"/>
        <v>8</v>
      </c>
      <c r="G385" s="29" t="str">
        <f t="shared" si="17"/>
        <v>Delayed</v>
      </c>
    </row>
    <row r="386" spans="1:7" ht="15" customHeight="1">
      <c r="A386" s="29" t="str">
        <f>Sales_data!A384</f>
        <v>ORD10383</v>
      </c>
      <c r="B386" s="29" t="str">
        <f>Sales_data!H384</f>
        <v>02/04/2002</v>
      </c>
      <c r="C386" s="29">
        <f t="shared" ca="1" si="15"/>
        <v>24</v>
      </c>
      <c r="D386" s="29" t="str">
        <f>Sales_data!D384</f>
        <v>01/04/2025</v>
      </c>
      <c r="E386" s="29" t="str">
        <f>Sales_data!E384</f>
        <v>11/04/2025</v>
      </c>
      <c r="F386" s="29">
        <f t="shared" si="16"/>
        <v>10</v>
      </c>
      <c r="G386" s="29" t="str">
        <f t="shared" si="17"/>
        <v>Delayed</v>
      </c>
    </row>
    <row r="387" spans="1:7" ht="15" customHeight="1">
      <c r="A387" s="29" t="str">
        <f>Sales_data!A385</f>
        <v>ORD10384</v>
      </c>
      <c r="B387" s="29" t="str">
        <f>Sales_data!H385</f>
        <v>17/07/2003</v>
      </c>
      <c r="C387" s="29">
        <f t="shared" ca="1" si="15"/>
        <v>23</v>
      </c>
      <c r="D387" s="29" t="str">
        <f>Sales_data!D385</f>
        <v>07/04/2025</v>
      </c>
      <c r="E387" s="29" t="str">
        <f>Sales_data!E385</f>
        <v>18/04/2025</v>
      </c>
      <c r="F387" s="29">
        <f t="shared" si="16"/>
        <v>11</v>
      </c>
      <c r="G387" s="29" t="str">
        <f t="shared" si="17"/>
        <v>Delayed</v>
      </c>
    </row>
    <row r="388" spans="1:7" ht="15" customHeight="1">
      <c r="A388" s="29" t="str">
        <f>Sales_data!A386</f>
        <v>ORD10385</v>
      </c>
      <c r="B388" s="29" t="str">
        <f>Sales_data!H386</f>
        <v>06/10/1991</v>
      </c>
      <c r="C388" s="29">
        <f t="shared" ref="C388:C451" ca="1" si="18">IFERROR(DATEDIF(DATE(VALUE(RIGHT(B388,4)),VALUE(MID(B388,4,2)),VALUE(LEFT(B388,2))),TODAY(),"Y"),"")</f>
        <v>35</v>
      </c>
      <c r="D388" s="29" t="str">
        <f>Sales_data!D386</f>
        <v>19/02/2026</v>
      </c>
      <c r="E388" s="29" t="str">
        <f>Sales_data!E386</f>
        <v>23/02/2026</v>
      </c>
      <c r="F388" s="29">
        <f t="shared" ref="F388:F451" si="19">IF(E388="","",IFERROR(DATE(VALUE(RIGHT(E388,4)),VALUE(MID(E388,4,2)),VALUE(LEFT(E388,2)))-DATE(VALUE(RIGHT(D388,4)),VALUE(MID(D388,4,2)),VALUE(LEFT(D388,2))),""))</f>
        <v>4</v>
      </c>
      <c r="G388" s="29" t="str">
        <f t="shared" ref="G388:G451" si="20">IF(E388="","Pending",IF(F388="","Pending",IF(F388&lt;=5,"OnTime","Delayed")))</f>
        <v>OnTime</v>
      </c>
    </row>
    <row r="389" spans="1:7" ht="15" customHeight="1">
      <c r="A389" s="29" t="str">
        <f>Sales_data!A387</f>
        <v>ORD10386</v>
      </c>
      <c r="B389" s="29" t="str">
        <f>Sales_data!H387</f>
        <v>05/01/1984</v>
      </c>
      <c r="C389" s="29">
        <f t="shared" ca="1" si="18"/>
        <v>42</v>
      </c>
      <c r="D389" s="29" t="str">
        <f>Sales_data!D387</f>
        <v>04/12/2025</v>
      </c>
      <c r="E389" s="29" t="str">
        <f>Sales_data!E387</f>
        <v>11/12/2025</v>
      </c>
      <c r="F389" s="29">
        <f t="shared" si="19"/>
        <v>7</v>
      </c>
      <c r="G389" s="29" t="str">
        <f t="shared" si="20"/>
        <v>Delayed</v>
      </c>
    </row>
    <row r="390" spans="1:7" ht="15" customHeight="1">
      <c r="A390" s="29" t="str">
        <f>Sales_data!A388</f>
        <v>ORD10387</v>
      </c>
      <c r="B390" s="29" t="str">
        <f>Sales_data!H388</f>
        <v>12/03/1975</v>
      </c>
      <c r="C390" s="29">
        <f t="shared" ca="1" si="18"/>
        <v>51</v>
      </c>
      <c r="D390" s="29" t="str">
        <f>Sales_data!D388</f>
        <v>20/10/2025</v>
      </c>
      <c r="E390" s="29" t="str">
        <f>Sales_data!E388</f>
        <v>24/10/2025</v>
      </c>
      <c r="F390" s="29">
        <f t="shared" si="19"/>
        <v>4</v>
      </c>
      <c r="G390" s="29" t="str">
        <f t="shared" si="20"/>
        <v>OnTime</v>
      </c>
    </row>
    <row r="391" spans="1:7" ht="15" customHeight="1">
      <c r="A391" s="29" t="str">
        <f>Sales_data!A389</f>
        <v>ORD10388</v>
      </c>
      <c r="B391" s="29" t="str">
        <f>Sales_data!H389</f>
        <v>15/03/1983</v>
      </c>
      <c r="C391" s="29">
        <f t="shared" ca="1" si="18"/>
        <v>43</v>
      </c>
      <c r="D391" s="29" t="str">
        <f>Sales_data!D389</f>
        <v>21/01/2026</v>
      </c>
      <c r="E391" s="29" t="str">
        <f>Sales_data!E389</f>
        <v>25/01/2026</v>
      </c>
      <c r="F391" s="29">
        <f t="shared" si="19"/>
        <v>4</v>
      </c>
      <c r="G391" s="29" t="str">
        <f t="shared" si="20"/>
        <v>OnTime</v>
      </c>
    </row>
    <row r="392" spans="1:7" ht="15" customHeight="1">
      <c r="A392" s="29" t="str">
        <f>Sales_data!A390</f>
        <v>ORD10389</v>
      </c>
      <c r="B392" s="29" t="str">
        <f>Sales_data!H390</f>
        <v>20/04/1976</v>
      </c>
      <c r="C392" s="29">
        <f t="shared" ca="1" si="18"/>
        <v>50</v>
      </c>
      <c r="D392" s="29" t="str">
        <f>Sales_data!D390</f>
        <v>25/01/2025</v>
      </c>
      <c r="E392" s="29" t="str">
        <f>Sales_data!E390</f>
        <v>28/01/2025</v>
      </c>
      <c r="F392" s="29">
        <f t="shared" si="19"/>
        <v>3</v>
      </c>
      <c r="G392" s="29" t="str">
        <f t="shared" si="20"/>
        <v>OnTime</v>
      </c>
    </row>
    <row r="393" spans="1:7" ht="15" customHeight="1">
      <c r="A393" s="29" t="str">
        <f>Sales_data!A391</f>
        <v>ORD10390</v>
      </c>
      <c r="B393" s="29" t="str">
        <f>Sales_data!H391</f>
        <v>11/02/1986</v>
      </c>
      <c r="C393" s="29">
        <f t="shared" ca="1" si="18"/>
        <v>40</v>
      </c>
      <c r="D393" s="29" t="str">
        <f>Sales_data!D391</f>
        <v>28/02/2025</v>
      </c>
      <c r="E393" s="29" t="str">
        <f>Sales_data!E391</f>
        <v>02/03/2025</v>
      </c>
      <c r="F393" s="29">
        <f t="shared" si="19"/>
        <v>2</v>
      </c>
      <c r="G393" s="29" t="str">
        <f t="shared" si="20"/>
        <v>OnTime</v>
      </c>
    </row>
    <row r="394" spans="1:7" ht="15" customHeight="1">
      <c r="A394" s="29" t="str">
        <f>Sales_data!A392</f>
        <v>ORD10391</v>
      </c>
      <c r="B394" s="29" t="str">
        <f>Sales_data!H392</f>
        <v>21/03/1978</v>
      </c>
      <c r="C394" s="29">
        <f t="shared" ca="1" si="18"/>
        <v>48</v>
      </c>
      <c r="D394" s="29" t="str">
        <f>Sales_data!D392</f>
        <v>20/06/2025</v>
      </c>
      <c r="E394" s="29" t="str">
        <f>Sales_data!E392</f>
        <v>21/06/2025</v>
      </c>
      <c r="F394" s="29">
        <f t="shared" si="19"/>
        <v>1</v>
      </c>
      <c r="G394" s="29" t="str">
        <f t="shared" si="20"/>
        <v>OnTime</v>
      </c>
    </row>
    <row r="395" spans="1:7" ht="15" customHeight="1">
      <c r="A395" s="29" t="str">
        <f>Sales_data!A393</f>
        <v>ORD10392</v>
      </c>
      <c r="B395" s="29" t="str">
        <f>Sales_data!H393</f>
        <v>12/07/1996</v>
      </c>
      <c r="C395" s="29">
        <f t="shared" ca="1" si="18"/>
        <v>30</v>
      </c>
      <c r="D395" s="29" t="str">
        <f>Sales_data!D393</f>
        <v>28/05/2025</v>
      </c>
      <c r="E395" s="29" t="str">
        <f>Sales_data!E393</f>
        <v>06/06/2025</v>
      </c>
      <c r="F395" s="29">
        <f t="shared" si="19"/>
        <v>9</v>
      </c>
      <c r="G395" s="29" t="str">
        <f t="shared" si="20"/>
        <v>Delayed</v>
      </c>
    </row>
    <row r="396" spans="1:7" ht="15" customHeight="1">
      <c r="A396" s="29" t="str">
        <f>Sales_data!A394</f>
        <v>ORD10393</v>
      </c>
      <c r="B396" s="29" t="str">
        <f>Sales_data!H394</f>
        <v>02/12/1992</v>
      </c>
      <c r="C396" s="29">
        <f t="shared" ca="1" si="18"/>
        <v>33</v>
      </c>
      <c r="D396" s="29" t="str">
        <f>Sales_data!D394</f>
        <v>03/01/2025</v>
      </c>
      <c r="E396" s="29" t="str">
        <f>Sales_data!E394</f>
        <v>08/01/2025</v>
      </c>
      <c r="F396" s="29">
        <f t="shared" si="19"/>
        <v>5</v>
      </c>
      <c r="G396" s="29" t="str">
        <f t="shared" si="20"/>
        <v>OnTime</v>
      </c>
    </row>
    <row r="397" spans="1:7" ht="15" customHeight="1">
      <c r="A397" s="29" t="str">
        <f>Sales_data!A395</f>
        <v>ORD10394</v>
      </c>
      <c r="B397" s="29" t="str">
        <f>Sales_data!H395</f>
        <v>23/03/1996</v>
      </c>
      <c r="C397" s="29">
        <f t="shared" ca="1" si="18"/>
        <v>30</v>
      </c>
      <c r="D397" s="29" t="str">
        <f>Sales_data!D395</f>
        <v>28/01/2025</v>
      </c>
      <c r="E397" s="29" t="str">
        <f>Sales_data!E395</f>
        <v>29/01/2025</v>
      </c>
      <c r="F397" s="29">
        <f t="shared" si="19"/>
        <v>1</v>
      </c>
      <c r="G397" s="29" t="str">
        <f t="shared" si="20"/>
        <v>OnTime</v>
      </c>
    </row>
    <row r="398" spans="1:7" ht="15" customHeight="1">
      <c r="A398" s="29" t="str">
        <f>Sales_data!A396</f>
        <v>ORD10395</v>
      </c>
      <c r="B398" s="29" t="str">
        <f>Sales_data!H396</f>
        <v>23/06/1994</v>
      </c>
      <c r="C398" s="29">
        <f t="shared" ca="1" si="18"/>
        <v>32</v>
      </c>
      <c r="D398" s="29" t="str">
        <f>Sales_data!D396</f>
        <v>18/02/2026</v>
      </c>
      <c r="E398" s="29" t="str">
        <f>Sales_data!E396</f>
        <v>26/02/2026</v>
      </c>
      <c r="F398" s="29">
        <f t="shared" si="19"/>
        <v>8</v>
      </c>
      <c r="G398" s="29" t="str">
        <f t="shared" si="20"/>
        <v>Delayed</v>
      </c>
    </row>
    <row r="399" spans="1:7" ht="15" customHeight="1">
      <c r="A399" s="29" t="str">
        <f>Sales_data!A397</f>
        <v>ORD10396</v>
      </c>
      <c r="B399" s="29" t="str">
        <f>Sales_data!H397</f>
        <v>02/02/1980</v>
      </c>
      <c r="C399" s="29">
        <f t="shared" ca="1" si="18"/>
        <v>46</v>
      </c>
      <c r="D399" s="29" t="str">
        <f>Sales_data!D397</f>
        <v>03/08/2025</v>
      </c>
      <c r="E399" s="29" t="str">
        <f>Sales_data!E397</f>
        <v>15/08/2025</v>
      </c>
      <c r="F399" s="29">
        <f t="shared" si="19"/>
        <v>12</v>
      </c>
      <c r="G399" s="29" t="str">
        <f t="shared" si="20"/>
        <v>Delayed</v>
      </c>
    </row>
    <row r="400" spans="1:7" ht="15" customHeight="1">
      <c r="A400" s="29" t="str">
        <f>Sales_data!A398</f>
        <v>ORD10397</v>
      </c>
      <c r="B400" s="29" t="str">
        <f>Sales_data!H398</f>
        <v>24/08/1990</v>
      </c>
      <c r="C400" s="29">
        <f t="shared" ca="1" si="18"/>
        <v>36</v>
      </c>
      <c r="D400" s="29" t="str">
        <f>Sales_data!D398</f>
        <v>15/01/2025</v>
      </c>
      <c r="E400" s="29" t="str">
        <f>Sales_data!E398</f>
        <v>18/01/2025</v>
      </c>
      <c r="F400" s="29">
        <f t="shared" si="19"/>
        <v>3</v>
      </c>
      <c r="G400" s="29" t="str">
        <f t="shared" si="20"/>
        <v>OnTime</v>
      </c>
    </row>
    <row r="401" spans="1:7" ht="15" customHeight="1">
      <c r="A401" s="29" t="str">
        <f>Sales_data!A399</f>
        <v>ORD10398</v>
      </c>
      <c r="B401" s="29" t="str">
        <f>Sales_data!H399</f>
        <v>10/12/1978</v>
      </c>
      <c r="C401" s="29">
        <f t="shared" ca="1" si="18"/>
        <v>47</v>
      </c>
      <c r="D401" s="29" t="str">
        <f>Sales_data!D399</f>
        <v>31/01/2025</v>
      </c>
      <c r="E401" s="29" t="str">
        <f>Sales_data!E399</f>
        <v>04/02/2025</v>
      </c>
      <c r="F401" s="29">
        <f t="shared" si="19"/>
        <v>4</v>
      </c>
      <c r="G401" s="29" t="str">
        <f t="shared" si="20"/>
        <v>OnTime</v>
      </c>
    </row>
    <row r="402" spans="1:7" ht="15" customHeight="1">
      <c r="A402" s="29" t="str">
        <f>Sales_data!A400</f>
        <v>ORD10399</v>
      </c>
      <c r="B402" s="29" t="str">
        <f>Sales_data!H400</f>
        <v>01/09/1979</v>
      </c>
      <c r="C402" s="29">
        <f t="shared" ca="1" si="18"/>
        <v>47</v>
      </c>
      <c r="D402" s="29">
        <f>Sales_data!D400</f>
        <v>0</v>
      </c>
      <c r="E402" s="29" t="str">
        <f>Sales_data!E400</f>
        <v>03/11/2025</v>
      </c>
      <c r="F402" s="29" t="str">
        <f t="shared" si="19"/>
        <v/>
      </c>
      <c r="G402" s="29" t="str">
        <f t="shared" si="20"/>
        <v>Pending</v>
      </c>
    </row>
    <row r="403" spans="1:7" ht="15" customHeight="1">
      <c r="A403" s="29" t="str">
        <f>Sales_data!A401</f>
        <v>ORD10400</v>
      </c>
      <c r="B403" s="29" t="str">
        <f>Sales_data!H401</f>
        <v>08/04/2001</v>
      </c>
      <c r="C403" s="29">
        <f t="shared" ca="1" si="18"/>
        <v>25</v>
      </c>
      <c r="D403" s="29" t="str">
        <f>Sales_data!D401</f>
        <v>13/05/2025</v>
      </c>
      <c r="E403" s="29" t="str">
        <f>Sales_data!E401</f>
        <v>21/05/2025</v>
      </c>
      <c r="F403" s="29">
        <f t="shared" si="19"/>
        <v>8</v>
      </c>
      <c r="G403" s="29" t="str">
        <f t="shared" si="20"/>
        <v>Delayed</v>
      </c>
    </row>
    <row r="404" spans="1:7" ht="15" customHeight="1">
      <c r="A404" s="29" t="str">
        <f>Sales_data!A402</f>
        <v>ORD10401</v>
      </c>
      <c r="B404" s="29" t="str">
        <f>Sales_data!H402</f>
        <v>01/01/1983</v>
      </c>
      <c r="C404" s="29">
        <f t="shared" ca="1" si="18"/>
        <v>43</v>
      </c>
      <c r="D404" s="29" t="str">
        <f>Sales_data!D402</f>
        <v>27/12/2025</v>
      </c>
      <c r="E404" s="29" t="str">
        <f>Sales_data!E402</f>
        <v>04/01/2026</v>
      </c>
      <c r="F404" s="29">
        <f t="shared" si="19"/>
        <v>8</v>
      </c>
      <c r="G404" s="29" t="str">
        <f t="shared" si="20"/>
        <v>Delayed</v>
      </c>
    </row>
    <row r="405" spans="1:7" ht="15" customHeight="1">
      <c r="A405" s="29" t="str">
        <f>Sales_data!A403</f>
        <v>ORD10402</v>
      </c>
      <c r="B405" s="29" t="str">
        <f>Sales_data!H403</f>
        <v>09/08/1989</v>
      </c>
      <c r="C405" s="29">
        <f t="shared" ca="1" si="18"/>
        <v>37</v>
      </c>
      <c r="D405" s="29" t="str">
        <f>Sales_data!D403</f>
        <v>11/02/2025</v>
      </c>
      <c r="E405" s="29" t="str">
        <f>Sales_data!E403</f>
        <v>21/02/2025</v>
      </c>
      <c r="F405" s="29">
        <f t="shared" si="19"/>
        <v>10</v>
      </c>
      <c r="G405" s="29" t="str">
        <f t="shared" si="20"/>
        <v>Delayed</v>
      </c>
    </row>
    <row r="406" spans="1:7" ht="15" customHeight="1">
      <c r="A406" s="29" t="str">
        <f>Sales_data!A404</f>
        <v>ORD10403</v>
      </c>
      <c r="B406" s="29" t="str">
        <f>Sales_data!H404</f>
        <v>22/10/1993</v>
      </c>
      <c r="C406" s="29">
        <f t="shared" ca="1" si="18"/>
        <v>32</v>
      </c>
      <c r="D406" s="29" t="str">
        <f>Sales_data!D404</f>
        <v>13/03/2026</v>
      </c>
      <c r="E406" s="29" t="str">
        <f>Sales_data!E404</f>
        <v>19/03/2026</v>
      </c>
      <c r="F406" s="29">
        <f t="shared" si="19"/>
        <v>6</v>
      </c>
      <c r="G406" s="29" t="str">
        <f t="shared" si="20"/>
        <v>Delayed</v>
      </c>
    </row>
    <row r="407" spans="1:7" ht="15" customHeight="1">
      <c r="A407" s="29" t="str">
        <f>Sales_data!A405</f>
        <v>ORD10404</v>
      </c>
      <c r="B407" s="29" t="str">
        <f>Sales_data!H405</f>
        <v>05/05/2000</v>
      </c>
      <c r="C407" s="29">
        <f t="shared" ca="1" si="18"/>
        <v>26</v>
      </c>
      <c r="D407" s="29" t="str">
        <f>Sales_data!D405</f>
        <v>01/10/2025</v>
      </c>
      <c r="E407" s="29" t="str">
        <f>Sales_data!E405</f>
        <v>12/10/2025</v>
      </c>
      <c r="F407" s="29">
        <f t="shared" si="19"/>
        <v>11</v>
      </c>
      <c r="G407" s="29" t="str">
        <f t="shared" si="20"/>
        <v>Delayed</v>
      </c>
    </row>
    <row r="408" spans="1:7" ht="15" customHeight="1">
      <c r="A408" s="29" t="str">
        <f>Sales_data!A406</f>
        <v>ORD10405</v>
      </c>
      <c r="B408" s="29" t="str">
        <f>Sales_data!H406</f>
        <v>18/02/1984</v>
      </c>
      <c r="C408" s="29">
        <f t="shared" ca="1" si="18"/>
        <v>42</v>
      </c>
      <c r="D408" s="29" t="str">
        <f>Sales_data!D406</f>
        <v>26/01/2026</v>
      </c>
      <c r="E408" s="29" t="str">
        <f>Sales_data!E406</f>
        <v>01/02/2026</v>
      </c>
      <c r="F408" s="29">
        <f t="shared" si="19"/>
        <v>6</v>
      </c>
      <c r="G408" s="29" t="str">
        <f t="shared" si="20"/>
        <v>Delayed</v>
      </c>
    </row>
    <row r="409" spans="1:7" ht="15" customHeight="1">
      <c r="A409" s="29" t="str">
        <f>Sales_data!A407</f>
        <v>ORD10406</v>
      </c>
      <c r="B409" s="29" t="str">
        <f>Sales_data!H407</f>
        <v>13/06/1991</v>
      </c>
      <c r="C409" s="29">
        <f t="shared" ca="1" si="18"/>
        <v>35</v>
      </c>
      <c r="D409" s="29" t="str">
        <f>Sales_data!D407</f>
        <v>02/07/2025</v>
      </c>
      <c r="E409" s="29" t="str">
        <f>Sales_data!E407</f>
        <v>12/07/2025</v>
      </c>
      <c r="F409" s="29">
        <f t="shared" si="19"/>
        <v>10</v>
      </c>
      <c r="G409" s="29" t="str">
        <f t="shared" si="20"/>
        <v>Delayed</v>
      </c>
    </row>
    <row r="410" spans="1:7" ht="15" customHeight="1">
      <c r="A410" s="29" t="str">
        <f>Sales_data!A408</f>
        <v>ORD10407</v>
      </c>
      <c r="B410" s="29" t="str">
        <f>Sales_data!H408</f>
        <v>19/05/1996</v>
      </c>
      <c r="C410" s="29">
        <f t="shared" ca="1" si="18"/>
        <v>30</v>
      </c>
      <c r="D410" s="29" t="str">
        <f>Sales_data!D408</f>
        <v>05/10/2025</v>
      </c>
      <c r="E410" s="29" t="str">
        <f>Sales_data!E408</f>
        <v>09/10/2025</v>
      </c>
      <c r="F410" s="29">
        <f t="shared" si="19"/>
        <v>4</v>
      </c>
      <c r="G410" s="29" t="str">
        <f t="shared" si="20"/>
        <v>OnTime</v>
      </c>
    </row>
    <row r="411" spans="1:7" ht="15" customHeight="1">
      <c r="A411" s="29" t="str">
        <f>Sales_data!A409</f>
        <v>ORD10408</v>
      </c>
      <c r="B411" s="29" t="str">
        <f>Sales_data!H409</f>
        <v>23/05/1992</v>
      </c>
      <c r="C411" s="29">
        <f t="shared" ca="1" si="18"/>
        <v>34</v>
      </c>
      <c r="D411" s="29" t="str">
        <f>Sales_data!D409</f>
        <v>30/05/2025</v>
      </c>
      <c r="E411" s="29" t="str">
        <f>Sales_data!E409</f>
        <v>02/06/2025</v>
      </c>
      <c r="F411" s="29">
        <f t="shared" si="19"/>
        <v>3</v>
      </c>
      <c r="G411" s="29" t="str">
        <f t="shared" si="20"/>
        <v>OnTime</v>
      </c>
    </row>
    <row r="412" spans="1:7" ht="15" customHeight="1">
      <c r="A412" s="29" t="str">
        <f>Sales_data!A410</f>
        <v>ORD10409</v>
      </c>
      <c r="B412" s="29" t="str">
        <f>Sales_data!H410</f>
        <v>15/06/1988</v>
      </c>
      <c r="C412" s="29">
        <f t="shared" ca="1" si="18"/>
        <v>38</v>
      </c>
      <c r="D412" s="29" t="str">
        <f>Sales_data!D410</f>
        <v>27/01/2025</v>
      </c>
      <c r="E412" s="29" t="str">
        <f>Sales_data!E410</f>
        <v>06/02/2025</v>
      </c>
      <c r="F412" s="29">
        <f t="shared" si="19"/>
        <v>10</v>
      </c>
      <c r="G412" s="29" t="str">
        <f t="shared" si="20"/>
        <v>Delayed</v>
      </c>
    </row>
    <row r="413" spans="1:7" ht="15" customHeight="1">
      <c r="A413" s="29" t="str">
        <f>Sales_data!A411</f>
        <v>ORD10410</v>
      </c>
      <c r="B413" s="29" t="str">
        <f>Sales_data!H411</f>
        <v>22/07/1993</v>
      </c>
      <c r="C413" s="29">
        <f t="shared" ca="1" si="18"/>
        <v>33</v>
      </c>
      <c r="D413" s="29" t="str">
        <f>Sales_data!D411</f>
        <v>24/12/2025</v>
      </c>
      <c r="E413" s="29" t="str">
        <f>Sales_data!E411</f>
        <v>01/01/2026</v>
      </c>
      <c r="F413" s="29">
        <f t="shared" si="19"/>
        <v>8</v>
      </c>
      <c r="G413" s="29" t="str">
        <f t="shared" si="20"/>
        <v>Delayed</v>
      </c>
    </row>
    <row r="414" spans="1:7" ht="15" customHeight="1">
      <c r="A414" s="29" t="str">
        <f>Sales_data!A412</f>
        <v>ORD10411</v>
      </c>
      <c r="B414" s="29" t="str">
        <f>Sales_data!H412</f>
        <v>03/02/2004</v>
      </c>
      <c r="C414" s="29">
        <f t="shared" ca="1" si="18"/>
        <v>22</v>
      </c>
      <c r="D414" s="29" t="str">
        <f>Sales_data!D412</f>
        <v>11/05/2026</v>
      </c>
      <c r="E414" s="29" t="str">
        <f>Sales_data!E412</f>
        <v>17/05/2026</v>
      </c>
      <c r="F414" s="29">
        <f t="shared" si="19"/>
        <v>6</v>
      </c>
      <c r="G414" s="29" t="str">
        <f t="shared" si="20"/>
        <v>Delayed</v>
      </c>
    </row>
    <row r="415" spans="1:7" ht="15" customHeight="1">
      <c r="A415" s="29" t="str">
        <f>Sales_data!A413</f>
        <v>ORD10412</v>
      </c>
      <c r="B415" s="29" t="str">
        <f>Sales_data!H413</f>
        <v>23/12/1978</v>
      </c>
      <c r="C415" s="29">
        <f t="shared" ca="1" si="18"/>
        <v>47</v>
      </c>
      <c r="D415" s="29" t="str">
        <f>Sales_data!D413</f>
        <v>11/02/2026</v>
      </c>
      <c r="E415" s="29" t="str">
        <f>Sales_data!E413</f>
        <v>23/02/2026</v>
      </c>
      <c r="F415" s="29">
        <f t="shared" si="19"/>
        <v>12</v>
      </c>
      <c r="G415" s="29" t="str">
        <f t="shared" si="20"/>
        <v>Delayed</v>
      </c>
    </row>
    <row r="416" spans="1:7" ht="15" customHeight="1">
      <c r="A416" s="29" t="str">
        <f>Sales_data!A414</f>
        <v>ORD10413</v>
      </c>
      <c r="B416" s="29" t="str">
        <f>Sales_data!H414</f>
        <v>15/10/1993</v>
      </c>
      <c r="C416" s="29">
        <f t="shared" ca="1" si="18"/>
        <v>32</v>
      </c>
      <c r="D416" s="29" t="str">
        <f>Sales_data!D414</f>
        <v>16/02/2025</v>
      </c>
      <c r="E416" s="29" t="str">
        <f>Sales_data!E414</f>
        <v>24/02/2025</v>
      </c>
      <c r="F416" s="29">
        <f t="shared" si="19"/>
        <v>8</v>
      </c>
      <c r="G416" s="29" t="str">
        <f t="shared" si="20"/>
        <v>Delayed</v>
      </c>
    </row>
    <row r="417" spans="1:7" ht="15" customHeight="1">
      <c r="A417" s="29" t="str">
        <f>Sales_data!A415</f>
        <v>ORD10414</v>
      </c>
      <c r="B417" s="29" t="str">
        <f>Sales_data!H415</f>
        <v>12/12/1979</v>
      </c>
      <c r="C417" s="29">
        <f t="shared" ca="1" si="18"/>
        <v>46</v>
      </c>
      <c r="D417" s="29" t="str">
        <f>Sales_data!D415</f>
        <v>09/04/2025</v>
      </c>
      <c r="E417" s="29" t="str">
        <f>Sales_data!E415</f>
        <v>14/04/2025</v>
      </c>
      <c r="F417" s="29">
        <f t="shared" si="19"/>
        <v>5</v>
      </c>
      <c r="G417" s="29" t="str">
        <f t="shared" si="20"/>
        <v>OnTime</v>
      </c>
    </row>
    <row r="418" spans="1:7" ht="15" customHeight="1">
      <c r="A418" s="29" t="str">
        <f>Sales_data!A416</f>
        <v>ORD10415</v>
      </c>
      <c r="B418" s="29" t="str">
        <f>Sales_data!H416</f>
        <v>24/05/2002</v>
      </c>
      <c r="C418" s="29">
        <f t="shared" ca="1" si="18"/>
        <v>24</v>
      </c>
      <c r="D418" s="29" t="str">
        <f>Sales_data!D416</f>
        <v>15/01/2025</v>
      </c>
      <c r="E418" s="29" t="str">
        <f>Sales_data!E416</f>
        <v>20/01/2025</v>
      </c>
      <c r="F418" s="29">
        <f t="shared" si="19"/>
        <v>5</v>
      </c>
      <c r="G418" s="29" t="str">
        <f t="shared" si="20"/>
        <v>OnTime</v>
      </c>
    </row>
    <row r="419" spans="1:7" ht="15" customHeight="1">
      <c r="A419" s="29" t="str">
        <f>Sales_data!A417</f>
        <v>ORD10416</v>
      </c>
      <c r="B419" s="29" t="str">
        <f>Sales_data!H417</f>
        <v>09/03/1976</v>
      </c>
      <c r="C419" s="29">
        <f t="shared" ca="1" si="18"/>
        <v>50</v>
      </c>
      <c r="D419" s="29" t="str">
        <f>Sales_data!D417</f>
        <v>27/03/2026</v>
      </c>
      <c r="E419" s="29" t="str">
        <f>Sales_data!E417</f>
        <v>02/04/2026</v>
      </c>
      <c r="F419" s="29">
        <f t="shared" si="19"/>
        <v>6</v>
      </c>
      <c r="G419" s="29" t="str">
        <f t="shared" si="20"/>
        <v>Delayed</v>
      </c>
    </row>
    <row r="420" spans="1:7" ht="15" customHeight="1">
      <c r="A420" s="29" t="str">
        <f>Sales_data!A418</f>
        <v>ORD10417</v>
      </c>
      <c r="B420" s="29" t="str">
        <f>Sales_data!H418</f>
        <v>20/09/1980</v>
      </c>
      <c r="C420" s="29">
        <f t="shared" ca="1" si="18"/>
        <v>46</v>
      </c>
      <c r="D420" s="29" t="str">
        <f>Sales_data!D418</f>
        <v>05/01/2026</v>
      </c>
      <c r="E420" s="29" t="str">
        <f>Sales_data!E418</f>
        <v>09/01/2026</v>
      </c>
      <c r="F420" s="29">
        <f t="shared" si="19"/>
        <v>4</v>
      </c>
      <c r="G420" s="29" t="str">
        <f t="shared" si="20"/>
        <v>OnTime</v>
      </c>
    </row>
    <row r="421" spans="1:7" ht="15" customHeight="1">
      <c r="A421" s="29" t="str">
        <f>Sales_data!A419</f>
        <v>ORD10418</v>
      </c>
      <c r="B421" s="29" t="str">
        <f>Sales_data!H419</f>
        <v>24/06/1988</v>
      </c>
      <c r="C421" s="29">
        <f t="shared" ca="1" si="18"/>
        <v>38</v>
      </c>
      <c r="D421" s="29" t="str">
        <f>Sales_data!D419</f>
        <v>17/04/2026</v>
      </c>
      <c r="E421" s="29" t="str">
        <f>Sales_data!E419</f>
        <v>29/04/2026</v>
      </c>
      <c r="F421" s="29">
        <f t="shared" si="19"/>
        <v>12</v>
      </c>
      <c r="G421" s="29" t="str">
        <f t="shared" si="20"/>
        <v>Delayed</v>
      </c>
    </row>
    <row r="422" spans="1:7" ht="15" customHeight="1">
      <c r="A422" s="29" t="str">
        <f>Sales_data!A420</f>
        <v>ORD10419</v>
      </c>
      <c r="B422" s="29" t="str">
        <f>Sales_data!H420</f>
        <v>11/06/2003</v>
      </c>
      <c r="C422" s="29">
        <f t="shared" ca="1" si="18"/>
        <v>23</v>
      </c>
      <c r="D422" s="29" t="str">
        <f>Sales_data!D420</f>
        <v>25/03/2025</v>
      </c>
      <c r="E422" s="29" t="str">
        <f>Sales_data!E420</f>
        <v>29/03/2025</v>
      </c>
      <c r="F422" s="29">
        <f t="shared" si="19"/>
        <v>4</v>
      </c>
      <c r="G422" s="29" t="str">
        <f t="shared" si="20"/>
        <v>OnTime</v>
      </c>
    </row>
    <row r="423" spans="1:7" ht="15" customHeight="1">
      <c r="A423" s="29" t="str">
        <f>Sales_data!A421</f>
        <v>ORD10420</v>
      </c>
      <c r="B423" s="29" t="str">
        <f>Sales_data!H421</f>
        <v>10/12/1981</v>
      </c>
      <c r="C423" s="29">
        <f t="shared" ca="1" si="18"/>
        <v>44</v>
      </c>
      <c r="D423" s="29" t="str">
        <f>Sales_data!D421</f>
        <v>27/04/2025</v>
      </c>
      <c r="E423" s="29" t="str">
        <f>Sales_data!E421</f>
        <v>09/05/2025</v>
      </c>
      <c r="F423" s="29">
        <f t="shared" si="19"/>
        <v>12</v>
      </c>
      <c r="G423" s="29" t="str">
        <f t="shared" si="20"/>
        <v>Delayed</v>
      </c>
    </row>
    <row r="424" spans="1:7" ht="15" customHeight="1">
      <c r="A424" s="29" t="str">
        <f>Sales_data!A422</f>
        <v>ORD10421</v>
      </c>
      <c r="B424" s="29" t="str">
        <f>Sales_data!H422</f>
        <v>24/02/1975</v>
      </c>
      <c r="C424" s="29">
        <f t="shared" ca="1" si="18"/>
        <v>51</v>
      </c>
      <c r="D424" s="29" t="str">
        <f>Sales_data!D422</f>
        <v>19/09/2025</v>
      </c>
      <c r="E424" s="29" t="str">
        <f>Sales_data!E422</f>
        <v>26/09/2025</v>
      </c>
      <c r="F424" s="29">
        <f t="shared" si="19"/>
        <v>7</v>
      </c>
      <c r="G424" s="29" t="str">
        <f t="shared" si="20"/>
        <v>Delayed</v>
      </c>
    </row>
    <row r="425" spans="1:7" ht="15" customHeight="1">
      <c r="A425" s="29" t="str">
        <f>Sales_data!A423</f>
        <v>ORD10422</v>
      </c>
      <c r="B425" s="29" t="str">
        <f>Sales_data!H423</f>
        <v>27/09/1977</v>
      </c>
      <c r="C425" s="29">
        <f t="shared" ca="1" si="18"/>
        <v>49</v>
      </c>
      <c r="D425" s="29" t="str">
        <f>Sales_data!D423</f>
        <v>18/05/2025</v>
      </c>
      <c r="E425" s="29" t="str">
        <f>Sales_data!E423</f>
        <v>20/05/2025</v>
      </c>
      <c r="F425" s="29">
        <f t="shared" si="19"/>
        <v>2</v>
      </c>
      <c r="G425" s="29" t="str">
        <f t="shared" si="20"/>
        <v>OnTime</v>
      </c>
    </row>
    <row r="426" spans="1:7" ht="15" customHeight="1">
      <c r="A426" s="29" t="str">
        <f>Sales_data!A424</f>
        <v>ORD10423</v>
      </c>
      <c r="B426" s="29" t="str">
        <f>Sales_data!H424</f>
        <v>25/12/1987</v>
      </c>
      <c r="C426" s="29">
        <f t="shared" ca="1" si="18"/>
        <v>38</v>
      </c>
      <c r="D426" s="29" t="str">
        <f>Sales_data!D424</f>
        <v>29/12/2025</v>
      </c>
      <c r="E426" s="29" t="str">
        <f>Sales_data!E424</f>
        <v>30/12/2025</v>
      </c>
      <c r="F426" s="29">
        <f t="shared" si="19"/>
        <v>1</v>
      </c>
      <c r="G426" s="29" t="str">
        <f t="shared" si="20"/>
        <v>OnTime</v>
      </c>
    </row>
    <row r="427" spans="1:7" ht="15" customHeight="1">
      <c r="A427" s="29" t="str">
        <f>Sales_data!A425</f>
        <v>ORD10424</v>
      </c>
      <c r="B427" s="29" t="str">
        <f>Sales_data!H425</f>
        <v>23/03/2001</v>
      </c>
      <c r="C427" s="29">
        <f t="shared" ca="1" si="18"/>
        <v>25</v>
      </c>
      <c r="D427" s="29" t="str">
        <f>Sales_data!D425</f>
        <v>12/01/2025</v>
      </c>
      <c r="E427" s="29" t="str">
        <f>Sales_data!E425</f>
        <v>16/01/2025</v>
      </c>
      <c r="F427" s="29">
        <f t="shared" si="19"/>
        <v>4</v>
      </c>
      <c r="G427" s="29" t="str">
        <f t="shared" si="20"/>
        <v>OnTime</v>
      </c>
    </row>
    <row r="428" spans="1:7" ht="15" customHeight="1">
      <c r="A428" s="29" t="str">
        <f>Sales_data!A426</f>
        <v>ORD10425</v>
      </c>
      <c r="B428" s="29" t="str">
        <f>Sales_data!H426</f>
        <v>22/09/1982</v>
      </c>
      <c r="C428" s="29">
        <f t="shared" ca="1" si="18"/>
        <v>44</v>
      </c>
      <c r="D428" s="29" t="str">
        <f>Sales_data!D426</f>
        <v>13/01/2026</v>
      </c>
      <c r="E428" s="29" t="str">
        <f>Sales_data!E426</f>
        <v>22/01/2026</v>
      </c>
      <c r="F428" s="29">
        <f t="shared" si="19"/>
        <v>9</v>
      </c>
      <c r="G428" s="29" t="str">
        <f t="shared" si="20"/>
        <v>Delayed</v>
      </c>
    </row>
    <row r="429" spans="1:7" ht="15" customHeight="1">
      <c r="A429" s="29" t="str">
        <f>Sales_data!A427</f>
        <v>ORD10426</v>
      </c>
      <c r="B429" s="29" t="str">
        <f>Sales_data!H427</f>
        <v>15/09/1986</v>
      </c>
      <c r="C429" s="29">
        <f t="shared" ca="1" si="18"/>
        <v>40</v>
      </c>
      <c r="D429" s="29" t="str">
        <f>Sales_data!D427</f>
        <v>15/03/2026</v>
      </c>
      <c r="E429" s="29" t="str">
        <f>Sales_data!E427</f>
        <v>18/03/2026</v>
      </c>
      <c r="F429" s="29">
        <f t="shared" si="19"/>
        <v>3</v>
      </c>
      <c r="G429" s="29" t="str">
        <f t="shared" si="20"/>
        <v>OnTime</v>
      </c>
    </row>
    <row r="430" spans="1:7" ht="15" customHeight="1">
      <c r="A430" s="29" t="str">
        <f>Sales_data!A428</f>
        <v>ORD10427</v>
      </c>
      <c r="B430" s="29" t="str">
        <f>Sales_data!H428</f>
        <v>12/12/2002</v>
      </c>
      <c r="C430" s="29">
        <f t="shared" ca="1" si="18"/>
        <v>23</v>
      </c>
      <c r="D430" s="29" t="str">
        <f>Sales_data!D428</f>
        <v>25/11/2025</v>
      </c>
      <c r="E430" s="29" t="str">
        <f>Sales_data!E428</f>
        <v>30/11/2025</v>
      </c>
      <c r="F430" s="29">
        <f t="shared" si="19"/>
        <v>5</v>
      </c>
      <c r="G430" s="29" t="str">
        <f t="shared" si="20"/>
        <v>OnTime</v>
      </c>
    </row>
    <row r="431" spans="1:7" ht="15" customHeight="1">
      <c r="A431" s="29" t="str">
        <f>Sales_data!A429</f>
        <v>ORD10428</v>
      </c>
      <c r="B431" s="29" t="str">
        <f>Sales_data!H429</f>
        <v>15/09/1998</v>
      </c>
      <c r="C431" s="29">
        <f t="shared" ca="1" si="18"/>
        <v>28</v>
      </c>
      <c r="D431" s="29" t="str">
        <f>Sales_data!D429</f>
        <v>04/02/2025</v>
      </c>
      <c r="E431" s="29" t="str">
        <f>Sales_data!E429</f>
        <v>15/02/2025</v>
      </c>
      <c r="F431" s="29">
        <f t="shared" si="19"/>
        <v>11</v>
      </c>
      <c r="G431" s="29" t="str">
        <f t="shared" si="20"/>
        <v>Delayed</v>
      </c>
    </row>
    <row r="432" spans="1:7" ht="15" customHeight="1">
      <c r="A432" s="29" t="str">
        <f>Sales_data!A430</f>
        <v>ORD10429</v>
      </c>
      <c r="B432" s="29" t="str">
        <f>Sales_data!H430</f>
        <v>17/10/1985</v>
      </c>
      <c r="C432" s="29">
        <f t="shared" ca="1" si="18"/>
        <v>40</v>
      </c>
      <c r="D432" s="29" t="str">
        <f>Sales_data!D430</f>
        <v>28/04/2025</v>
      </c>
      <c r="E432" s="29" t="str">
        <f>Sales_data!E430</f>
        <v>29/04/2025</v>
      </c>
      <c r="F432" s="29">
        <f t="shared" si="19"/>
        <v>1</v>
      </c>
      <c r="G432" s="29" t="str">
        <f t="shared" si="20"/>
        <v>OnTime</v>
      </c>
    </row>
    <row r="433" spans="1:7" ht="15" customHeight="1">
      <c r="A433" s="29" t="str">
        <f>Sales_data!A431</f>
        <v>ORD10430</v>
      </c>
      <c r="B433" s="29" t="str">
        <f>Sales_data!H431</f>
        <v>15/08/1995</v>
      </c>
      <c r="C433" s="29">
        <f t="shared" ca="1" si="18"/>
        <v>31</v>
      </c>
      <c r="D433" s="29" t="str">
        <f>Sales_data!D431</f>
        <v>27/08/2025</v>
      </c>
      <c r="E433" s="29" t="str">
        <f>Sales_data!E431</f>
        <v>29/08/2025</v>
      </c>
      <c r="F433" s="29">
        <f t="shared" si="19"/>
        <v>2</v>
      </c>
      <c r="G433" s="29" t="str">
        <f t="shared" si="20"/>
        <v>OnTime</v>
      </c>
    </row>
    <row r="434" spans="1:7" ht="15" customHeight="1">
      <c r="A434" s="29" t="str">
        <f>Sales_data!A432</f>
        <v>ORD10431</v>
      </c>
      <c r="B434" s="29" t="str">
        <f>Sales_data!H432</f>
        <v>27/08/1985</v>
      </c>
      <c r="C434" s="29">
        <f t="shared" ca="1" si="18"/>
        <v>41</v>
      </c>
      <c r="D434" s="29" t="str">
        <f>Sales_data!D432</f>
        <v>12/10/2025</v>
      </c>
      <c r="E434" s="29" t="str">
        <f>Sales_data!E432</f>
        <v>23/10/2025</v>
      </c>
      <c r="F434" s="29">
        <f t="shared" si="19"/>
        <v>11</v>
      </c>
      <c r="G434" s="29" t="str">
        <f t="shared" si="20"/>
        <v>Delayed</v>
      </c>
    </row>
    <row r="435" spans="1:7" ht="15" customHeight="1">
      <c r="A435" s="29" t="str">
        <f>Sales_data!A433</f>
        <v>ORD10432</v>
      </c>
      <c r="B435" s="29" t="str">
        <f>Sales_data!H433</f>
        <v>05/06/1975</v>
      </c>
      <c r="C435" s="29">
        <f t="shared" ca="1" si="18"/>
        <v>51</v>
      </c>
      <c r="D435" s="29" t="str">
        <f>Sales_data!D433</f>
        <v>14/01/2026</v>
      </c>
      <c r="E435" s="29" t="str">
        <f>Sales_data!E433</f>
        <v>24/01/2026</v>
      </c>
      <c r="F435" s="29">
        <f t="shared" si="19"/>
        <v>10</v>
      </c>
      <c r="G435" s="29" t="str">
        <f t="shared" si="20"/>
        <v>Delayed</v>
      </c>
    </row>
    <row r="436" spans="1:7" ht="15" customHeight="1">
      <c r="A436" s="29" t="str">
        <f>Sales_data!A434</f>
        <v>ORD10433</v>
      </c>
      <c r="B436" s="29" t="str">
        <f>Sales_data!H434</f>
        <v>25/03/1997</v>
      </c>
      <c r="C436" s="29">
        <f t="shared" ca="1" si="18"/>
        <v>29</v>
      </c>
      <c r="D436" s="29" t="str">
        <f>Sales_data!D434</f>
        <v>10/05/2026</v>
      </c>
      <c r="E436" s="29">
        <f>Sales_data!E434</f>
        <v>0</v>
      </c>
      <c r="F436" s="29" t="str">
        <f t="shared" si="19"/>
        <v/>
      </c>
      <c r="G436" s="29" t="str">
        <f t="shared" si="20"/>
        <v>Pending</v>
      </c>
    </row>
    <row r="437" spans="1:7" ht="15" customHeight="1">
      <c r="A437" s="29" t="str">
        <f>Sales_data!A435</f>
        <v>ORD10434</v>
      </c>
      <c r="B437" s="29" t="str">
        <f>Sales_data!H435</f>
        <v>18/04/1997</v>
      </c>
      <c r="C437" s="29">
        <f t="shared" ca="1" si="18"/>
        <v>29</v>
      </c>
      <c r="D437" s="29" t="str">
        <f>Sales_data!D435</f>
        <v>01/02/2025</v>
      </c>
      <c r="E437" s="29" t="str">
        <f>Sales_data!E435</f>
        <v>06/02/2025</v>
      </c>
      <c r="F437" s="29">
        <f t="shared" si="19"/>
        <v>5</v>
      </c>
      <c r="G437" s="29" t="str">
        <f t="shared" si="20"/>
        <v>OnTime</v>
      </c>
    </row>
    <row r="438" spans="1:7" ht="15" customHeight="1">
      <c r="A438" s="29" t="str">
        <f>Sales_data!A436</f>
        <v>ORD10435</v>
      </c>
      <c r="B438" s="29" t="str">
        <f>Sales_data!H436</f>
        <v>28/05/1999</v>
      </c>
      <c r="C438" s="29">
        <f t="shared" ca="1" si="18"/>
        <v>27</v>
      </c>
      <c r="D438" s="29" t="str">
        <f>Sales_data!D436</f>
        <v>22/02/2025</v>
      </c>
      <c r="E438" s="29" t="str">
        <f>Sales_data!E436</f>
        <v>04/03/2025</v>
      </c>
      <c r="F438" s="29">
        <f t="shared" si="19"/>
        <v>10</v>
      </c>
      <c r="G438" s="29" t="str">
        <f t="shared" si="20"/>
        <v>Delayed</v>
      </c>
    </row>
    <row r="439" spans="1:7" ht="15" customHeight="1">
      <c r="A439" s="29" t="str">
        <f>Sales_data!A437</f>
        <v>ORD10436</v>
      </c>
      <c r="B439" s="29" t="str">
        <f>Sales_data!H437</f>
        <v>25/06/1983</v>
      </c>
      <c r="C439" s="29">
        <f t="shared" ca="1" si="18"/>
        <v>43</v>
      </c>
      <c r="D439" s="29" t="str">
        <f>Sales_data!D437</f>
        <v>18/04/2025</v>
      </c>
      <c r="E439" s="29" t="str">
        <f>Sales_data!E437</f>
        <v>20/04/2025</v>
      </c>
      <c r="F439" s="29">
        <f t="shared" si="19"/>
        <v>2</v>
      </c>
      <c r="G439" s="29" t="str">
        <f t="shared" si="20"/>
        <v>OnTime</v>
      </c>
    </row>
    <row r="440" spans="1:7" ht="15" customHeight="1">
      <c r="A440" s="29" t="str">
        <f>Sales_data!A438</f>
        <v>ORD10437</v>
      </c>
      <c r="B440" s="29" t="str">
        <f>Sales_data!H438</f>
        <v>26/01/1993</v>
      </c>
      <c r="C440" s="29">
        <f t="shared" ca="1" si="18"/>
        <v>33</v>
      </c>
      <c r="D440" s="29" t="str">
        <f>Sales_data!D438</f>
        <v>06/11/2025</v>
      </c>
      <c r="E440" s="29" t="str">
        <f>Sales_data!E438</f>
        <v>11/11/2025</v>
      </c>
      <c r="F440" s="29">
        <f t="shared" si="19"/>
        <v>5</v>
      </c>
      <c r="G440" s="29" t="str">
        <f t="shared" si="20"/>
        <v>OnTime</v>
      </c>
    </row>
    <row r="441" spans="1:7" ht="15" customHeight="1">
      <c r="A441" s="29" t="str">
        <f>Sales_data!A439</f>
        <v>ORD10438</v>
      </c>
      <c r="B441" s="29" t="str">
        <f>Sales_data!H439</f>
        <v>03/03/1979</v>
      </c>
      <c r="C441" s="29">
        <f t="shared" ca="1" si="18"/>
        <v>47</v>
      </c>
      <c r="D441" s="29" t="str">
        <f>Sales_data!D439</f>
        <v>20/03/2025</v>
      </c>
      <c r="E441" s="29" t="str">
        <f>Sales_data!E439</f>
        <v>25/03/2025</v>
      </c>
      <c r="F441" s="29">
        <f t="shared" si="19"/>
        <v>5</v>
      </c>
      <c r="G441" s="29" t="str">
        <f t="shared" si="20"/>
        <v>OnTime</v>
      </c>
    </row>
    <row r="442" spans="1:7" ht="15" customHeight="1">
      <c r="A442" s="29" t="str">
        <f>Sales_data!A440</f>
        <v>ORD10439</v>
      </c>
      <c r="B442" s="29" t="str">
        <f>Sales_data!H440</f>
        <v>13/09/1976</v>
      </c>
      <c r="C442" s="29">
        <f t="shared" ca="1" si="18"/>
        <v>50</v>
      </c>
      <c r="D442" s="29" t="str">
        <f>Sales_data!D440</f>
        <v>22/10/2025</v>
      </c>
      <c r="E442" s="29" t="str">
        <f>Sales_data!E440</f>
        <v>25/10/2025</v>
      </c>
      <c r="F442" s="29">
        <f t="shared" si="19"/>
        <v>3</v>
      </c>
      <c r="G442" s="29" t="str">
        <f t="shared" si="20"/>
        <v>OnTime</v>
      </c>
    </row>
    <row r="443" spans="1:7" ht="15" customHeight="1">
      <c r="A443" s="29" t="str">
        <f>Sales_data!A441</f>
        <v>ORD10440</v>
      </c>
      <c r="B443" s="29" t="str">
        <f>Sales_data!H441</f>
        <v>27/07/1991</v>
      </c>
      <c r="C443" s="29">
        <f t="shared" ca="1" si="18"/>
        <v>35</v>
      </c>
      <c r="D443" s="29" t="str">
        <f>Sales_data!D441</f>
        <v>31/12/2025</v>
      </c>
      <c r="E443" s="29" t="str">
        <f>Sales_data!E441</f>
        <v>05/01/2026</v>
      </c>
      <c r="F443" s="29">
        <f t="shared" si="19"/>
        <v>5</v>
      </c>
      <c r="G443" s="29" t="str">
        <f t="shared" si="20"/>
        <v>OnTime</v>
      </c>
    </row>
    <row r="444" spans="1:7" ht="15" customHeight="1">
      <c r="A444" s="29" t="str">
        <f>Sales_data!A442</f>
        <v>ORD10441</v>
      </c>
      <c r="B444" s="29" t="str">
        <f>Sales_data!H442</f>
        <v>25/10/1987</v>
      </c>
      <c r="C444" s="29">
        <f t="shared" ca="1" si="18"/>
        <v>38</v>
      </c>
      <c r="D444" s="29" t="str">
        <f>Sales_data!D442</f>
        <v>21/06/2025</v>
      </c>
      <c r="E444" s="29" t="str">
        <f>Sales_data!E442</f>
        <v>25/06/2025</v>
      </c>
      <c r="F444" s="29">
        <f t="shared" si="19"/>
        <v>4</v>
      </c>
      <c r="G444" s="29" t="str">
        <f t="shared" si="20"/>
        <v>OnTime</v>
      </c>
    </row>
    <row r="445" spans="1:7" ht="15" customHeight="1">
      <c r="A445" s="29" t="str">
        <f>Sales_data!A443</f>
        <v>ORD10442</v>
      </c>
      <c r="B445" s="29" t="str">
        <f>Sales_data!H443</f>
        <v>09/11/1983</v>
      </c>
      <c r="C445" s="29">
        <f t="shared" ca="1" si="18"/>
        <v>42</v>
      </c>
      <c r="D445" s="29" t="str">
        <f>Sales_data!D443</f>
        <v>04/06/2025</v>
      </c>
      <c r="E445" s="29" t="str">
        <f>Sales_data!E443</f>
        <v>05/06/2025</v>
      </c>
      <c r="F445" s="29">
        <f t="shared" si="19"/>
        <v>1</v>
      </c>
      <c r="G445" s="29" t="str">
        <f t="shared" si="20"/>
        <v>OnTime</v>
      </c>
    </row>
    <row r="446" spans="1:7" ht="15" customHeight="1">
      <c r="A446" s="29" t="str">
        <f>Sales_data!A444</f>
        <v>ORD10443</v>
      </c>
      <c r="B446" s="29" t="str">
        <f>Sales_data!H444</f>
        <v>28/12/1983</v>
      </c>
      <c r="C446" s="29">
        <f t="shared" ca="1" si="18"/>
        <v>42</v>
      </c>
      <c r="D446" s="29" t="str">
        <f>Sales_data!D444</f>
        <v>30/05/2025</v>
      </c>
      <c r="E446" s="29" t="str">
        <f>Sales_data!E444</f>
        <v>03/06/2025</v>
      </c>
      <c r="F446" s="29">
        <f t="shared" si="19"/>
        <v>4</v>
      </c>
      <c r="G446" s="29" t="str">
        <f t="shared" si="20"/>
        <v>OnTime</v>
      </c>
    </row>
    <row r="447" spans="1:7" ht="15" customHeight="1">
      <c r="A447" s="29" t="str">
        <f>Sales_data!A445</f>
        <v>ORD10444</v>
      </c>
      <c r="B447" s="29" t="str">
        <f>Sales_data!H445</f>
        <v>15/09/1992</v>
      </c>
      <c r="C447" s="29">
        <f t="shared" ca="1" si="18"/>
        <v>34</v>
      </c>
      <c r="D447" s="29" t="str">
        <f>Sales_data!D445</f>
        <v>02/05/2025</v>
      </c>
      <c r="E447" s="29" t="str">
        <f>Sales_data!E445</f>
        <v>03/05/2025</v>
      </c>
      <c r="F447" s="29">
        <f t="shared" si="19"/>
        <v>1</v>
      </c>
      <c r="G447" s="29" t="str">
        <f t="shared" si="20"/>
        <v>OnTime</v>
      </c>
    </row>
    <row r="448" spans="1:7" ht="15" customHeight="1">
      <c r="A448" s="29" t="str">
        <f>Sales_data!A446</f>
        <v>ORD10445</v>
      </c>
      <c r="B448" s="29" t="str">
        <f>Sales_data!H446</f>
        <v>09/08/1999</v>
      </c>
      <c r="C448" s="29">
        <f t="shared" ca="1" si="18"/>
        <v>27</v>
      </c>
      <c r="D448" s="29" t="str">
        <f>Sales_data!D446</f>
        <v>03/02/2025</v>
      </c>
      <c r="E448" s="29" t="str">
        <f>Sales_data!E446</f>
        <v>13/02/2025</v>
      </c>
      <c r="F448" s="29">
        <f t="shared" si="19"/>
        <v>10</v>
      </c>
      <c r="G448" s="29" t="str">
        <f t="shared" si="20"/>
        <v>Delayed</v>
      </c>
    </row>
    <row r="449" spans="1:7" ht="15" customHeight="1">
      <c r="A449" s="29" t="str">
        <f>Sales_data!A447</f>
        <v>ORD10446</v>
      </c>
      <c r="B449" s="29" t="str">
        <f>Sales_data!H447</f>
        <v>27/02/1990</v>
      </c>
      <c r="C449" s="29">
        <f t="shared" ca="1" si="18"/>
        <v>36</v>
      </c>
      <c r="D449" s="29" t="str">
        <f>Sales_data!D447</f>
        <v>29/06/2025</v>
      </c>
      <c r="E449" s="29" t="str">
        <f>Sales_data!E447</f>
        <v>06/07/2025</v>
      </c>
      <c r="F449" s="29">
        <f t="shared" si="19"/>
        <v>7</v>
      </c>
      <c r="G449" s="29" t="str">
        <f t="shared" si="20"/>
        <v>Delayed</v>
      </c>
    </row>
    <row r="450" spans="1:7" ht="15" customHeight="1">
      <c r="A450" s="29" t="str">
        <f>Sales_data!A448</f>
        <v>ORD10447</v>
      </c>
      <c r="B450" s="29" t="str">
        <f>Sales_data!H448</f>
        <v>27/03/1994</v>
      </c>
      <c r="C450" s="29">
        <f t="shared" ca="1" si="18"/>
        <v>32</v>
      </c>
      <c r="D450" s="29" t="str">
        <f>Sales_data!D448</f>
        <v>12/02/2026</v>
      </c>
      <c r="E450" s="29" t="str">
        <f>Sales_data!E448</f>
        <v>22/02/2026</v>
      </c>
      <c r="F450" s="29">
        <f t="shared" si="19"/>
        <v>10</v>
      </c>
      <c r="G450" s="29" t="str">
        <f t="shared" si="20"/>
        <v>Delayed</v>
      </c>
    </row>
    <row r="451" spans="1:7" ht="15" customHeight="1">
      <c r="A451" s="29" t="str">
        <f>Sales_data!A449</f>
        <v>ORD10448</v>
      </c>
      <c r="B451" s="29" t="str">
        <f>Sales_data!H449</f>
        <v>11/06/1980</v>
      </c>
      <c r="C451" s="29">
        <f t="shared" ca="1" si="18"/>
        <v>46</v>
      </c>
      <c r="D451" s="29" t="str">
        <f>Sales_data!D449</f>
        <v>03/03/2025</v>
      </c>
      <c r="E451" s="29" t="str">
        <f>Sales_data!E449</f>
        <v>14/03/2025</v>
      </c>
      <c r="F451" s="29">
        <f t="shared" si="19"/>
        <v>11</v>
      </c>
      <c r="G451" s="29" t="str">
        <f t="shared" si="20"/>
        <v>Delayed</v>
      </c>
    </row>
    <row r="452" spans="1:7" ht="15" customHeight="1">
      <c r="A452" s="29" t="str">
        <f>Sales_data!A450</f>
        <v>ORD10449</v>
      </c>
      <c r="B452" s="29" t="str">
        <f>Sales_data!H450</f>
        <v>10/06/2000</v>
      </c>
      <c r="C452" s="29">
        <f t="shared" ref="C452:C515" ca="1" si="21">IFERROR(DATEDIF(DATE(VALUE(RIGHT(B452,4)),VALUE(MID(B452,4,2)),VALUE(LEFT(B452,2))),TODAY(),"Y"),"")</f>
        <v>26</v>
      </c>
      <c r="D452" s="29" t="str">
        <f>Sales_data!D450</f>
        <v>24/04/2026</v>
      </c>
      <c r="E452" s="29" t="str">
        <f>Sales_data!E450</f>
        <v>28/04/2026</v>
      </c>
      <c r="F452" s="29">
        <f t="shared" ref="F452:F515" si="22">IF(E452="","",IFERROR(DATE(VALUE(RIGHT(E452,4)),VALUE(MID(E452,4,2)),VALUE(LEFT(E452,2)))-DATE(VALUE(RIGHT(D452,4)),VALUE(MID(D452,4,2)),VALUE(LEFT(D452,2))),""))</f>
        <v>4</v>
      </c>
      <c r="G452" s="29" t="str">
        <f t="shared" ref="G452:G515" si="23">IF(E452="","Pending",IF(F452="","Pending",IF(F452&lt;=5,"OnTime","Delayed")))</f>
        <v>OnTime</v>
      </c>
    </row>
    <row r="453" spans="1:7" ht="15" customHeight="1">
      <c r="A453" s="29" t="str">
        <f>Sales_data!A451</f>
        <v>ORD10450</v>
      </c>
      <c r="B453" s="29" t="str">
        <f>Sales_data!H451</f>
        <v>21/04/1998</v>
      </c>
      <c r="C453" s="29">
        <f t="shared" ca="1" si="21"/>
        <v>28</v>
      </c>
      <c r="D453" s="29" t="str">
        <f>Sales_data!D451</f>
        <v>03/05/2026</v>
      </c>
      <c r="E453" s="29" t="str">
        <f>Sales_data!E451</f>
        <v>13/05/2026</v>
      </c>
      <c r="F453" s="29">
        <f t="shared" si="22"/>
        <v>10</v>
      </c>
      <c r="G453" s="29" t="str">
        <f t="shared" si="23"/>
        <v>Delayed</v>
      </c>
    </row>
    <row r="454" spans="1:7" ht="15" customHeight="1">
      <c r="A454" s="29" t="str">
        <f>Sales_data!A452</f>
        <v>ORD10451</v>
      </c>
      <c r="B454" s="29" t="str">
        <f>Sales_data!H452</f>
        <v>10/05/1984</v>
      </c>
      <c r="C454" s="29">
        <f t="shared" ca="1" si="21"/>
        <v>42</v>
      </c>
      <c r="D454" s="29" t="str">
        <f>Sales_data!D452</f>
        <v>30/05/2025</v>
      </c>
      <c r="E454" s="29" t="str">
        <f>Sales_data!E452</f>
        <v>07/06/2025</v>
      </c>
      <c r="F454" s="29">
        <f t="shared" si="22"/>
        <v>8</v>
      </c>
      <c r="G454" s="29" t="str">
        <f t="shared" si="23"/>
        <v>Delayed</v>
      </c>
    </row>
    <row r="455" spans="1:7" ht="15" customHeight="1">
      <c r="A455" s="29" t="str">
        <f>Sales_data!A453</f>
        <v>ORD10452</v>
      </c>
      <c r="B455" s="29" t="str">
        <f>Sales_data!H453</f>
        <v>07/10/1986</v>
      </c>
      <c r="C455" s="29">
        <f t="shared" ca="1" si="21"/>
        <v>40</v>
      </c>
      <c r="D455" s="29" t="str">
        <f>Sales_data!D453</f>
        <v>17/02/2025</v>
      </c>
      <c r="E455" s="29" t="str">
        <f>Sales_data!E453</f>
        <v>28/02/2025</v>
      </c>
      <c r="F455" s="29">
        <f t="shared" si="22"/>
        <v>11</v>
      </c>
      <c r="G455" s="29" t="str">
        <f t="shared" si="23"/>
        <v>Delayed</v>
      </c>
    </row>
    <row r="456" spans="1:7" ht="15" customHeight="1">
      <c r="A456" s="29" t="str">
        <f>Sales_data!A454</f>
        <v>ORD10453</v>
      </c>
      <c r="B456" s="29" t="str">
        <f>Sales_data!H454</f>
        <v>01/11/2003</v>
      </c>
      <c r="C456" s="29">
        <f t="shared" ca="1" si="21"/>
        <v>22</v>
      </c>
      <c r="D456" s="29" t="str">
        <f>Sales_data!D454</f>
        <v>22/03/2026</v>
      </c>
      <c r="E456" s="29" t="str">
        <f>Sales_data!E454</f>
        <v>29/03/2026</v>
      </c>
      <c r="F456" s="29">
        <f t="shared" si="22"/>
        <v>7</v>
      </c>
      <c r="G456" s="29" t="str">
        <f t="shared" si="23"/>
        <v>Delayed</v>
      </c>
    </row>
    <row r="457" spans="1:7" ht="15" customHeight="1">
      <c r="A457" s="29" t="str">
        <f>Sales_data!A455</f>
        <v>ORD10454</v>
      </c>
      <c r="B457" s="29" t="str">
        <f>Sales_data!H455</f>
        <v>10/06/2003</v>
      </c>
      <c r="C457" s="29">
        <f t="shared" ca="1" si="21"/>
        <v>23</v>
      </c>
      <c r="D457" s="29" t="str">
        <f>Sales_data!D455</f>
        <v>02/04/2026</v>
      </c>
      <c r="E457" s="29" t="str">
        <f>Sales_data!E455</f>
        <v>13/04/2026</v>
      </c>
      <c r="F457" s="29">
        <f t="shared" si="22"/>
        <v>11</v>
      </c>
      <c r="G457" s="29" t="str">
        <f t="shared" si="23"/>
        <v>Delayed</v>
      </c>
    </row>
    <row r="458" spans="1:7" ht="15" customHeight="1">
      <c r="A458" s="29" t="str">
        <f>Sales_data!A456</f>
        <v>ORD10455</v>
      </c>
      <c r="B458" s="29" t="str">
        <f>Sales_data!H456</f>
        <v>27/03/1990</v>
      </c>
      <c r="C458" s="29">
        <f t="shared" ca="1" si="21"/>
        <v>36</v>
      </c>
      <c r="D458" s="29" t="str">
        <f>Sales_data!D456</f>
        <v>18/02/2025</v>
      </c>
      <c r="E458" s="29" t="str">
        <f>Sales_data!E456</f>
        <v>26/02/2025</v>
      </c>
      <c r="F458" s="29">
        <f t="shared" si="22"/>
        <v>8</v>
      </c>
      <c r="G458" s="29" t="str">
        <f t="shared" si="23"/>
        <v>Delayed</v>
      </c>
    </row>
    <row r="459" spans="1:7" ht="15" customHeight="1">
      <c r="A459" s="29" t="str">
        <f>Sales_data!A457</f>
        <v>ORD10456</v>
      </c>
      <c r="B459" s="29" t="str">
        <f>Sales_data!H457</f>
        <v>28/05/2003</v>
      </c>
      <c r="C459" s="29">
        <f t="shared" ca="1" si="21"/>
        <v>23</v>
      </c>
      <c r="D459" s="29" t="str">
        <f>Sales_data!D457</f>
        <v>29/03/2026</v>
      </c>
      <c r="E459" s="29" t="str">
        <f>Sales_data!E457</f>
        <v>04/04/2026</v>
      </c>
      <c r="F459" s="29">
        <f t="shared" si="22"/>
        <v>6</v>
      </c>
      <c r="G459" s="29" t="str">
        <f t="shared" si="23"/>
        <v>Delayed</v>
      </c>
    </row>
    <row r="460" spans="1:7" ht="15" customHeight="1">
      <c r="A460" s="29" t="str">
        <f>Sales_data!A458</f>
        <v>ORD10457</v>
      </c>
      <c r="B460" s="29" t="str">
        <f>Sales_data!H458</f>
        <v>06/02/1993</v>
      </c>
      <c r="C460" s="29">
        <f t="shared" ca="1" si="21"/>
        <v>33</v>
      </c>
      <c r="D460" s="29" t="str">
        <f>Sales_data!D458</f>
        <v>01/12/2025</v>
      </c>
      <c r="E460" s="29" t="str">
        <f>Sales_data!E458</f>
        <v>02/12/2025</v>
      </c>
      <c r="F460" s="29">
        <f t="shared" si="22"/>
        <v>1</v>
      </c>
      <c r="G460" s="29" t="str">
        <f t="shared" si="23"/>
        <v>OnTime</v>
      </c>
    </row>
    <row r="461" spans="1:7" ht="15" customHeight="1">
      <c r="A461" s="29" t="str">
        <f>Sales_data!A459</f>
        <v>ORD10458</v>
      </c>
      <c r="B461" s="29" t="str">
        <f>Sales_data!H459</f>
        <v>02/09/1975</v>
      </c>
      <c r="C461" s="29">
        <f t="shared" ca="1" si="21"/>
        <v>51</v>
      </c>
      <c r="D461" s="29" t="str">
        <f>Sales_data!D459</f>
        <v>04/05/2025</v>
      </c>
      <c r="E461" s="29" t="str">
        <f>Sales_data!E459</f>
        <v>11/05/2025</v>
      </c>
      <c r="F461" s="29">
        <f t="shared" si="22"/>
        <v>7</v>
      </c>
      <c r="G461" s="29" t="str">
        <f t="shared" si="23"/>
        <v>Delayed</v>
      </c>
    </row>
    <row r="462" spans="1:7" ht="15" customHeight="1">
      <c r="A462" s="29" t="str">
        <f>Sales_data!A460</f>
        <v>ORD10459</v>
      </c>
      <c r="B462" s="29" t="str">
        <f>Sales_data!H460</f>
        <v>09/09/1994</v>
      </c>
      <c r="C462" s="29">
        <f t="shared" ca="1" si="21"/>
        <v>32</v>
      </c>
      <c r="D462" s="29" t="str">
        <f>Sales_data!D460</f>
        <v>23/08/2025</v>
      </c>
      <c r="E462" s="29" t="str">
        <f>Sales_data!E460</f>
        <v>31/08/2025</v>
      </c>
      <c r="F462" s="29">
        <f t="shared" si="22"/>
        <v>8</v>
      </c>
      <c r="G462" s="29" t="str">
        <f t="shared" si="23"/>
        <v>Delayed</v>
      </c>
    </row>
    <row r="463" spans="1:7" ht="15" customHeight="1">
      <c r="A463" s="29" t="str">
        <f>Sales_data!A461</f>
        <v>ORD10460</v>
      </c>
      <c r="B463" s="29" t="str">
        <f>Sales_data!H461</f>
        <v>07/10/1992</v>
      </c>
      <c r="C463" s="29">
        <f t="shared" ca="1" si="21"/>
        <v>34</v>
      </c>
      <c r="D463" s="29" t="str">
        <f>Sales_data!D461</f>
        <v>27/11/2025</v>
      </c>
      <c r="E463" s="29" t="str">
        <f>Sales_data!E461</f>
        <v>06/12/2025</v>
      </c>
      <c r="F463" s="29">
        <f t="shared" si="22"/>
        <v>9</v>
      </c>
      <c r="G463" s="29" t="str">
        <f t="shared" si="23"/>
        <v>Delayed</v>
      </c>
    </row>
    <row r="464" spans="1:7" ht="15" customHeight="1">
      <c r="A464" s="29" t="str">
        <f>Sales_data!A462</f>
        <v>ORD10461</v>
      </c>
      <c r="B464" s="29" t="str">
        <f>Sales_data!H462</f>
        <v>17/07/2002</v>
      </c>
      <c r="C464" s="29">
        <f t="shared" ca="1" si="21"/>
        <v>24</v>
      </c>
      <c r="D464" s="29" t="str">
        <f>Sales_data!D462</f>
        <v>29/05/2025</v>
      </c>
      <c r="E464" s="29" t="str">
        <f>Sales_data!E462</f>
        <v>01/06/2025</v>
      </c>
      <c r="F464" s="29">
        <f t="shared" si="22"/>
        <v>3</v>
      </c>
      <c r="G464" s="29" t="str">
        <f t="shared" si="23"/>
        <v>OnTime</v>
      </c>
    </row>
    <row r="465" spans="1:7" ht="15" customHeight="1">
      <c r="A465" s="29" t="str">
        <f>Sales_data!A463</f>
        <v>ORD10462</v>
      </c>
      <c r="B465" s="29" t="str">
        <f>Sales_data!H463</f>
        <v>03/02/2001</v>
      </c>
      <c r="C465" s="29">
        <f t="shared" ca="1" si="21"/>
        <v>25</v>
      </c>
      <c r="D465" s="29" t="str">
        <f>Sales_data!D463</f>
        <v>12/09/2025</v>
      </c>
      <c r="E465" s="29" t="str">
        <f>Sales_data!E463</f>
        <v>19/09/2025</v>
      </c>
      <c r="F465" s="29">
        <f t="shared" si="22"/>
        <v>7</v>
      </c>
      <c r="G465" s="29" t="str">
        <f t="shared" si="23"/>
        <v>Delayed</v>
      </c>
    </row>
    <row r="466" spans="1:7" ht="15" customHeight="1">
      <c r="A466" s="29" t="str">
        <f>Sales_data!A464</f>
        <v>ORD10463</v>
      </c>
      <c r="B466" s="29" t="str">
        <f>Sales_data!H464</f>
        <v>23/06/1990</v>
      </c>
      <c r="C466" s="29">
        <f t="shared" ca="1" si="21"/>
        <v>36</v>
      </c>
      <c r="D466" s="29" t="str">
        <f>Sales_data!D464</f>
        <v>04/03/2026</v>
      </c>
      <c r="E466" s="29" t="str">
        <f>Sales_data!E464</f>
        <v>11/03/2026</v>
      </c>
      <c r="F466" s="29">
        <f t="shared" si="22"/>
        <v>7</v>
      </c>
      <c r="G466" s="29" t="str">
        <f t="shared" si="23"/>
        <v>Delayed</v>
      </c>
    </row>
    <row r="467" spans="1:7" ht="15" customHeight="1">
      <c r="A467" s="29" t="str">
        <f>Sales_data!A465</f>
        <v>ORD10464</v>
      </c>
      <c r="B467" s="29" t="str">
        <f>Sales_data!H465</f>
        <v>13/05/1978</v>
      </c>
      <c r="C467" s="29">
        <f t="shared" ca="1" si="21"/>
        <v>48</v>
      </c>
      <c r="D467" s="29" t="str">
        <f>Sales_data!D465</f>
        <v>24/01/2025</v>
      </c>
      <c r="E467" s="29" t="str">
        <f>Sales_data!E465</f>
        <v>05/02/2025</v>
      </c>
      <c r="F467" s="29">
        <f t="shared" si="22"/>
        <v>12</v>
      </c>
      <c r="G467" s="29" t="str">
        <f t="shared" si="23"/>
        <v>Delayed</v>
      </c>
    </row>
    <row r="468" spans="1:7" ht="15" customHeight="1">
      <c r="A468" s="29" t="str">
        <f>Sales_data!A466</f>
        <v>ORD10465</v>
      </c>
      <c r="B468" s="29" t="str">
        <f>Sales_data!H466</f>
        <v>22/07/2000</v>
      </c>
      <c r="C468" s="29">
        <f t="shared" ca="1" si="21"/>
        <v>26</v>
      </c>
      <c r="D468" s="29" t="str">
        <f>Sales_data!D466</f>
        <v>13/12/2025</v>
      </c>
      <c r="E468" s="29" t="str">
        <f>Sales_data!E466</f>
        <v>14/12/2025</v>
      </c>
      <c r="F468" s="29">
        <f t="shared" si="22"/>
        <v>1</v>
      </c>
      <c r="G468" s="29" t="str">
        <f t="shared" si="23"/>
        <v>OnTime</v>
      </c>
    </row>
    <row r="469" spans="1:7" ht="15" customHeight="1">
      <c r="A469" s="29" t="str">
        <f>Sales_data!A467</f>
        <v>ORD10466</v>
      </c>
      <c r="B469" s="29" t="str">
        <f>Sales_data!H467</f>
        <v>20/03/1985</v>
      </c>
      <c r="C469" s="29">
        <f t="shared" ca="1" si="21"/>
        <v>41</v>
      </c>
      <c r="D469" s="29" t="str">
        <f>Sales_data!D467</f>
        <v>01/08/2025</v>
      </c>
      <c r="E469" s="29" t="str">
        <f>Sales_data!E467</f>
        <v>09/08/2025</v>
      </c>
      <c r="F469" s="29">
        <f t="shared" si="22"/>
        <v>8</v>
      </c>
      <c r="G469" s="29" t="str">
        <f t="shared" si="23"/>
        <v>Delayed</v>
      </c>
    </row>
    <row r="470" spans="1:7" ht="15" customHeight="1">
      <c r="A470" s="29" t="str">
        <f>Sales_data!A468</f>
        <v>ORD10467</v>
      </c>
      <c r="B470" s="29" t="str">
        <f>Sales_data!H468</f>
        <v>08/02/1988</v>
      </c>
      <c r="C470" s="29">
        <f t="shared" ca="1" si="21"/>
        <v>38</v>
      </c>
      <c r="D470" s="29" t="str">
        <f>Sales_data!D468</f>
        <v>01/01/2025</v>
      </c>
      <c r="E470" s="29" t="str">
        <f>Sales_data!E468</f>
        <v>07/01/2025</v>
      </c>
      <c r="F470" s="29">
        <f t="shared" si="22"/>
        <v>6</v>
      </c>
      <c r="G470" s="29" t="str">
        <f t="shared" si="23"/>
        <v>Delayed</v>
      </c>
    </row>
    <row r="471" spans="1:7" ht="15" customHeight="1">
      <c r="A471" s="29" t="str">
        <f>Sales_data!A469</f>
        <v>ORD10468</v>
      </c>
      <c r="B471" s="29" t="str">
        <f>Sales_data!H469</f>
        <v>26/04/1997</v>
      </c>
      <c r="C471" s="29">
        <f t="shared" ca="1" si="21"/>
        <v>29</v>
      </c>
      <c r="D471" s="29" t="str">
        <f>Sales_data!D469</f>
        <v>08/04/2025</v>
      </c>
      <c r="E471" s="29" t="str">
        <f>Sales_data!E469</f>
        <v>12/04/2025</v>
      </c>
      <c r="F471" s="29">
        <f t="shared" si="22"/>
        <v>4</v>
      </c>
      <c r="G471" s="29" t="str">
        <f t="shared" si="23"/>
        <v>OnTime</v>
      </c>
    </row>
    <row r="472" spans="1:7" ht="15" customHeight="1">
      <c r="A472" s="29" t="str">
        <f>Sales_data!A470</f>
        <v>ORD10469</v>
      </c>
      <c r="B472" s="29" t="str">
        <f>Sales_data!H470</f>
        <v>22/05/2001</v>
      </c>
      <c r="C472" s="29">
        <f t="shared" ca="1" si="21"/>
        <v>25</v>
      </c>
      <c r="D472" s="29" t="str">
        <f>Sales_data!D470</f>
        <v>20/04/2025</v>
      </c>
      <c r="E472" s="29" t="str">
        <f>Sales_data!E470</f>
        <v>30/04/2025</v>
      </c>
      <c r="F472" s="29">
        <f t="shared" si="22"/>
        <v>10</v>
      </c>
      <c r="G472" s="29" t="str">
        <f t="shared" si="23"/>
        <v>Delayed</v>
      </c>
    </row>
    <row r="473" spans="1:7" ht="15" customHeight="1">
      <c r="A473" s="29" t="str">
        <f>Sales_data!A471</f>
        <v>ORD10470</v>
      </c>
      <c r="B473" s="29" t="str">
        <f>Sales_data!H471</f>
        <v>19/06/1982</v>
      </c>
      <c r="C473" s="29">
        <f t="shared" ca="1" si="21"/>
        <v>44</v>
      </c>
      <c r="D473" s="29" t="str">
        <f>Sales_data!D471</f>
        <v>02/11/2025</v>
      </c>
      <c r="E473" s="29" t="str">
        <f>Sales_data!E471</f>
        <v>04/11/2025</v>
      </c>
      <c r="F473" s="29">
        <f t="shared" si="22"/>
        <v>2</v>
      </c>
      <c r="G473" s="29" t="str">
        <f t="shared" si="23"/>
        <v>OnTime</v>
      </c>
    </row>
    <row r="474" spans="1:7" ht="15" customHeight="1">
      <c r="A474" s="29" t="str">
        <f>Sales_data!A472</f>
        <v>ORD10471</v>
      </c>
      <c r="B474" s="29" t="str">
        <f>Sales_data!H472</f>
        <v>23/06/1999</v>
      </c>
      <c r="C474" s="29">
        <f t="shared" ca="1" si="21"/>
        <v>27</v>
      </c>
      <c r="D474" s="29" t="str">
        <f>Sales_data!D472</f>
        <v>18/10/2025</v>
      </c>
      <c r="E474" s="29" t="str">
        <f>Sales_data!E472</f>
        <v>22/10/2025</v>
      </c>
      <c r="F474" s="29">
        <f t="shared" si="22"/>
        <v>4</v>
      </c>
      <c r="G474" s="29" t="str">
        <f t="shared" si="23"/>
        <v>OnTime</v>
      </c>
    </row>
    <row r="475" spans="1:7" ht="15" customHeight="1">
      <c r="A475" s="29" t="str">
        <f>Sales_data!A473</f>
        <v>ORD10472</v>
      </c>
      <c r="B475" s="29" t="str">
        <f>Sales_data!H473</f>
        <v>02/02/2001</v>
      </c>
      <c r="C475" s="29">
        <f t="shared" ca="1" si="21"/>
        <v>25</v>
      </c>
      <c r="D475" s="29" t="str">
        <f>Sales_data!D473</f>
        <v>27/04/2025</v>
      </c>
      <c r="E475" s="29" t="str">
        <f>Sales_data!E473</f>
        <v>05/05/2025</v>
      </c>
      <c r="F475" s="29">
        <f t="shared" si="22"/>
        <v>8</v>
      </c>
      <c r="G475" s="29" t="str">
        <f t="shared" si="23"/>
        <v>Delayed</v>
      </c>
    </row>
    <row r="476" spans="1:7" ht="15" customHeight="1">
      <c r="A476" s="29" t="str">
        <f>Sales_data!A474</f>
        <v>ORD10473</v>
      </c>
      <c r="B476" s="29" t="str">
        <f>Sales_data!H474</f>
        <v>09/02/1999</v>
      </c>
      <c r="C476" s="29">
        <f t="shared" ca="1" si="21"/>
        <v>27</v>
      </c>
      <c r="D476" s="29" t="str">
        <f>Sales_data!D474</f>
        <v>22/05/2025</v>
      </c>
      <c r="E476" s="29" t="str">
        <f>Sales_data!E474</f>
        <v>31/05/2025</v>
      </c>
      <c r="F476" s="29">
        <f t="shared" si="22"/>
        <v>9</v>
      </c>
      <c r="G476" s="29" t="str">
        <f t="shared" si="23"/>
        <v>Delayed</v>
      </c>
    </row>
    <row r="477" spans="1:7" ht="15" customHeight="1">
      <c r="A477" s="29" t="str">
        <f>Sales_data!A475</f>
        <v>ORD10474</v>
      </c>
      <c r="B477" s="29" t="str">
        <f>Sales_data!H475</f>
        <v>06/05/1988</v>
      </c>
      <c r="C477" s="29">
        <f t="shared" ca="1" si="21"/>
        <v>38</v>
      </c>
      <c r="D477" s="29" t="str">
        <f>Sales_data!D475</f>
        <v>28/01/2026</v>
      </c>
      <c r="E477" s="29" t="str">
        <f>Sales_data!E475</f>
        <v>08/02/2026</v>
      </c>
      <c r="F477" s="29">
        <f t="shared" si="22"/>
        <v>11</v>
      </c>
      <c r="G477" s="29" t="str">
        <f t="shared" si="23"/>
        <v>Delayed</v>
      </c>
    </row>
    <row r="478" spans="1:7" ht="15" customHeight="1">
      <c r="A478" s="29" t="str">
        <f>Sales_data!A476</f>
        <v>ORD10475</v>
      </c>
      <c r="B478" s="29" t="str">
        <f>Sales_data!H476</f>
        <v>12/02/1975</v>
      </c>
      <c r="C478" s="29">
        <f t="shared" ca="1" si="21"/>
        <v>51</v>
      </c>
      <c r="D478" s="29" t="str">
        <f>Sales_data!D476</f>
        <v>04/02/2025</v>
      </c>
      <c r="E478" s="29" t="str">
        <f>Sales_data!E476</f>
        <v>11/02/2025</v>
      </c>
      <c r="F478" s="29">
        <f t="shared" si="22"/>
        <v>7</v>
      </c>
      <c r="G478" s="29" t="str">
        <f t="shared" si="23"/>
        <v>Delayed</v>
      </c>
    </row>
    <row r="479" spans="1:7" ht="15" customHeight="1">
      <c r="A479" s="29" t="str">
        <f>Sales_data!A477</f>
        <v>ORD10476</v>
      </c>
      <c r="B479" s="29" t="str">
        <f>Sales_data!H477</f>
        <v>01/01/2004</v>
      </c>
      <c r="C479" s="29">
        <f t="shared" ca="1" si="21"/>
        <v>22</v>
      </c>
      <c r="D479" s="29" t="str">
        <f>Sales_data!D477</f>
        <v>19/04/2025</v>
      </c>
      <c r="E479" s="29" t="str">
        <f>Sales_data!E477</f>
        <v>20/04/2025</v>
      </c>
      <c r="F479" s="29">
        <f t="shared" si="22"/>
        <v>1</v>
      </c>
      <c r="G479" s="29" t="str">
        <f t="shared" si="23"/>
        <v>OnTime</v>
      </c>
    </row>
    <row r="480" spans="1:7" ht="15" customHeight="1">
      <c r="A480" s="29" t="str">
        <f>Sales_data!A478</f>
        <v>ORD10477</v>
      </c>
      <c r="B480" s="29" t="str">
        <f>Sales_data!H478</f>
        <v>23/08/2001</v>
      </c>
      <c r="C480" s="29">
        <f t="shared" ca="1" si="21"/>
        <v>25</v>
      </c>
      <c r="D480" s="29" t="str">
        <f>Sales_data!D478</f>
        <v>21/01/2025</v>
      </c>
      <c r="E480" s="29" t="str">
        <f>Sales_data!E478</f>
        <v>28/01/2025</v>
      </c>
      <c r="F480" s="29">
        <f t="shared" si="22"/>
        <v>7</v>
      </c>
      <c r="G480" s="29" t="str">
        <f t="shared" si="23"/>
        <v>Delayed</v>
      </c>
    </row>
    <row r="481" spans="1:7" ht="15" customHeight="1">
      <c r="A481" s="29" t="str">
        <f>Sales_data!A479</f>
        <v>ORD10478</v>
      </c>
      <c r="B481" s="29" t="str">
        <f>Sales_data!H479</f>
        <v>23/01/1998</v>
      </c>
      <c r="C481" s="29">
        <f t="shared" ca="1" si="21"/>
        <v>28</v>
      </c>
      <c r="D481" s="29" t="str">
        <f>Sales_data!D479</f>
        <v>18/09/2025</v>
      </c>
      <c r="E481" s="29" t="str">
        <f>Sales_data!E479</f>
        <v>27/09/2025</v>
      </c>
      <c r="F481" s="29">
        <f t="shared" si="22"/>
        <v>9</v>
      </c>
      <c r="G481" s="29" t="str">
        <f t="shared" si="23"/>
        <v>Delayed</v>
      </c>
    </row>
    <row r="482" spans="1:7" ht="15" customHeight="1">
      <c r="A482" s="29" t="str">
        <f>Sales_data!A480</f>
        <v>ORD10479</v>
      </c>
      <c r="B482" s="29" t="str">
        <f>Sales_data!H480</f>
        <v>28/05/2004</v>
      </c>
      <c r="C482" s="29">
        <f t="shared" ca="1" si="21"/>
        <v>22</v>
      </c>
      <c r="D482" s="29" t="str">
        <f>Sales_data!D480</f>
        <v>19/10/2025</v>
      </c>
      <c r="E482" s="29" t="str">
        <f>Sales_data!E480</f>
        <v>20/10/2025</v>
      </c>
      <c r="F482" s="29">
        <f t="shared" si="22"/>
        <v>1</v>
      </c>
      <c r="G482" s="29" t="str">
        <f t="shared" si="23"/>
        <v>OnTime</v>
      </c>
    </row>
    <row r="483" spans="1:7" ht="15" customHeight="1">
      <c r="A483" s="29" t="str">
        <f>Sales_data!A481</f>
        <v>ORD10480</v>
      </c>
      <c r="B483" s="29" t="str">
        <f>Sales_data!H481</f>
        <v>06/03/1985</v>
      </c>
      <c r="C483" s="29">
        <f t="shared" ca="1" si="21"/>
        <v>41</v>
      </c>
      <c r="D483" s="29" t="str">
        <f>Sales_data!D481</f>
        <v>12/01/2026</v>
      </c>
      <c r="E483" s="29" t="str">
        <f>Sales_data!E481</f>
        <v>18/01/2026</v>
      </c>
      <c r="F483" s="29">
        <f t="shared" si="22"/>
        <v>6</v>
      </c>
      <c r="G483" s="29" t="str">
        <f t="shared" si="23"/>
        <v>Delayed</v>
      </c>
    </row>
    <row r="484" spans="1:7" ht="15" customHeight="1">
      <c r="A484" s="29" t="str">
        <f>Sales_data!A482</f>
        <v>ORD10481</v>
      </c>
      <c r="B484" s="29" t="str">
        <f>Sales_data!H482</f>
        <v>06/09/1986</v>
      </c>
      <c r="C484" s="29">
        <f t="shared" ca="1" si="21"/>
        <v>40</v>
      </c>
      <c r="D484" s="29" t="str">
        <f>Sales_data!D482</f>
        <v>26/01/2025</v>
      </c>
      <c r="E484" s="29" t="str">
        <f>Sales_data!E482</f>
        <v>01/02/2025</v>
      </c>
      <c r="F484" s="29">
        <f t="shared" si="22"/>
        <v>6</v>
      </c>
      <c r="G484" s="29" t="str">
        <f t="shared" si="23"/>
        <v>Delayed</v>
      </c>
    </row>
    <row r="485" spans="1:7" ht="15" customHeight="1">
      <c r="A485" s="29" t="str">
        <f>Sales_data!A483</f>
        <v>ORD10482</v>
      </c>
      <c r="B485" s="29" t="str">
        <f>Sales_data!H483</f>
        <v>21/08/1981</v>
      </c>
      <c r="C485" s="29">
        <f t="shared" ca="1" si="21"/>
        <v>45</v>
      </c>
      <c r="D485" s="29" t="str">
        <f>Sales_data!D483</f>
        <v>07/04/2026</v>
      </c>
      <c r="E485" s="29" t="str">
        <f>Sales_data!E483</f>
        <v>08/04/2026</v>
      </c>
      <c r="F485" s="29">
        <f t="shared" si="22"/>
        <v>1</v>
      </c>
      <c r="G485" s="29" t="str">
        <f t="shared" si="23"/>
        <v>OnTime</v>
      </c>
    </row>
    <row r="486" spans="1:7" ht="15" customHeight="1">
      <c r="A486" s="29" t="str">
        <f>Sales_data!A484</f>
        <v>ORD10483</v>
      </c>
      <c r="B486" s="29" t="str">
        <f>Sales_data!H484</f>
        <v>23/04/1992</v>
      </c>
      <c r="C486" s="29">
        <f t="shared" ca="1" si="21"/>
        <v>34</v>
      </c>
      <c r="D486" s="29" t="str">
        <f>Sales_data!D484</f>
        <v>26/06/2025</v>
      </c>
      <c r="E486" s="29" t="str">
        <f>Sales_data!E484</f>
        <v>06/07/2025</v>
      </c>
      <c r="F486" s="29">
        <f t="shared" si="22"/>
        <v>10</v>
      </c>
      <c r="G486" s="29" t="str">
        <f t="shared" si="23"/>
        <v>Delayed</v>
      </c>
    </row>
    <row r="487" spans="1:7" ht="15" customHeight="1">
      <c r="A487" s="29" t="str">
        <f>Sales_data!A485</f>
        <v>ORD10484</v>
      </c>
      <c r="B487" s="29" t="str">
        <f>Sales_data!H485</f>
        <v>03/07/1991</v>
      </c>
      <c r="C487" s="29">
        <f t="shared" ca="1" si="21"/>
        <v>35</v>
      </c>
      <c r="D487" s="29" t="str">
        <f>Sales_data!D485</f>
        <v>08/07/2025</v>
      </c>
      <c r="E487" s="29" t="str">
        <f>Sales_data!E485</f>
        <v>18/07/2025</v>
      </c>
      <c r="F487" s="29">
        <f t="shared" si="22"/>
        <v>10</v>
      </c>
      <c r="G487" s="29" t="str">
        <f t="shared" si="23"/>
        <v>Delayed</v>
      </c>
    </row>
    <row r="488" spans="1:7" ht="15" customHeight="1">
      <c r="A488" s="29" t="str">
        <f>Sales_data!A486</f>
        <v>ORD10485</v>
      </c>
      <c r="B488" s="29" t="str">
        <f>Sales_data!H486</f>
        <v>05/02/1978</v>
      </c>
      <c r="C488" s="29">
        <f t="shared" ca="1" si="21"/>
        <v>48</v>
      </c>
      <c r="D488" s="29" t="str">
        <f>Sales_data!D486</f>
        <v>11/03/2026</v>
      </c>
      <c r="E488" s="29" t="str">
        <f>Sales_data!E486</f>
        <v>21/03/2026</v>
      </c>
      <c r="F488" s="29">
        <f t="shared" si="22"/>
        <v>10</v>
      </c>
      <c r="G488" s="29" t="str">
        <f t="shared" si="23"/>
        <v>Delayed</v>
      </c>
    </row>
    <row r="489" spans="1:7" ht="15" customHeight="1">
      <c r="A489" s="29" t="str">
        <f>Sales_data!A487</f>
        <v>ORD10486</v>
      </c>
      <c r="B489" s="29" t="str">
        <f>Sales_data!H487</f>
        <v>18/07/1999</v>
      </c>
      <c r="C489" s="29">
        <f t="shared" ca="1" si="21"/>
        <v>27</v>
      </c>
      <c r="D489" s="29" t="str">
        <f>Sales_data!D487</f>
        <v>23/03/2026</v>
      </c>
      <c r="E489" s="29" t="str">
        <f>Sales_data!E487</f>
        <v>29/03/2026</v>
      </c>
      <c r="F489" s="29">
        <f t="shared" si="22"/>
        <v>6</v>
      </c>
      <c r="G489" s="29" t="str">
        <f t="shared" si="23"/>
        <v>Delayed</v>
      </c>
    </row>
    <row r="490" spans="1:7" ht="15" customHeight="1">
      <c r="A490" s="29" t="str">
        <f>Sales_data!A488</f>
        <v>ORD10487</v>
      </c>
      <c r="B490" s="29" t="str">
        <f>Sales_data!H488</f>
        <v>03/04/1988</v>
      </c>
      <c r="C490" s="29">
        <f t="shared" ca="1" si="21"/>
        <v>38</v>
      </c>
      <c r="D490" s="29" t="str">
        <f>Sales_data!D488</f>
        <v>31/10/2025</v>
      </c>
      <c r="E490" s="29" t="str">
        <f>Sales_data!E488</f>
        <v>05/11/2025</v>
      </c>
      <c r="F490" s="29">
        <f t="shared" si="22"/>
        <v>5</v>
      </c>
      <c r="G490" s="29" t="str">
        <f t="shared" si="23"/>
        <v>OnTime</v>
      </c>
    </row>
    <row r="491" spans="1:7" ht="15" customHeight="1">
      <c r="A491" s="29" t="str">
        <f>Sales_data!A489</f>
        <v>ORD10488</v>
      </c>
      <c r="B491" s="29" t="str">
        <f>Sales_data!H489</f>
        <v>11/11/1978</v>
      </c>
      <c r="C491" s="29">
        <f t="shared" ca="1" si="21"/>
        <v>47</v>
      </c>
      <c r="D491" s="29" t="str">
        <f>Sales_data!D489</f>
        <v>05/05/2026</v>
      </c>
      <c r="E491" s="29" t="str">
        <f>Sales_data!E489</f>
        <v>09/05/2026</v>
      </c>
      <c r="F491" s="29">
        <f t="shared" si="22"/>
        <v>4</v>
      </c>
      <c r="G491" s="29" t="str">
        <f t="shared" si="23"/>
        <v>OnTime</v>
      </c>
    </row>
    <row r="492" spans="1:7" ht="15" customHeight="1">
      <c r="A492" s="29" t="str">
        <f>Sales_data!A490</f>
        <v>ORD10489</v>
      </c>
      <c r="B492" s="29" t="str">
        <f>Sales_data!H490</f>
        <v>02/04/1994</v>
      </c>
      <c r="C492" s="29">
        <f t="shared" ca="1" si="21"/>
        <v>32</v>
      </c>
      <c r="D492" s="29" t="str">
        <f>Sales_data!D490</f>
        <v>23/02/2025</v>
      </c>
      <c r="E492" s="29" t="str">
        <f>Sales_data!E490</f>
        <v>07/03/2025</v>
      </c>
      <c r="F492" s="29">
        <f t="shared" si="22"/>
        <v>12</v>
      </c>
      <c r="G492" s="29" t="str">
        <f t="shared" si="23"/>
        <v>Delayed</v>
      </c>
    </row>
    <row r="493" spans="1:7" ht="15" customHeight="1">
      <c r="A493" s="29" t="str">
        <f>Sales_data!A491</f>
        <v>ORD10490</v>
      </c>
      <c r="B493" s="29" t="str">
        <f>Sales_data!H491</f>
        <v>09/05/1993</v>
      </c>
      <c r="C493" s="29">
        <f t="shared" ca="1" si="21"/>
        <v>33</v>
      </c>
      <c r="D493" s="29" t="str">
        <f>Sales_data!D491</f>
        <v>15/01/2025</v>
      </c>
      <c r="E493" s="29" t="str">
        <f>Sales_data!E491</f>
        <v>17/01/2025</v>
      </c>
      <c r="F493" s="29">
        <f t="shared" si="22"/>
        <v>2</v>
      </c>
      <c r="G493" s="29" t="str">
        <f t="shared" si="23"/>
        <v>OnTime</v>
      </c>
    </row>
    <row r="494" spans="1:7" ht="15" customHeight="1">
      <c r="A494" s="29" t="str">
        <f>Sales_data!A492</f>
        <v>ORD10491</v>
      </c>
      <c r="B494" s="29" t="str">
        <f>Sales_data!H492</f>
        <v>11/07/1994</v>
      </c>
      <c r="C494" s="29">
        <f t="shared" ca="1" si="21"/>
        <v>32</v>
      </c>
      <c r="D494" s="29" t="str">
        <f>Sales_data!D492</f>
        <v>30/03/2025</v>
      </c>
      <c r="E494" s="29" t="str">
        <f>Sales_data!E492</f>
        <v>08/04/2025</v>
      </c>
      <c r="F494" s="29">
        <f t="shared" si="22"/>
        <v>9</v>
      </c>
      <c r="G494" s="29" t="str">
        <f t="shared" si="23"/>
        <v>Delayed</v>
      </c>
    </row>
    <row r="495" spans="1:7" ht="15" customHeight="1">
      <c r="A495" s="29" t="str">
        <f>Sales_data!A493</f>
        <v>ORD10492</v>
      </c>
      <c r="B495" s="29" t="str">
        <f>Sales_data!H493</f>
        <v>19/12/1982</v>
      </c>
      <c r="C495" s="29">
        <f t="shared" ca="1" si="21"/>
        <v>43</v>
      </c>
      <c r="D495" s="29" t="str">
        <f>Sales_data!D493</f>
        <v>24/04/2026</v>
      </c>
      <c r="E495" s="29" t="str">
        <f>Sales_data!E493</f>
        <v>02/05/2026</v>
      </c>
      <c r="F495" s="29">
        <f t="shared" si="22"/>
        <v>8</v>
      </c>
      <c r="G495" s="29" t="str">
        <f t="shared" si="23"/>
        <v>Delayed</v>
      </c>
    </row>
    <row r="496" spans="1:7" ht="15" customHeight="1">
      <c r="A496" s="29" t="str">
        <f>Sales_data!A494</f>
        <v>ORD10493</v>
      </c>
      <c r="B496" s="29" t="str">
        <f>Sales_data!H494</f>
        <v>02/11/2001</v>
      </c>
      <c r="C496" s="29">
        <f t="shared" ca="1" si="21"/>
        <v>24</v>
      </c>
      <c r="D496" s="29" t="str">
        <f>Sales_data!D494</f>
        <v>20/07/2025</v>
      </c>
      <c r="E496" s="29" t="str">
        <f>Sales_data!E494</f>
        <v>29/07/2025</v>
      </c>
      <c r="F496" s="29">
        <f t="shared" si="22"/>
        <v>9</v>
      </c>
      <c r="G496" s="29" t="str">
        <f t="shared" si="23"/>
        <v>Delayed</v>
      </c>
    </row>
    <row r="497" spans="1:7" ht="15" customHeight="1">
      <c r="A497" s="29" t="str">
        <f>Sales_data!A495</f>
        <v>ORD10494</v>
      </c>
      <c r="B497" s="29" t="str">
        <f>Sales_data!H495</f>
        <v>18/10/2001</v>
      </c>
      <c r="C497" s="29">
        <f t="shared" ca="1" si="21"/>
        <v>24</v>
      </c>
      <c r="D497" s="29" t="str">
        <f>Sales_data!D495</f>
        <v>29/07/2025</v>
      </c>
      <c r="E497" s="29" t="str">
        <f>Sales_data!E495</f>
        <v>01/08/2025</v>
      </c>
      <c r="F497" s="29">
        <f t="shared" si="22"/>
        <v>3</v>
      </c>
      <c r="G497" s="29" t="str">
        <f t="shared" si="23"/>
        <v>OnTime</v>
      </c>
    </row>
    <row r="498" spans="1:7" ht="15" customHeight="1">
      <c r="A498" s="29" t="str">
        <f>Sales_data!A496</f>
        <v>ORD10495</v>
      </c>
      <c r="B498" s="29" t="str">
        <f>Sales_data!H496</f>
        <v>21/12/2000</v>
      </c>
      <c r="C498" s="29">
        <f t="shared" ca="1" si="21"/>
        <v>25</v>
      </c>
      <c r="D498" s="29" t="str">
        <f>Sales_data!D496</f>
        <v>21/10/2025</v>
      </c>
      <c r="E498" s="29" t="str">
        <f>Sales_data!E496</f>
        <v>01/11/2025</v>
      </c>
      <c r="F498" s="29">
        <f t="shared" si="22"/>
        <v>11</v>
      </c>
      <c r="G498" s="29" t="str">
        <f t="shared" si="23"/>
        <v>Delayed</v>
      </c>
    </row>
    <row r="499" spans="1:7" ht="15" customHeight="1">
      <c r="A499" s="29" t="str">
        <f>Sales_data!A497</f>
        <v>ORD10496</v>
      </c>
      <c r="B499" s="29" t="str">
        <f>Sales_data!H497</f>
        <v>20/02/1983</v>
      </c>
      <c r="C499" s="29">
        <f t="shared" ca="1" si="21"/>
        <v>43</v>
      </c>
      <c r="D499" s="29" t="str">
        <f>Sales_data!D497</f>
        <v>17/03/2026</v>
      </c>
      <c r="E499" s="29" t="str">
        <f>Sales_data!E497</f>
        <v>29/03/2026</v>
      </c>
      <c r="F499" s="29">
        <f t="shared" si="22"/>
        <v>12</v>
      </c>
      <c r="G499" s="29" t="str">
        <f t="shared" si="23"/>
        <v>Delayed</v>
      </c>
    </row>
    <row r="500" spans="1:7" ht="15" customHeight="1">
      <c r="A500" s="29" t="str">
        <f>Sales_data!A498</f>
        <v>ORD10497</v>
      </c>
      <c r="B500" s="29" t="str">
        <f>Sales_data!H498</f>
        <v>13/06/1988</v>
      </c>
      <c r="C500" s="29">
        <f t="shared" ca="1" si="21"/>
        <v>38</v>
      </c>
      <c r="D500" s="29" t="str">
        <f>Sales_data!D498</f>
        <v>23/02/2025</v>
      </c>
      <c r="E500" s="29" t="str">
        <f>Sales_data!E498</f>
        <v>07/03/2025</v>
      </c>
      <c r="F500" s="29">
        <f t="shared" si="22"/>
        <v>12</v>
      </c>
      <c r="G500" s="29" t="str">
        <f t="shared" si="23"/>
        <v>Delayed</v>
      </c>
    </row>
    <row r="501" spans="1:7" ht="15" customHeight="1">
      <c r="A501" s="29" t="str">
        <f>Sales_data!A499</f>
        <v>ORD10498</v>
      </c>
      <c r="B501" s="29" t="str">
        <f>Sales_data!H499</f>
        <v>22/07/1992</v>
      </c>
      <c r="C501" s="29">
        <f t="shared" ca="1" si="21"/>
        <v>34</v>
      </c>
      <c r="D501" s="29" t="str">
        <f>Sales_data!D499</f>
        <v>11/12/2025</v>
      </c>
      <c r="E501" s="29" t="str">
        <f>Sales_data!E499</f>
        <v>20/12/2025</v>
      </c>
      <c r="F501" s="29">
        <f t="shared" si="22"/>
        <v>9</v>
      </c>
      <c r="G501" s="29" t="str">
        <f t="shared" si="23"/>
        <v>Delayed</v>
      </c>
    </row>
    <row r="502" spans="1:7" ht="15" customHeight="1">
      <c r="A502" s="29" t="str">
        <f>Sales_data!A500</f>
        <v>ORD10499</v>
      </c>
      <c r="B502" s="29" t="str">
        <f>Sales_data!H500</f>
        <v>12/08/1979</v>
      </c>
      <c r="C502" s="29">
        <f t="shared" ca="1" si="21"/>
        <v>47</v>
      </c>
      <c r="D502" s="29" t="str">
        <f>Sales_data!D500</f>
        <v>04/07/2025</v>
      </c>
      <c r="E502" s="29" t="str">
        <f>Sales_data!E500</f>
        <v>05/07/2025</v>
      </c>
      <c r="F502" s="29">
        <f t="shared" si="22"/>
        <v>1</v>
      </c>
      <c r="G502" s="29" t="str">
        <f t="shared" si="23"/>
        <v>OnTime</v>
      </c>
    </row>
    <row r="503" spans="1:7" ht="15" customHeight="1">
      <c r="A503" s="29" t="str">
        <f>Sales_data!A501</f>
        <v>ORD10500</v>
      </c>
      <c r="B503" s="29" t="str">
        <f>Sales_data!H501</f>
        <v>24/11/1976</v>
      </c>
      <c r="C503" s="29">
        <f t="shared" ca="1" si="21"/>
        <v>49</v>
      </c>
      <c r="D503" s="29" t="str">
        <f>Sales_data!D501</f>
        <v>16/09/2025</v>
      </c>
      <c r="E503" s="29" t="str">
        <f>Sales_data!E501</f>
        <v>23/09/2025</v>
      </c>
      <c r="F503" s="29">
        <f t="shared" si="22"/>
        <v>7</v>
      </c>
      <c r="G503" s="29" t="str">
        <f t="shared" si="23"/>
        <v>Delayed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8.5546875" defaultRowHeight="15" customHeight="1"/>
  <cols>
    <col min="1" max="1" width="24" customWidth="1"/>
    <col min="2" max="2" width="45" customWidth="1"/>
  </cols>
  <sheetData>
    <row r="1" spans="1:4" ht="27.75" customHeight="1">
      <c r="A1" s="30" t="s">
        <v>2123</v>
      </c>
      <c r="B1" s="30"/>
    </row>
    <row r="2" spans="1:4" ht="15" customHeight="1">
      <c r="A2" s="30"/>
      <c r="B2" s="30"/>
    </row>
    <row r="3" spans="1:4" ht="15" customHeight="1">
      <c r="A3" s="44" t="s">
        <v>2124</v>
      </c>
      <c r="B3" s="34" t="s">
        <v>55</v>
      </c>
    </row>
    <row r="4" spans="1:4" ht="15" customHeight="1">
      <c r="A4" s="35" t="s">
        <v>2125</v>
      </c>
      <c r="B4" s="29" t="str">
        <f>IFERROR(VLOOKUP($B$3,Product_master!$A$2:$F$11,2,0),"Product Not Found")</f>
        <v>Laptop</v>
      </c>
    </row>
    <row r="5" spans="1:4" ht="15" customHeight="1">
      <c r="A5" s="35" t="s">
        <v>10</v>
      </c>
      <c r="B5" s="29" t="str">
        <f>IFERROR(VLOOKUP($B$3,Product_master!$A$2:$F$11,3,0),"Product Not Found")</f>
        <v>Electronics</v>
      </c>
    </row>
    <row r="6" spans="1:4" ht="15" customHeight="1">
      <c r="A6" s="35" t="s">
        <v>2094</v>
      </c>
      <c r="B6" s="29" t="str">
        <f>IFERROR(VLOOKUP($B$3,Product_master!$A$2:$F$11,4,0),"Product Not Found")</f>
        <v>TechHub</v>
      </c>
    </row>
    <row r="7" spans="1:4" ht="15" customHeight="1">
      <c r="A7" s="35" t="s">
        <v>2126</v>
      </c>
      <c r="B7" s="29">
        <f>IFERROR(VLOOKUP($B$3,Product_master!$A$2:$F$11,5,0),"Product Not Found")</f>
        <v>41250</v>
      </c>
    </row>
    <row r="8" spans="1:4" ht="15" customHeight="1">
      <c r="A8" s="35" t="s">
        <v>2127</v>
      </c>
      <c r="B8" s="29">
        <f>IFERROR(VLOOKUP($B$3,Product_master!$A$2:$F$11,6,0),"Product Not Found")</f>
        <v>12</v>
      </c>
    </row>
    <row r="11" spans="1:4" ht="15" customHeight="1">
      <c r="A11" s="39" t="s">
        <v>2128</v>
      </c>
      <c r="B11" s="36" t="s">
        <v>2129</v>
      </c>
      <c r="C11" s="37"/>
      <c r="D11" s="38"/>
    </row>
  </sheetData>
  <mergeCells count="2">
    <mergeCell ref="A1:B2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zoomScaleNormal="100" workbookViewId="0">
      <selection activeCell="B15" sqref="B15"/>
    </sheetView>
  </sheetViews>
  <sheetFormatPr defaultColWidth="8.5546875" defaultRowHeight="15" customHeight="1"/>
  <cols>
    <col min="1" max="1" width="60" customWidth="1"/>
    <col min="2" max="2" width="24" customWidth="1"/>
  </cols>
  <sheetData>
    <row r="1" spans="1:2" ht="27.75" customHeight="1">
      <c r="A1" s="30" t="s">
        <v>2130</v>
      </c>
      <c r="B1" s="30"/>
    </row>
    <row r="2" spans="1:2" ht="15" customHeight="1">
      <c r="A2" s="40" t="s">
        <v>2131</v>
      </c>
      <c r="B2" s="40" t="s">
        <v>2132</v>
      </c>
    </row>
    <row r="3" spans="1:2" ht="15" customHeight="1">
      <c r="A3" s="41" t="s">
        <v>2133</v>
      </c>
      <c r="B3" s="42">
        <f>SUMIFS(Sales_data!$P$2:$P$501,Sales_data!$K$2:$K$501,"Electronics",Sales_data!$V$2:$V$501,"Completed")</f>
        <v>7222090</v>
      </c>
    </row>
    <row r="4" spans="1:2" ht="15" customHeight="1">
      <c r="A4" s="41" t="s">
        <v>2134</v>
      </c>
      <c r="B4" s="42">
        <f>SUMIFS(Sales_data!$P$2:$P$501,Sales_data!$S$2:$S$501,"Neha",Sales_data!$J$2:$J$501,"North")</f>
        <v>1550369.25</v>
      </c>
    </row>
    <row r="5" spans="1:2" ht="15" customHeight="1">
      <c r="A5" s="41" t="s">
        <v>2135</v>
      </c>
      <c r="B5" s="41">
        <f>COUNTIFS(Sales_data!$O$2:$O$501,"&gt;=15%",Sales_data!$R$2:$R$501,"UPI")</f>
        <v>83</v>
      </c>
    </row>
    <row r="6" spans="1:2" ht="15" customHeight="1">
      <c r="A6" s="41" t="s">
        <v>2136</v>
      </c>
      <c r="B6" s="41">
        <f>COUNTIFS(Sales_data!$Q$2:$Q$501,5,Sales_data!$V$2:$V$501,"Completed")</f>
        <v>27</v>
      </c>
    </row>
    <row r="7" spans="1:2" ht="15" customHeight="1">
      <c r="A7" s="41" t="s">
        <v>2137</v>
      </c>
      <c r="B7" s="42">
        <f>IFERROR(AVERAGEIFS(Sales_data!$P$2:$P$501,Sales_data!$J$2:$J$501,"West",Sales_data!$M$2:$M$501,"&gt;5"),0)</f>
        <v>82824.450657894733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Normal="100" workbookViewId="0">
      <selection activeCell="B21" sqref="B21"/>
    </sheetView>
  </sheetViews>
  <sheetFormatPr defaultColWidth="8.5546875" defaultRowHeight="15" customHeight="1"/>
  <cols>
    <col min="1" max="1" width="32" customWidth="1"/>
    <col min="2" max="2" width="65" customWidth="1"/>
    <col min="3" max="3" width="15" customWidth="1"/>
  </cols>
  <sheetData>
    <row r="1" spans="1:3" ht="27.75" customHeight="1">
      <c r="A1" s="30" t="s">
        <v>2138</v>
      </c>
      <c r="B1" s="30"/>
    </row>
    <row r="2" spans="1:3" ht="15" customHeight="1">
      <c r="A2" s="45" t="s">
        <v>2139</v>
      </c>
      <c r="B2" s="45" t="s">
        <v>2140</v>
      </c>
    </row>
    <row r="3" spans="1:3" ht="15" customHeight="1">
      <c r="A3" s="29" t="s">
        <v>2141</v>
      </c>
      <c r="B3" s="43">
        <f>AVERAGE(Sales_data!$P$2:$P$501)</f>
        <v>69531.875</v>
      </c>
    </row>
    <row r="4" spans="1:3" ht="15" customHeight="1">
      <c r="A4" s="29" t="s">
        <v>2142</v>
      </c>
      <c r="B4" s="43">
        <f>MEDIAN(Sales_data!$P$2:$P$501)</f>
        <v>10475</v>
      </c>
    </row>
    <row r="5" spans="1:3" ht="15" customHeight="1">
      <c r="A5" s="29" t="s">
        <v>2143</v>
      </c>
      <c r="B5" s="43">
        <f>MAX(Sales_data!$P$2:$P$501)</f>
        <v>1045000</v>
      </c>
    </row>
    <row r="6" spans="1:3" ht="15" customHeight="1">
      <c r="A6" s="29" t="s">
        <v>2144</v>
      </c>
      <c r="B6" s="43">
        <f>MIN(Sales_data!$P$2:$P$501)</f>
        <v>19</v>
      </c>
    </row>
    <row r="7" spans="1:3" ht="15" customHeight="1">
      <c r="A7" s="29" t="s">
        <v>2145</v>
      </c>
      <c r="B7" s="43">
        <f>STDEV(Sales_data!$P$2:$P$501)</f>
        <v>167151.44592393315</v>
      </c>
    </row>
    <row r="8" spans="1:3" ht="15" customHeight="1">
      <c r="A8" s="29" t="s">
        <v>2146</v>
      </c>
      <c r="B8" s="43">
        <f>PERCENTILE(Sales_data!$P$2:$P$501,0.9)</f>
        <v>163880.00000000015</v>
      </c>
    </row>
    <row r="11" spans="1:3" ht="15" customHeight="1">
      <c r="A11" s="46" t="s">
        <v>2147</v>
      </c>
      <c r="B11" s="48" t="s">
        <v>2148</v>
      </c>
      <c r="C11" s="47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zoomScaleNormal="100" workbookViewId="0">
      <selection activeCell="G13" sqref="G13"/>
    </sheetView>
  </sheetViews>
  <sheetFormatPr defaultColWidth="8.5546875" defaultRowHeight="15" customHeight="1"/>
  <cols>
    <col min="1" max="1" width="45" customWidth="1"/>
    <col min="2" max="2" width="25" customWidth="1"/>
  </cols>
  <sheetData>
    <row r="1" spans="1:2" ht="27.75" customHeight="1">
      <c r="A1" s="30" t="s">
        <v>2149</v>
      </c>
      <c r="B1" s="30"/>
    </row>
    <row r="2" spans="1:2" ht="15" customHeight="1">
      <c r="A2" s="33" t="s">
        <v>2131</v>
      </c>
      <c r="B2" s="33" t="s">
        <v>2132</v>
      </c>
    </row>
    <row r="3" spans="1:2" ht="15" customHeight="1">
      <c r="A3" s="29" t="s">
        <v>2150</v>
      </c>
      <c r="B3" s="43">
        <f>SUMPRODUCT(Sales_data!$M$2:$M$501,Sales_data!$N$2:$N$501)</f>
        <v>36604875</v>
      </c>
    </row>
    <row r="4" spans="1:2" ht="15" customHeight="1">
      <c r="A4" s="29" t="s">
        <v>2151</v>
      </c>
      <c r="B4" s="43">
        <f>IFERROR(SUMPRODUCT(Sales_data!$M$2:$M$501,Sales_data!$N$2:$N$501)/SUM(Sales_data!$M$2:$M$501),0)</f>
        <v>6989.6648844758447</v>
      </c>
    </row>
    <row r="5" spans="1:2" ht="15" customHeight="1">
      <c r="A5" s="29" t="s">
        <v>2152</v>
      </c>
      <c r="B5" s="43">
        <f>SUM(Sales_data!$P$2:$P$501)</f>
        <v>34765937.5</v>
      </c>
    </row>
    <row r="6" spans="1:2" ht="15" customHeight="1">
      <c r="A6" s="29" t="s">
        <v>2153</v>
      </c>
      <c r="B6" s="43">
        <f>B3-B5</f>
        <v>1838937.5</v>
      </c>
    </row>
    <row r="7" spans="1:2" ht="15" customHeight="1">
      <c r="A7" s="29" t="s">
        <v>2154</v>
      </c>
      <c r="B7" s="43">
        <f>SUMPRODUCT(Sales_data!$O$2:$O$501/100,Sales_data!$M$2:$M$501,Sales_data!$N$2:$N$501)</f>
        <v>2918151.5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tabSelected="1" zoomScaleNormal="100" workbookViewId="0">
      <selection activeCell="B15" sqref="B15"/>
    </sheetView>
  </sheetViews>
  <sheetFormatPr defaultColWidth="8.5546875" defaultRowHeight="15" customHeight="1"/>
  <cols>
    <col min="1" max="1" width="65" customWidth="1"/>
    <col min="2" max="2" width="25" customWidth="1"/>
  </cols>
  <sheetData>
    <row r="1" spans="1:2" ht="27.75" customHeight="1">
      <c r="A1" s="30" t="s">
        <v>2155</v>
      </c>
      <c r="B1" s="30"/>
    </row>
    <row r="2" spans="1:2" ht="15" customHeight="1">
      <c r="A2" s="32" t="s">
        <v>2156</v>
      </c>
      <c r="B2" s="32" t="s">
        <v>2132</v>
      </c>
    </row>
    <row r="3" spans="1:2" ht="15" customHeight="1">
      <c r="A3" s="29" t="s">
        <v>2174</v>
      </c>
      <c r="B3" s="43">
        <f>FV(10%/12,5*12,-50000,0,0)</f>
        <v>3871853.6086715083</v>
      </c>
    </row>
    <row r="4" spans="1:2" ht="15" customHeight="1">
      <c r="A4" s="29" t="s">
        <v>2175</v>
      </c>
      <c r="B4" s="43">
        <f>PMT(10%/12,5*12,0,-5000000,0)</f>
        <v>64568.556889674721</v>
      </c>
    </row>
    <row r="5" spans="1:2" ht="15" customHeight="1">
      <c r="A5" s="29" t="s">
        <v>2176</v>
      </c>
      <c r="B5" s="43">
        <f>PMT(9%/12,5*12,-1000000)</f>
        <v>20758.355226354008</v>
      </c>
    </row>
    <row r="6" spans="1:2" ht="15" customHeight="1">
      <c r="A6" s="29" t="s">
        <v>2157</v>
      </c>
      <c r="B6" s="43">
        <f>ROUND(ABS(B5),0)</f>
        <v>20758</v>
      </c>
    </row>
    <row r="7" spans="1:2" ht="15" customHeight="1">
      <c r="A7" s="29" t="s">
        <v>2158</v>
      </c>
      <c r="B7" s="43">
        <f>ROUND(B3,2)</f>
        <v>3871853.61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99"/>
  <sheetViews>
    <sheetView zoomScaleNormal="100" workbookViewId="0">
      <pane ySplit="1" topLeftCell="A2" activePane="bottomLeft" state="frozen"/>
      <selection pane="bottomLeft" activeCell="A2" sqref="A1:W499"/>
    </sheetView>
  </sheetViews>
  <sheetFormatPr defaultColWidth="8.5546875" defaultRowHeight="15" customHeight="1"/>
  <cols>
    <col min="1" max="1" width="12" customWidth="1"/>
    <col min="2" max="2" width="13" customWidth="1"/>
    <col min="3" max="4" width="12" customWidth="1"/>
    <col min="5" max="6" width="15" customWidth="1"/>
    <col min="7" max="10" width="12" customWidth="1"/>
    <col min="11" max="11" width="17" customWidth="1"/>
    <col min="12" max="12" width="14" customWidth="1"/>
    <col min="13" max="17" width="12" customWidth="1"/>
    <col min="18" max="18" width="14" customWidth="1"/>
    <col min="19" max="19" width="13" customWidth="1"/>
    <col min="20" max="20" width="25" customWidth="1"/>
    <col min="21" max="21" width="12" customWidth="1"/>
    <col min="22" max="22" width="14" customWidth="1"/>
    <col min="23" max="23" width="15" customWidth="1"/>
  </cols>
  <sheetData>
    <row r="1" spans="1:23" ht="1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25" t="s">
        <v>2159</v>
      </c>
    </row>
    <row r="2" spans="1:23" ht="15.75" customHeight="1">
      <c r="A2" s="25" t="s">
        <v>23</v>
      </c>
      <c r="B2" s="25" t="s">
        <v>24</v>
      </c>
      <c r="C2" s="25" t="s">
        <v>25</v>
      </c>
      <c r="D2" s="25" t="s">
        <v>26</v>
      </c>
      <c r="E2" s="25" t="s">
        <v>27</v>
      </c>
      <c r="F2" s="25" t="s">
        <v>28</v>
      </c>
      <c r="G2" s="25" t="s">
        <v>29</v>
      </c>
      <c r="H2" s="25" t="s">
        <v>30</v>
      </c>
      <c r="I2" s="25" t="s">
        <v>31</v>
      </c>
      <c r="J2" s="25" t="s">
        <v>32</v>
      </c>
      <c r="K2" s="25" t="s">
        <v>33</v>
      </c>
      <c r="L2" s="25" t="s">
        <v>34</v>
      </c>
      <c r="M2" s="25">
        <v>4</v>
      </c>
      <c r="N2" s="25">
        <v>2200</v>
      </c>
      <c r="O2" s="25">
        <v>10</v>
      </c>
      <c r="P2" s="25">
        <v>7920</v>
      </c>
      <c r="Q2" s="25">
        <v>4</v>
      </c>
      <c r="R2" s="25" t="s">
        <v>35</v>
      </c>
      <c r="S2" s="25" t="s">
        <v>36</v>
      </c>
      <c r="T2" s="25" t="s">
        <v>37</v>
      </c>
      <c r="U2" s="25" t="s">
        <v>38</v>
      </c>
      <c r="V2" s="25" t="s">
        <v>39</v>
      </c>
      <c r="W2" s="26">
        <v>45901</v>
      </c>
    </row>
    <row r="3" spans="1:23" ht="15.75" customHeight="1">
      <c r="A3" s="25" t="s">
        <v>40</v>
      </c>
      <c r="B3" s="25" t="s">
        <v>24</v>
      </c>
      <c r="C3" s="25" t="s">
        <v>41</v>
      </c>
      <c r="D3" s="25" t="s">
        <v>42</v>
      </c>
      <c r="E3" s="25" t="s">
        <v>43</v>
      </c>
      <c r="F3" s="25" t="s">
        <v>28</v>
      </c>
      <c r="G3" s="25" t="s">
        <v>29</v>
      </c>
      <c r="H3" s="25" t="s">
        <v>44</v>
      </c>
      <c r="I3" s="25" t="s">
        <v>45</v>
      </c>
      <c r="J3" s="25" t="s">
        <v>46</v>
      </c>
      <c r="K3" s="25" t="s">
        <v>47</v>
      </c>
      <c r="L3" s="25" t="s">
        <v>48</v>
      </c>
      <c r="M3" s="25">
        <v>17</v>
      </c>
      <c r="N3" s="25">
        <v>12000</v>
      </c>
      <c r="O3" s="25">
        <v>10</v>
      </c>
      <c r="P3" s="25">
        <v>183600</v>
      </c>
      <c r="Q3" s="25">
        <v>1</v>
      </c>
      <c r="R3" s="25" t="s">
        <v>49</v>
      </c>
      <c r="S3" s="25" t="s">
        <v>50</v>
      </c>
      <c r="T3" s="25" t="s">
        <v>51</v>
      </c>
      <c r="U3" s="25" t="s">
        <v>52</v>
      </c>
      <c r="V3" s="25" t="s">
        <v>39</v>
      </c>
      <c r="W3" s="26">
        <v>45748</v>
      </c>
    </row>
    <row r="4" spans="1:23" ht="15.75" customHeight="1">
      <c r="A4" s="25" t="s">
        <v>53</v>
      </c>
      <c r="B4" s="25" t="s">
        <v>54</v>
      </c>
      <c r="C4" s="25" t="s">
        <v>55</v>
      </c>
      <c r="D4" s="25" t="s">
        <v>56</v>
      </c>
      <c r="E4" s="25" t="s">
        <v>57</v>
      </c>
      <c r="F4" s="25" t="s">
        <v>164</v>
      </c>
      <c r="G4" s="25" t="s">
        <v>29</v>
      </c>
      <c r="H4" s="25" t="s">
        <v>59</v>
      </c>
      <c r="I4" s="25" t="s">
        <v>60</v>
      </c>
      <c r="J4" s="25" t="s">
        <v>32</v>
      </c>
      <c r="K4" s="25" t="s">
        <v>47</v>
      </c>
      <c r="L4" s="25" t="s">
        <v>61</v>
      </c>
      <c r="M4" s="25">
        <v>5</v>
      </c>
      <c r="N4" s="25">
        <v>55000</v>
      </c>
      <c r="O4" s="25">
        <v>5</v>
      </c>
      <c r="P4" s="25">
        <v>261250</v>
      </c>
      <c r="Q4" s="25">
        <v>3</v>
      </c>
      <c r="R4" s="25" t="s">
        <v>49</v>
      </c>
      <c r="S4" s="25" t="s">
        <v>62</v>
      </c>
      <c r="T4" s="25" t="s">
        <v>63</v>
      </c>
      <c r="U4" s="25" t="s">
        <v>64</v>
      </c>
      <c r="V4" s="25" t="s">
        <v>65</v>
      </c>
      <c r="W4" s="26">
        <v>45901</v>
      </c>
    </row>
    <row r="5" spans="1:23" ht="15.75" customHeight="1">
      <c r="A5" s="25" t="s">
        <v>71</v>
      </c>
      <c r="B5" s="25" t="s">
        <v>72</v>
      </c>
      <c r="C5" s="25" t="s">
        <v>73</v>
      </c>
      <c r="D5" s="25" t="s">
        <v>74</v>
      </c>
      <c r="E5" s="25" t="s">
        <v>75</v>
      </c>
      <c r="F5" s="25" t="s">
        <v>218</v>
      </c>
      <c r="G5" s="25" t="s">
        <v>77</v>
      </c>
      <c r="H5" s="25" t="s">
        <v>78</v>
      </c>
      <c r="I5" s="25" t="s">
        <v>45</v>
      </c>
      <c r="J5" s="25" t="s">
        <v>46</v>
      </c>
      <c r="K5" s="25" t="s">
        <v>47</v>
      </c>
      <c r="L5" s="25" t="s">
        <v>79</v>
      </c>
      <c r="M5" s="25">
        <v>8</v>
      </c>
      <c r="N5" s="25">
        <v>1200</v>
      </c>
      <c r="O5" s="25">
        <v>5</v>
      </c>
      <c r="P5" s="25">
        <v>9120</v>
      </c>
      <c r="Q5" s="25">
        <v>2</v>
      </c>
      <c r="R5" s="25" t="s">
        <v>80</v>
      </c>
      <c r="S5" s="25" t="s">
        <v>62</v>
      </c>
      <c r="T5" s="25" t="s">
        <v>81</v>
      </c>
      <c r="U5" s="25" t="s">
        <v>82</v>
      </c>
      <c r="V5" s="25" t="s">
        <v>65</v>
      </c>
      <c r="W5" s="26">
        <v>45901</v>
      </c>
    </row>
    <row r="6" spans="1:23" ht="15.75" customHeight="1">
      <c r="A6" s="25" t="s">
        <v>83</v>
      </c>
      <c r="B6" s="25" t="s">
        <v>84</v>
      </c>
      <c r="C6" s="25" t="s">
        <v>25</v>
      </c>
      <c r="D6" s="25" t="s">
        <v>85</v>
      </c>
      <c r="E6" s="25" t="s">
        <v>86</v>
      </c>
      <c r="F6" s="25" t="s">
        <v>181</v>
      </c>
      <c r="G6" s="25" t="s">
        <v>77</v>
      </c>
      <c r="H6" s="25" t="s">
        <v>88</v>
      </c>
      <c r="I6" s="25" t="s">
        <v>31</v>
      </c>
      <c r="J6" s="25" t="s">
        <v>32</v>
      </c>
      <c r="K6" s="25" t="s">
        <v>33</v>
      </c>
      <c r="L6" s="25" t="s">
        <v>34</v>
      </c>
      <c r="M6" s="25">
        <v>4</v>
      </c>
      <c r="N6" s="25">
        <v>2200</v>
      </c>
      <c r="O6" s="25">
        <v>0</v>
      </c>
      <c r="P6" s="25">
        <v>8800</v>
      </c>
      <c r="Q6" s="25">
        <v>1</v>
      </c>
      <c r="R6" s="25" t="s">
        <v>89</v>
      </c>
      <c r="S6" s="25" t="s">
        <v>36</v>
      </c>
      <c r="T6" s="25" t="s">
        <v>90</v>
      </c>
      <c r="U6" s="25" t="s">
        <v>91</v>
      </c>
      <c r="V6" s="25" t="s">
        <v>39</v>
      </c>
      <c r="W6" s="26">
        <v>46023</v>
      </c>
    </row>
    <row r="7" spans="1:23" ht="15.75" customHeight="1">
      <c r="A7" s="25" t="s">
        <v>92</v>
      </c>
      <c r="B7" s="25" t="s">
        <v>24</v>
      </c>
      <c r="C7" s="25" t="s">
        <v>93</v>
      </c>
      <c r="D7" s="25" t="s">
        <v>94</v>
      </c>
      <c r="E7" s="25" t="s">
        <v>95</v>
      </c>
      <c r="F7" s="25" t="s">
        <v>28</v>
      </c>
      <c r="G7" s="25" t="s">
        <v>29</v>
      </c>
      <c r="H7" s="25" t="s">
        <v>97</v>
      </c>
      <c r="I7" s="25" t="s">
        <v>31</v>
      </c>
      <c r="J7" s="25" t="s">
        <v>32</v>
      </c>
      <c r="K7" s="25" t="s">
        <v>33</v>
      </c>
      <c r="L7" s="25" t="s">
        <v>98</v>
      </c>
      <c r="M7" s="25">
        <v>2</v>
      </c>
      <c r="N7" s="25">
        <v>3500</v>
      </c>
      <c r="O7" s="25">
        <v>5</v>
      </c>
      <c r="P7" s="25">
        <v>6650</v>
      </c>
      <c r="Q7" s="25">
        <v>1</v>
      </c>
      <c r="R7" s="25" t="s">
        <v>89</v>
      </c>
      <c r="S7" s="25" t="s">
        <v>36</v>
      </c>
      <c r="T7" s="25" t="s">
        <v>51</v>
      </c>
      <c r="U7" s="25" t="s">
        <v>99</v>
      </c>
      <c r="V7" s="25" t="s">
        <v>39</v>
      </c>
      <c r="W7" s="26"/>
    </row>
    <row r="8" spans="1:23" ht="15.75" customHeight="1">
      <c r="A8" s="25" t="s">
        <v>100</v>
      </c>
      <c r="B8" s="25" t="s">
        <v>101</v>
      </c>
      <c r="C8" s="25" t="s">
        <v>41</v>
      </c>
      <c r="D8" s="25" t="s">
        <v>102</v>
      </c>
      <c r="E8" s="25" t="s">
        <v>103</v>
      </c>
      <c r="F8" s="25" t="s">
        <v>104</v>
      </c>
      <c r="G8" s="25" t="s">
        <v>29</v>
      </c>
      <c r="H8" s="25" t="s">
        <v>105</v>
      </c>
      <c r="I8" s="25" t="s">
        <v>106</v>
      </c>
      <c r="J8" s="25" t="s">
        <v>107</v>
      </c>
      <c r="K8" s="25" t="s">
        <v>47</v>
      </c>
      <c r="L8" s="25" t="s">
        <v>48</v>
      </c>
      <c r="M8" s="25">
        <v>14</v>
      </c>
      <c r="N8" s="25">
        <v>12000</v>
      </c>
      <c r="O8" s="25">
        <v>15</v>
      </c>
      <c r="P8" s="25">
        <v>142800</v>
      </c>
      <c r="Q8" s="25">
        <v>4</v>
      </c>
      <c r="R8" s="25" t="s">
        <v>49</v>
      </c>
      <c r="S8" s="25" t="s">
        <v>36</v>
      </c>
      <c r="T8" s="25" t="s">
        <v>108</v>
      </c>
      <c r="U8" s="25" t="s">
        <v>109</v>
      </c>
      <c r="V8" s="25" t="s">
        <v>39</v>
      </c>
      <c r="W8" s="26">
        <v>45748</v>
      </c>
    </row>
    <row r="9" spans="1:23" ht="15.75" customHeight="1">
      <c r="A9" s="25" t="s">
        <v>110</v>
      </c>
      <c r="B9" s="25" t="s">
        <v>24</v>
      </c>
      <c r="C9" s="25" t="s">
        <v>41</v>
      </c>
      <c r="D9" s="25" t="s">
        <v>111</v>
      </c>
      <c r="E9" s="25" t="s">
        <v>112</v>
      </c>
      <c r="F9" s="25" t="s">
        <v>28</v>
      </c>
      <c r="G9" s="25" t="s">
        <v>29</v>
      </c>
      <c r="H9" s="25" t="s">
        <v>114</v>
      </c>
      <c r="I9" s="25" t="s">
        <v>115</v>
      </c>
      <c r="J9" s="25" t="s">
        <v>107</v>
      </c>
      <c r="K9" s="25" t="s">
        <v>47</v>
      </c>
      <c r="L9" s="25" t="s">
        <v>48</v>
      </c>
      <c r="M9" s="25">
        <v>4</v>
      </c>
      <c r="N9" s="25">
        <v>12000</v>
      </c>
      <c r="O9" s="25">
        <v>15</v>
      </c>
      <c r="P9" s="25">
        <v>40800</v>
      </c>
      <c r="Q9" s="25">
        <v>4</v>
      </c>
      <c r="R9" s="25" t="s">
        <v>89</v>
      </c>
      <c r="S9" s="25" t="s">
        <v>116</v>
      </c>
      <c r="T9" s="25" t="s">
        <v>51</v>
      </c>
      <c r="U9" s="25" t="s">
        <v>117</v>
      </c>
      <c r="V9" s="25" t="s">
        <v>39</v>
      </c>
      <c r="W9" s="26">
        <v>46023</v>
      </c>
    </row>
    <row r="10" spans="1:23" ht="15.75" customHeight="1">
      <c r="A10" s="25" t="s">
        <v>118</v>
      </c>
      <c r="B10" s="25" t="s">
        <v>101</v>
      </c>
      <c r="C10" s="25" t="s">
        <v>119</v>
      </c>
      <c r="D10" s="25" t="s">
        <v>120</v>
      </c>
      <c r="E10" s="25" t="s">
        <v>121</v>
      </c>
      <c r="F10" s="25" t="s">
        <v>104</v>
      </c>
      <c r="G10" s="25" t="s">
        <v>29</v>
      </c>
      <c r="H10" s="25" t="s">
        <v>122</v>
      </c>
      <c r="I10" s="25" t="s">
        <v>106</v>
      </c>
      <c r="J10" s="25" t="s">
        <v>107</v>
      </c>
      <c r="K10" s="25" t="s">
        <v>123</v>
      </c>
      <c r="L10" s="25" t="s">
        <v>124</v>
      </c>
      <c r="M10" s="25">
        <v>6</v>
      </c>
      <c r="N10" s="25">
        <v>60</v>
      </c>
      <c r="O10" s="25">
        <v>0</v>
      </c>
      <c r="P10" s="25">
        <v>360</v>
      </c>
      <c r="Q10" s="25">
        <v>4</v>
      </c>
      <c r="R10" s="25" t="s">
        <v>80</v>
      </c>
      <c r="S10" s="25" t="s">
        <v>116</v>
      </c>
      <c r="T10" s="25" t="s">
        <v>125</v>
      </c>
      <c r="U10" s="25" t="s">
        <v>126</v>
      </c>
      <c r="V10" s="25" t="s">
        <v>39</v>
      </c>
      <c r="W10" s="26">
        <v>45717</v>
      </c>
    </row>
    <row r="11" spans="1:23" ht="15.75" customHeight="1">
      <c r="A11" s="25" t="s">
        <v>127</v>
      </c>
      <c r="B11" s="25" t="s">
        <v>128</v>
      </c>
      <c r="C11" s="25" t="s">
        <v>25</v>
      </c>
      <c r="D11" s="25" t="s">
        <v>129</v>
      </c>
      <c r="E11" s="25" t="s">
        <v>130</v>
      </c>
      <c r="F11" s="25" t="s">
        <v>201</v>
      </c>
      <c r="G11" s="25" t="s">
        <v>77</v>
      </c>
      <c r="H11" s="25" t="s">
        <v>132</v>
      </c>
      <c r="I11" s="25" t="s">
        <v>45</v>
      </c>
      <c r="J11" s="25" t="s">
        <v>46</v>
      </c>
      <c r="K11" s="25" t="s">
        <v>33</v>
      </c>
      <c r="L11" s="25" t="s">
        <v>34</v>
      </c>
      <c r="M11" s="25">
        <v>-3</v>
      </c>
      <c r="N11" s="25">
        <v>2200</v>
      </c>
      <c r="O11" s="25">
        <v>0</v>
      </c>
      <c r="P11" s="25">
        <v>35200</v>
      </c>
      <c r="Q11" s="25">
        <v>2</v>
      </c>
      <c r="R11" s="25" t="s">
        <v>80</v>
      </c>
      <c r="S11" s="25" t="s">
        <v>50</v>
      </c>
      <c r="T11" s="25" t="s">
        <v>133</v>
      </c>
      <c r="U11" s="25" t="s">
        <v>134</v>
      </c>
      <c r="V11" s="25" t="s">
        <v>65</v>
      </c>
      <c r="W11" s="26">
        <v>45901</v>
      </c>
    </row>
    <row r="12" spans="1:23" ht="15.75" customHeight="1">
      <c r="A12" s="25" t="s">
        <v>135</v>
      </c>
      <c r="B12" s="25" t="s">
        <v>24</v>
      </c>
      <c r="C12" s="25" t="s">
        <v>93</v>
      </c>
      <c r="D12" s="25" t="s">
        <v>136</v>
      </c>
      <c r="E12" s="25" t="s">
        <v>137</v>
      </c>
      <c r="F12" s="25" t="s">
        <v>28</v>
      </c>
      <c r="G12" s="25" t="s">
        <v>29</v>
      </c>
      <c r="H12" s="25" t="s">
        <v>138</v>
      </c>
      <c r="I12" s="25" t="s">
        <v>139</v>
      </c>
      <c r="J12" s="25" t="s">
        <v>107</v>
      </c>
      <c r="K12" s="25" t="s">
        <v>33</v>
      </c>
      <c r="L12" s="25" t="s">
        <v>98</v>
      </c>
      <c r="M12" s="25">
        <v>10</v>
      </c>
      <c r="N12" s="25">
        <v>3500</v>
      </c>
      <c r="O12" s="25">
        <v>5</v>
      </c>
      <c r="P12" s="25">
        <v>33250</v>
      </c>
      <c r="Q12" s="25">
        <v>5</v>
      </c>
      <c r="R12" s="25" t="s">
        <v>80</v>
      </c>
      <c r="S12" s="25" t="s">
        <v>62</v>
      </c>
      <c r="T12" s="25" t="s">
        <v>51</v>
      </c>
      <c r="U12" s="25" t="s">
        <v>140</v>
      </c>
      <c r="V12" s="25" t="s">
        <v>70</v>
      </c>
      <c r="W12" s="26">
        <v>45717</v>
      </c>
    </row>
    <row r="13" spans="1:23" ht="15.75" customHeight="1">
      <c r="A13" s="25" t="s">
        <v>141</v>
      </c>
      <c r="B13" s="25" t="s">
        <v>101</v>
      </c>
      <c r="C13" s="25" t="s">
        <v>25</v>
      </c>
      <c r="D13" s="25" t="s">
        <v>142</v>
      </c>
      <c r="E13" s="25" t="s">
        <v>143</v>
      </c>
      <c r="F13" s="25" t="s">
        <v>104</v>
      </c>
      <c r="G13" s="25" t="s">
        <v>29</v>
      </c>
      <c r="H13" s="25" t="s">
        <v>144</v>
      </c>
      <c r="I13" s="25" t="s">
        <v>115</v>
      </c>
      <c r="J13" s="25" t="s">
        <v>107</v>
      </c>
      <c r="K13" s="25" t="s">
        <v>33</v>
      </c>
      <c r="L13" s="25" t="s">
        <v>34</v>
      </c>
      <c r="M13" s="25">
        <v>15</v>
      </c>
      <c r="N13" s="25">
        <v>2200</v>
      </c>
      <c r="O13" s="25">
        <v>10</v>
      </c>
      <c r="P13" s="25">
        <v>29700</v>
      </c>
      <c r="Q13" s="25">
        <v>1</v>
      </c>
      <c r="R13" s="25" t="s">
        <v>89</v>
      </c>
      <c r="S13" s="25" t="s">
        <v>116</v>
      </c>
      <c r="T13" s="25" t="s">
        <v>145</v>
      </c>
      <c r="U13" s="25" t="s">
        <v>146</v>
      </c>
      <c r="V13" s="25" t="s">
        <v>65</v>
      </c>
      <c r="W13" s="26">
        <v>45658</v>
      </c>
    </row>
    <row r="14" spans="1:23" ht="15.75" customHeight="1">
      <c r="A14" s="25" t="s">
        <v>147</v>
      </c>
      <c r="B14" s="25" t="s">
        <v>128</v>
      </c>
      <c r="C14" s="25" t="s">
        <v>25</v>
      </c>
      <c r="D14" s="25" t="s">
        <v>148</v>
      </c>
      <c r="E14" s="25" t="s">
        <v>149</v>
      </c>
      <c r="F14" s="25" t="s">
        <v>201</v>
      </c>
      <c r="G14" s="25" t="s">
        <v>77</v>
      </c>
      <c r="H14" s="25" t="s">
        <v>151</v>
      </c>
      <c r="I14" s="25" t="s">
        <v>106</v>
      </c>
      <c r="J14" s="25" t="s">
        <v>107</v>
      </c>
      <c r="K14" s="25" t="s">
        <v>33</v>
      </c>
      <c r="L14" s="25" t="s">
        <v>34</v>
      </c>
      <c r="M14" s="25">
        <v>17</v>
      </c>
      <c r="N14" s="25">
        <v>2200</v>
      </c>
      <c r="O14" s="25">
        <v>5</v>
      </c>
      <c r="P14" s="25">
        <v>35530</v>
      </c>
      <c r="Q14" s="25">
        <v>1</v>
      </c>
      <c r="R14" s="25" t="s">
        <v>35</v>
      </c>
      <c r="S14" s="25" t="s">
        <v>152</v>
      </c>
      <c r="T14" s="25" t="s">
        <v>153</v>
      </c>
      <c r="U14" s="25" t="s">
        <v>154</v>
      </c>
      <c r="V14" s="25" t="s">
        <v>39</v>
      </c>
      <c r="W14" s="26">
        <v>45717</v>
      </c>
    </row>
    <row r="15" spans="1:23" ht="15.75" customHeight="1">
      <c r="A15" s="25" t="s">
        <v>155</v>
      </c>
      <c r="B15" s="25" t="s">
        <v>24</v>
      </c>
      <c r="C15" s="25" t="s">
        <v>93</v>
      </c>
      <c r="D15" s="25" t="s">
        <v>156</v>
      </c>
      <c r="E15" s="25" t="s">
        <v>157</v>
      </c>
      <c r="F15" s="25" t="s">
        <v>28</v>
      </c>
      <c r="G15" s="25" t="s">
        <v>29</v>
      </c>
      <c r="H15" s="25" t="s">
        <v>159</v>
      </c>
      <c r="I15" s="25" t="s">
        <v>106</v>
      </c>
      <c r="J15" s="25" t="s">
        <v>107</v>
      </c>
      <c r="K15" s="25" t="s">
        <v>33</v>
      </c>
      <c r="L15" s="25" t="s">
        <v>98</v>
      </c>
      <c r="M15" s="25">
        <v>15</v>
      </c>
      <c r="N15" s="25">
        <v>3500</v>
      </c>
      <c r="O15" s="25">
        <v>15</v>
      </c>
      <c r="P15" s="25">
        <v>44625</v>
      </c>
      <c r="Q15" s="25">
        <v>2</v>
      </c>
      <c r="R15" s="25" t="s">
        <v>35</v>
      </c>
      <c r="S15" s="25" t="s">
        <v>116</v>
      </c>
      <c r="T15" s="25" t="s">
        <v>51</v>
      </c>
      <c r="U15" s="25" t="s">
        <v>160</v>
      </c>
      <c r="V15" s="25" t="s">
        <v>70</v>
      </c>
      <c r="W15" s="26">
        <v>45839</v>
      </c>
    </row>
    <row r="16" spans="1:23" ht="15.75" customHeight="1">
      <c r="A16" s="25" t="s">
        <v>161</v>
      </c>
      <c r="B16" s="25" t="s">
        <v>54</v>
      </c>
      <c r="C16" s="25" t="s">
        <v>73</v>
      </c>
      <c r="D16" s="25" t="s">
        <v>162</v>
      </c>
      <c r="E16" s="25" t="s">
        <v>163</v>
      </c>
      <c r="F16" s="25" t="s">
        <v>164</v>
      </c>
      <c r="G16" s="25" t="s">
        <v>29</v>
      </c>
      <c r="H16" s="25" t="s">
        <v>165</v>
      </c>
      <c r="I16" s="25" t="s">
        <v>31</v>
      </c>
      <c r="J16" s="25" t="s">
        <v>32</v>
      </c>
      <c r="K16" s="25" t="s">
        <v>47</v>
      </c>
      <c r="L16" s="25" t="s">
        <v>79</v>
      </c>
      <c r="M16" s="25">
        <v>3</v>
      </c>
      <c r="N16" s="25">
        <v>1200</v>
      </c>
      <c r="O16" s="25">
        <v>5</v>
      </c>
      <c r="P16" s="25">
        <v>3420</v>
      </c>
      <c r="Q16" s="25">
        <v>5</v>
      </c>
      <c r="R16" s="25" t="s">
        <v>89</v>
      </c>
      <c r="S16" s="25" t="s">
        <v>36</v>
      </c>
      <c r="T16" s="25" t="s">
        <v>166</v>
      </c>
      <c r="U16" s="25" t="s">
        <v>167</v>
      </c>
      <c r="V16" s="25" t="s">
        <v>39</v>
      </c>
      <c r="W16" s="26">
        <v>46113</v>
      </c>
    </row>
    <row r="17" spans="1:23" ht="15.75" customHeight="1">
      <c r="A17" s="25" t="s">
        <v>168</v>
      </c>
      <c r="B17" s="25" t="s">
        <v>169</v>
      </c>
      <c r="C17" s="25" t="s">
        <v>170</v>
      </c>
      <c r="D17" s="25" t="s">
        <v>171</v>
      </c>
      <c r="E17" s="25" t="s">
        <v>172</v>
      </c>
      <c r="F17" s="25" t="s">
        <v>395</v>
      </c>
      <c r="G17" s="25" t="s">
        <v>29</v>
      </c>
      <c r="H17" s="25" t="s">
        <v>174</v>
      </c>
      <c r="I17" s="25" t="s">
        <v>115</v>
      </c>
      <c r="J17" s="25" t="s">
        <v>107</v>
      </c>
      <c r="K17" s="25" t="s">
        <v>33</v>
      </c>
      <c r="L17" s="25" t="s">
        <v>175</v>
      </c>
      <c r="M17" s="25">
        <v>13</v>
      </c>
      <c r="N17" s="25">
        <v>8500</v>
      </c>
      <c r="O17" s="25">
        <v>20</v>
      </c>
      <c r="P17" s="25">
        <v>88400</v>
      </c>
      <c r="Q17" s="25">
        <v>4</v>
      </c>
      <c r="R17" s="25" t="s">
        <v>80</v>
      </c>
      <c r="S17" s="25" t="s">
        <v>50</v>
      </c>
      <c r="T17" s="25" t="s">
        <v>176</v>
      </c>
      <c r="U17" s="25" t="s">
        <v>177</v>
      </c>
      <c r="V17" s="25" t="s">
        <v>65</v>
      </c>
      <c r="W17" s="26">
        <v>46054</v>
      </c>
    </row>
    <row r="18" spans="1:23" ht="15.75" customHeight="1">
      <c r="A18" s="25" t="s">
        <v>178</v>
      </c>
      <c r="B18" s="25" t="s">
        <v>84</v>
      </c>
      <c r="C18" s="25" t="s">
        <v>170</v>
      </c>
      <c r="D18" s="25" t="s">
        <v>179</v>
      </c>
      <c r="E18" s="25" t="s">
        <v>180</v>
      </c>
      <c r="F18" s="25" t="s">
        <v>181</v>
      </c>
      <c r="G18" s="25" t="s">
        <v>77</v>
      </c>
      <c r="H18" s="25" t="s">
        <v>182</v>
      </c>
      <c r="I18" s="25" t="s">
        <v>139</v>
      </c>
      <c r="J18" s="25" t="s">
        <v>107</v>
      </c>
      <c r="K18" s="25" t="s">
        <v>33</v>
      </c>
      <c r="L18" s="25" t="s">
        <v>175</v>
      </c>
      <c r="M18" s="25">
        <v>4</v>
      </c>
      <c r="N18" s="25">
        <v>8500</v>
      </c>
      <c r="O18" s="25">
        <v>20</v>
      </c>
      <c r="P18" s="25">
        <v>27200</v>
      </c>
      <c r="Q18" s="25">
        <v>5</v>
      </c>
      <c r="R18" s="25" t="s">
        <v>80</v>
      </c>
      <c r="S18" s="25" t="s">
        <v>62</v>
      </c>
      <c r="T18" s="25" t="s">
        <v>90</v>
      </c>
      <c r="U18" s="25" t="s">
        <v>183</v>
      </c>
      <c r="V18" s="25" t="s">
        <v>65</v>
      </c>
      <c r="W18" s="26">
        <v>46054</v>
      </c>
    </row>
    <row r="19" spans="1:23" ht="15.75" customHeight="1">
      <c r="A19" s="25" t="s">
        <v>184</v>
      </c>
      <c r="B19" s="25" t="s">
        <v>84</v>
      </c>
      <c r="C19" s="25" t="s">
        <v>185</v>
      </c>
      <c r="D19" s="25" t="s">
        <v>186</v>
      </c>
      <c r="E19" s="25" t="s">
        <v>187</v>
      </c>
      <c r="F19" s="25" t="s">
        <v>181</v>
      </c>
      <c r="G19" s="25" t="s">
        <v>77</v>
      </c>
      <c r="H19" s="25" t="s">
        <v>189</v>
      </c>
      <c r="I19" s="25" t="s">
        <v>106</v>
      </c>
      <c r="J19" s="25" t="s">
        <v>107</v>
      </c>
      <c r="K19" s="25" t="s">
        <v>47</v>
      </c>
      <c r="L19" s="25" t="s">
        <v>190</v>
      </c>
      <c r="M19" s="25">
        <v>9</v>
      </c>
      <c r="N19" s="25">
        <v>700</v>
      </c>
      <c r="O19" s="25">
        <v>5</v>
      </c>
      <c r="P19" s="25">
        <v>5985</v>
      </c>
      <c r="Q19" s="25">
        <v>3</v>
      </c>
      <c r="R19" s="25" t="s">
        <v>89</v>
      </c>
      <c r="S19" s="25" t="s">
        <v>36</v>
      </c>
      <c r="T19" s="25" t="s">
        <v>191</v>
      </c>
      <c r="U19" s="25" t="s">
        <v>192</v>
      </c>
      <c r="V19" s="25" t="s">
        <v>65</v>
      </c>
      <c r="W19" s="26">
        <v>45992</v>
      </c>
    </row>
    <row r="20" spans="1:23" ht="15.75" customHeight="1">
      <c r="A20" s="25" t="s">
        <v>193</v>
      </c>
      <c r="B20" s="25" t="s">
        <v>24</v>
      </c>
      <c r="C20" s="25" t="s">
        <v>55</v>
      </c>
      <c r="D20" s="25" t="s">
        <v>194</v>
      </c>
      <c r="E20" s="25" t="s">
        <v>195</v>
      </c>
      <c r="F20" s="25" t="s">
        <v>28</v>
      </c>
      <c r="G20" s="25" t="s">
        <v>29</v>
      </c>
      <c r="H20" s="25" t="s">
        <v>196</v>
      </c>
      <c r="I20" s="25" t="s">
        <v>139</v>
      </c>
      <c r="J20" s="25" t="s">
        <v>107</v>
      </c>
      <c r="K20" s="25" t="s">
        <v>47</v>
      </c>
      <c r="L20" s="25" t="s">
        <v>61</v>
      </c>
      <c r="M20" s="25">
        <v>8</v>
      </c>
      <c r="N20" s="25">
        <v>55000</v>
      </c>
      <c r="O20" s="25">
        <v>20</v>
      </c>
      <c r="P20" s="25">
        <v>352000</v>
      </c>
      <c r="Q20" s="25">
        <v>1</v>
      </c>
      <c r="R20" s="25" t="s">
        <v>35</v>
      </c>
      <c r="S20" s="25" t="s">
        <v>152</v>
      </c>
      <c r="T20" s="25" t="s">
        <v>51</v>
      </c>
      <c r="U20" s="25" t="s">
        <v>197</v>
      </c>
      <c r="V20" s="25" t="s">
        <v>39</v>
      </c>
      <c r="W20" s="26">
        <v>45809</v>
      </c>
    </row>
    <row r="21" spans="1:23" ht="15.75" customHeight="1">
      <c r="A21" s="25" t="s">
        <v>198</v>
      </c>
      <c r="B21" s="25" t="s">
        <v>128</v>
      </c>
      <c r="C21" s="25" t="s">
        <v>185</v>
      </c>
      <c r="D21" s="25" t="s">
        <v>199</v>
      </c>
      <c r="E21" s="25" t="s">
        <v>200</v>
      </c>
      <c r="F21" s="25" t="s">
        <v>201</v>
      </c>
      <c r="G21" s="25" t="s">
        <v>77</v>
      </c>
      <c r="H21" s="25" t="s">
        <v>202</v>
      </c>
      <c r="I21" s="25" t="s">
        <v>45</v>
      </c>
      <c r="J21" s="25" t="s">
        <v>46</v>
      </c>
      <c r="K21" s="25" t="s">
        <v>47</v>
      </c>
      <c r="L21" s="25" t="s">
        <v>190</v>
      </c>
      <c r="M21" s="25">
        <v>10</v>
      </c>
      <c r="N21" s="25">
        <v>700</v>
      </c>
      <c r="O21" s="25">
        <v>20</v>
      </c>
      <c r="P21" s="25">
        <v>5600</v>
      </c>
      <c r="Q21" s="25">
        <v>4</v>
      </c>
      <c r="R21" s="25" t="s">
        <v>80</v>
      </c>
      <c r="S21" s="25" t="s">
        <v>62</v>
      </c>
      <c r="T21" s="25" t="s">
        <v>133</v>
      </c>
      <c r="U21" s="25" t="s">
        <v>204</v>
      </c>
      <c r="V21" s="25" t="s">
        <v>70</v>
      </c>
      <c r="W21" s="26">
        <v>45748</v>
      </c>
    </row>
    <row r="22" spans="1:23" ht="15.75" customHeight="1">
      <c r="A22" s="25" t="s">
        <v>205</v>
      </c>
      <c r="B22" s="25" t="s">
        <v>24</v>
      </c>
      <c r="C22" s="25" t="s">
        <v>93</v>
      </c>
      <c r="D22" s="25" t="s">
        <v>206</v>
      </c>
      <c r="E22" s="25" t="s">
        <v>207</v>
      </c>
      <c r="F22" s="25" t="s">
        <v>28</v>
      </c>
      <c r="G22" s="25" t="s">
        <v>29</v>
      </c>
      <c r="H22" s="25" t="s">
        <v>208</v>
      </c>
      <c r="I22" s="25" t="s">
        <v>60</v>
      </c>
      <c r="J22" s="25" t="s">
        <v>32</v>
      </c>
      <c r="K22" s="25" t="s">
        <v>33</v>
      </c>
      <c r="L22" s="25" t="s">
        <v>98</v>
      </c>
      <c r="M22" s="25">
        <v>1</v>
      </c>
      <c r="N22" s="25">
        <v>3500</v>
      </c>
      <c r="O22" s="25">
        <v>5</v>
      </c>
      <c r="P22" s="25">
        <v>3325</v>
      </c>
      <c r="Q22" s="25">
        <v>3</v>
      </c>
      <c r="R22" s="25" t="s">
        <v>89</v>
      </c>
      <c r="S22" s="25" t="s">
        <v>116</v>
      </c>
      <c r="T22" s="25" t="s">
        <v>51</v>
      </c>
      <c r="U22" s="25" t="s">
        <v>209</v>
      </c>
      <c r="V22" s="25" t="s">
        <v>70</v>
      </c>
      <c r="W22" s="26">
        <v>45658</v>
      </c>
    </row>
    <row r="23" spans="1:23" ht="15.75" customHeight="1">
      <c r="A23" s="25" t="s">
        <v>210</v>
      </c>
      <c r="B23" s="25" t="s">
        <v>101</v>
      </c>
      <c r="C23" s="25" t="s">
        <v>185</v>
      </c>
      <c r="D23" s="25" t="s">
        <v>103</v>
      </c>
      <c r="E23" s="25" t="s">
        <v>211</v>
      </c>
      <c r="F23" s="25" t="s">
        <v>104</v>
      </c>
      <c r="G23" s="25" t="s">
        <v>29</v>
      </c>
      <c r="H23" s="25" t="s">
        <v>212</v>
      </c>
      <c r="I23" s="25" t="s">
        <v>213</v>
      </c>
      <c r="J23" s="25" t="s">
        <v>46</v>
      </c>
      <c r="K23" s="25" t="s">
        <v>47</v>
      </c>
      <c r="L23" s="25" t="s">
        <v>190</v>
      </c>
      <c r="M23" s="25">
        <v>19</v>
      </c>
      <c r="N23" s="25">
        <v>700</v>
      </c>
      <c r="O23" s="25">
        <v>15</v>
      </c>
      <c r="P23" s="25">
        <v>11305</v>
      </c>
      <c r="Q23" s="25">
        <v>3</v>
      </c>
      <c r="R23" s="25" t="s">
        <v>49</v>
      </c>
      <c r="S23" s="25" t="s">
        <v>152</v>
      </c>
      <c r="T23" s="25" t="s">
        <v>145</v>
      </c>
      <c r="U23" s="25" t="s">
        <v>214</v>
      </c>
      <c r="V23" s="25" t="s">
        <v>65</v>
      </c>
      <c r="W23" s="26">
        <v>45748</v>
      </c>
    </row>
    <row r="24" spans="1:23" ht="15.75" customHeight="1">
      <c r="A24" s="25" t="s">
        <v>215</v>
      </c>
      <c r="B24" s="25" t="s">
        <v>72</v>
      </c>
      <c r="C24" s="25" t="s">
        <v>55</v>
      </c>
      <c r="D24" s="25" t="s">
        <v>216</v>
      </c>
      <c r="E24" s="25" t="s">
        <v>217</v>
      </c>
      <c r="F24" s="25" t="s">
        <v>218</v>
      </c>
      <c r="G24" s="25" t="s">
        <v>77</v>
      </c>
      <c r="H24" s="25" t="s">
        <v>219</v>
      </c>
      <c r="I24" s="25" t="s">
        <v>60</v>
      </c>
      <c r="J24" s="25" t="s">
        <v>32</v>
      </c>
      <c r="K24" s="25" t="s">
        <v>47</v>
      </c>
      <c r="L24" s="25" t="s">
        <v>61</v>
      </c>
      <c r="M24" s="25">
        <v>12</v>
      </c>
      <c r="N24" s="25">
        <v>55000</v>
      </c>
      <c r="O24" s="25">
        <v>0</v>
      </c>
      <c r="P24" s="25">
        <v>660000</v>
      </c>
      <c r="Q24" s="25">
        <v>1</v>
      </c>
      <c r="R24" s="25" t="s">
        <v>80</v>
      </c>
      <c r="S24" s="25" t="s">
        <v>50</v>
      </c>
      <c r="T24" s="25" t="s">
        <v>81</v>
      </c>
      <c r="U24" s="25" t="s">
        <v>220</v>
      </c>
      <c r="V24" s="25" t="s">
        <v>65</v>
      </c>
      <c r="W24" s="26">
        <v>45992</v>
      </c>
    </row>
    <row r="25" spans="1:23" ht="15.75" customHeight="1">
      <c r="A25" s="25" t="s">
        <v>221</v>
      </c>
      <c r="B25" s="25" t="s">
        <v>222</v>
      </c>
      <c r="C25" s="25" t="s">
        <v>223</v>
      </c>
      <c r="D25" s="25" t="s">
        <v>224</v>
      </c>
      <c r="E25" s="25" t="s">
        <v>225</v>
      </c>
      <c r="F25" s="25" t="s">
        <v>226</v>
      </c>
      <c r="G25" s="25" t="s">
        <v>77</v>
      </c>
      <c r="H25" s="25" t="s">
        <v>227</v>
      </c>
      <c r="I25" s="25" t="s">
        <v>106</v>
      </c>
      <c r="J25" s="25" t="s">
        <v>107</v>
      </c>
      <c r="K25" s="25" t="s">
        <v>123</v>
      </c>
      <c r="L25" s="25" t="s">
        <v>228</v>
      </c>
      <c r="M25" s="25">
        <v>1</v>
      </c>
      <c r="N25" s="25">
        <v>20</v>
      </c>
      <c r="O25" s="25">
        <v>5</v>
      </c>
      <c r="P25" s="25">
        <v>19</v>
      </c>
      <c r="Q25" s="25">
        <v>5</v>
      </c>
      <c r="R25" s="25" t="s">
        <v>80</v>
      </c>
      <c r="S25" s="25" t="s">
        <v>36</v>
      </c>
      <c r="T25" s="25" t="s">
        <v>229</v>
      </c>
      <c r="U25" s="25" t="s">
        <v>230</v>
      </c>
      <c r="V25" s="25" t="s">
        <v>70</v>
      </c>
      <c r="W25" s="26">
        <v>46113</v>
      </c>
    </row>
    <row r="26" spans="1:23" ht="15.75" customHeight="1">
      <c r="A26" s="25" t="s">
        <v>231</v>
      </c>
      <c r="B26" s="25" t="s">
        <v>84</v>
      </c>
      <c r="C26" s="25" t="s">
        <v>223</v>
      </c>
      <c r="D26" s="25" t="s">
        <v>232</v>
      </c>
      <c r="E26" s="25" t="s">
        <v>233</v>
      </c>
      <c r="F26" s="25" t="s">
        <v>181</v>
      </c>
      <c r="G26" s="25" t="s">
        <v>77</v>
      </c>
      <c r="H26" s="25" t="s">
        <v>234</v>
      </c>
      <c r="I26" s="25" t="s">
        <v>106</v>
      </c>
      <c r="J26" s="25" t="s">
        <v>107</v>
      </c>
      <c r="K26" s="25" t="s">
        <v>123</v>
      </c>
      <c r="L26" s="25" t="s">
        <v>228</v>
      </c>
      <c r="M26" s="25">
        <v>2</v>
      </c>
      <c r="N26" s="25">
        <v>20</v>
      </c>
      <c r="O26" s="25">
        <v>15</v>
      </c>
      <c r="P26" s="25">
        <v>34</v>
      </c>
      <c r="Q26" s="25">
        <v>1</v>
      </c>
      <c r="R26" s="25" t="s">
        <v>89</v>
      </c>
      <c r="S26" s="25" t="s">
        <v>36</v>
      </c>
      <c r="T26" s="25" t="s">
        <v>90</v>
      </c>
      <c r="U26" s="25" t="s">
        <v>235</v>
      </c>
      <c r="V26" s="25" t="s">
        <v>65</v>
      </c>
      <c r="W26" s="26">
        <v>45809</v>
      </c>
    </row>
    <row r="27" spans="1:23" ht="15.75" customHeight="1">
      <c r="A27" s="25" t="s">
        <v>236</v>
      </c>
      <c r="B27" s="25" t="s">
        <v>72</v>
      </c>
      <c r="C27" s="25" t="s">
        <v>93</v>
      </c>
      <c r="D27" s="25" t="s">
        <v>237</v>
      </c>
      <c r="E27" s="25" t="s">
        <v>238</v>
      </c>
      <c r="F27" s="25" t="s">
        <v>218</v>
      </c>
      <c r="G27" s="25" t="s">
        <v>77</v>
      </c>
      <c r="H27" s="25" t="s">
        <v>239</v>
      </c>
      <c r="I27" s="25" t="s">
        <v>139</v>
      </c>
      <c r="J27" s="25" t="s">
        <v>107</v>
      </c>
      <c r="K27" s="25" t="s">
        <v>33</v>
      </c>
      <c r="L27" s="25" t="s">
        <v>98</v>
      </c>
      <c r="M27" s="25">
        <v>12</v>
      </c>
      <c r="N27" s="25">
        <v>3500</v>
      </c>
      <c r="O27" s="25">
        <v>15</v>
      </c>
      <c r="P27" s="25">
        <v>35700</v>
      </c>
      <c r="Q27" s="25">
        <v>4</v>
      </c>
      <c r="R27" s="25" t="s">
        <v>35</v>
      </c>
      <c r="S27" s="25" t="s">
        <v>50</v>
      </c>
      <c r="T27" s="25" t="s">
        <v>81</v>
      </c>
      <c r="U27" s="25" t="s">
        <v>240</v>
      </c>
      <c r="V27" s="25" t="s">
        <v>70</v>
      </c>
      <c r="W27" s="26">
        <v>45778</v>
      </c>
    </row>
    <row r="28" spans="1:23" ht="15.75" customHeight="1">
      <c r="A28" s="25" t="s">
        <v>241</v>
      </c>
      <c r="B28" s="25" t="s">
        <v>24</v>
      </c>
      <c r="C28" s="25" t="s">
        <v>73</v>
      </c>
      <c r="D28" s="25" t="s">
        <v>242</v>
      </c>
      <c r="E28" s="25" t="s">
        <v>243</v>
      </c>
      <c r="F28" s="25" t="s">
        <v>28</v>
      </c>
      <c r="G28" s="25" t="s">
        <v>29</v>
      </c>
      <c r="H28" s="25" t="s">
        <v>244</v>
      </c>
      <c r="I28" s="25" t="s">
        <v>139</v>
      </c>
      <c r="J28" s="25" t="s">
        <v>107</v>
      </c>
      <c r="K28" s="25" t="s">
        <v>47</v>
      </c>
      <c r="L28" s="25" t="s">
        <v>79</v>
      </c>
      <c r="M28" s="25">
        <v>11</v>
      </c>
      <c r="N28" s="25">
        <v>1200</v>
      </c>
      <c r="O28" s="25">
        <v>0</v>
      </c>
      <c r="P28" s="25">
        <v>13200</v>
      </c>
      <c r="Q28" s="25">
        <v>2</v>
      </c>
      <c r="R28" s="25" t="s">
        <v>89</v>
      </c>
      <c r="S28" s="25" t="s">
        <v>152</v>
      </c>
      <c r="T28" s="25" t="s">
        <v>51</v>
      </c>
      <c r="U28" s="25" t="s">
        <v>245</v>
      </c>
      <c r="V28" s="25" t="s">
        <v>39</v>
      </c>
      <c r="W28" s="26">
        <v>46082</v>
      </c>
    </row>
    <row r="29" spans="1:23" ht="15.75" customHeight="1">
      <c r="A29" s="25" t="s">
        <v>246</v>
      </c>
      <c r="B29" s="25" t="s">
        <v>128</v>
      </c>
      <c r="C29" s="25" t="s">
        <v>170</v>
      </c>
      <c r="D29" s="25" t="s">
        <v>247</v>
      </c>
      <c r="E29" s="25" t="s">
        <v>248</v>
      </c>
      <c r="F29" s="25" t="s">
        <v>201</v>
      </c>
      <c r="G29" s="25" t="s">
        <v>77</v>
      </c>
      <c r="H29" s="25" t="s">
        <v>249</v>
      </c>
      <c r="I29" s="25" t="s">
        <v>115</v>
      </c>
      <c r="J29" s="25" t="s">
        <v>107</v>
      </c>
      <c r="K29" s="25" t="s">
        <v>33</v>
      </c>
      <c r="L29" s="25" t="s">
        <v>175</v>
      </c>
      <c r="M29" s="25">
        <v>6</v>
      </c>
      <c r="N29" s="25">
        <v>8500</v>
      </c>
      <c r="O29" s="25">
        <v>65</v>
      </c>
      <c r="P29" s="25">
        <v>51000</v>
      </c>
      <c r="Q29" s="25">
        <v>1</v>
      </c>
      <c r="R29" s="25" t="s">
        <v>80</v>
      </c>
      <c r="S29" s="25" t="s">
        <v>62</v>
      </c>
      <c r="T29" s="25" t="s">
        <v>133</v>
      </c>
      <c r="U29" s="25" t="s">
        <v>250</v>
      </c>
      <c r="V29" s="25" t="s">
        <v>39</v>
      </c>
      <c r="W29" s="26">
        <v>45901</v>
      </c>
    </row>
    <row r="30" spans="1:23" ht="15.75" customHeight="1">
      <c r="A30" s="25" t="s">
        <v>251</v>
      </c>
      <c r="B30" s="25" t="s">
        <v>252</v>
      </c>
      <c r="C30" s="25" t="s">
        <v>119</v>
      </c>
      <c r="D30" s="25" t="s">
        <v>253</v>
      </c>
      <c r="E30" s="25" t="s">
        <v>254</v>
      </c>
      <c r="F30" s="25" t="s">
        <v>255</v>
      </c>
      <c r="G30" s="25" t="s">
        <v>29</v>
      </c>
      <c r="H30" s="25" t="s">
        <v>256</v>
      </c>
      <c r="I30" s="25" t="s">
        <v>115</v>
      </c>
      <c r="J30" s="25" t="s">
        <v>107</v>
      </c>
      <c r="K30" s="25" t="s">
        <v>123</v>
      </c>
      <c r="L30" s="25" t="s">
        <v>124</v>
      </c>
      <c r="M30" s="25">
        <v>2</v>
      </c>
      <c r="N30" s="25">
        <v>60</v>
      </c>
      <c r="O30" s="25">
        <v>5</v>
      </c>
      <c r="P30" s="25">
        <v>114</v>
      </c>
      <c r="Q30" s="25">
        <v>3</v>
      </c>
      <c r="R30" s="25" t="s">
        <v>35</v>
      </c>
      <c r="S30" s="25" t="s">
        <v>152</v>
      </c>
      <c r="T30" s="25" t="s">
        <v>257</v>
      </c>
      <c r="U30" s="25" t="s">
        <v>258</v>
      </c>
      <c r="V30" s="25" t="s">
        <v>70</v>
      </c>
      <c r="W30" s="26">
        <v>46023</v>
      </c>
    </row>
    <row r="31" spans="1:23" ht="15.75" customHeight="1">
      <c r="A31" s="25" t="s">
        <v>259</v>
      </c>
      <c r="B31" s="25" t="s">
        <v>24</v>
      </c>
      <c r="C31" s="25" t="s">
        <v>260</v>
      </c>
      <c r="D31" s="25" t="s">
        <v>261</v>
      </c>
      <c r="E31" s="25" t="s">
        <v>262</v>
      </c>
      <c r="F31" s="25" t="s">
        <v>28</v>
      </c>
      <c r="G31" s="25" t="s">
        <v>29</v>
      </c>
      <c r="H31" s="25" t="s">
        <v>263</v>
      </c>
      <c r="I31" s="25" t="s">
        <v>60</v>
      </c>
      <c r="J31" s="25" t="s">
        <v>32</v>
      </c>
      <c r="K31" s="25" t="s">
        <v>123</v>
      </c>
      <c r="L31" s="25" t="s">
        <v>264</v>
      </c>
      <c r="M31" s="25">
        <v>19</v>
      </c>
      <c r="N31" s="25">
        <v>45</v>
      </c>
      <c r="O31" s="25">
        <v>20</v>
      </c>
      <c r="P31" s="25">
        <v>684</v>
      </c>
      <c r="Q31" s="25">
        <v>4</v>
      </c>
      <c r="R31" s="25" t="s">
        <v>49</v>
      </c>
      <c r="S31" s="25" t="s">
        <v>62</v>
      </c>
      <c r="T31" s="25" t="s">
        <v>51</v>
      </c>
      <c r="U31" s="25" t="s">
        <v>265</v>
      </c>
      <c r="V31" s="25" t="s">
        <v>70</v>
      </c>
      <c r="W31" s="26">
        <v>45809</v>
      </c>
    </row>
    <row r="32" spans="1:23" ht="15.75" customHeight="1">
      <c r="A32" s="25" t="s">
        <v>266</v>
      </c>
      <c r="B32" s="25" t="s">
        <v>101</v>
      </c>
      <c r="C32" s="25" t="s">
        <v>41</v>
      </c>
      <c r="D32" s="25" t="s">
        <v>267</v>
      </c>
      <c r="E32" s="25" t="s">
        <v>268</v>
      </c>
      <c r="F32" s="25" t="s">
        <v>104</v>
      </c>
      <c r="G32" s="25" t="s">
        <v>29</v>
      </c>
      <c r="H32" s="25" t="s">
        <v>270</v>
      </c>
      <c r="I32" s="25" t="s">
        <v>139</v>
      </c>
      <c r="J32" s="25" t="s">
        <v>107</v>
      </c>
      <c r="K32" s="25" t="s">
        <v>47</v>
      </c>
      <c r="L32" s="25" t="s">
        <v>48</v>
      </c>
      <c r="M32" s="25">
        <v>11</v>
      </c>
      <c r="N32" s="25">
        <v>12000</v>
      </c>
      <c r="O32" s="25">
        <v>0</v>
      </c>
      <c r="P32" s="25">
        <v>132000</v>
      </c>
      <c r="Q32" s="25">
        <v>3</v>
      </c>
      <c r="R32" s="25" t="s">
        <v>89</v>
      </c>
      <c r="S32" s="25" t="s">
        <v>36</v>
      </c>
      <c r="T32" s="25" t="s">
        <v>145</v>
      </c>
      <c r="U32" s="25" t="s">
        <v>271</v>
      </c>
      <c r="V32" s="25" t="s">
        <v>65</v>
      </c>
      <c r="W32" s="26">
        <v>45839</v>
      </c>
    </row>
    <row r="33" spans="1:23" ht="15.75" customHeight="1">
      <c r="A33" s="25" t="s">
        <v>272</v>
      </c>
      <c r="B33" s="25" t="s">
        <v>252</v>
      </c>
      <c r="C33" s="25" t="s">
        <v>25</v>
      </c>
      <c r="D33" s="25" t="s">
        <v>273</v>
      </c>
      <c r="E33" s="25" t="s">
        <v>137</v>
      </c>
      <c r="F33" s="25" t="s">
        <v>255</v>
      </c>
      <c r="G33" s="25" t="s">
        <v>29</v>
      </c>
      <c r="H33" s="25" t="s">
        <v>274</v>
      </c>
      <c r="I33" s="25" t="s">
        <v>60</v>
      </c>
      <c r="J33" s="25" t="s">
        <v>32</v>
      </c>
      <c r="K33" s="25" t="s">
        <v>33</v>
      </c>
      <c r="L33" s="25" t="s">
        <v>34</v>
      </c>
      <c r="M33" s="25">
        <v>20</v>
      </c>
      <c r="N33" s="25">
        <v>2200</v>
      </c>
      <c r="O33" s="25">
        <v>5</v>
      </c>
      <c r="P33" s="25">
        <v>41800</v>
      </c>
      <c r="Q33" s="25">
        <v>1</v>
      </c>
      <c r="R33" s="25" t="s">
        <v>35</v>
      </c>
      <c r="S33" s="25" t="s">
        <v>50</v>
      </c>
      <c r="T33" s="25" t="s">
        <v>257</v>
      </c>
      <c r="U33" s="25" t="s">
        <v>275</v>
      </c>
      <c r="V33" s="25" t="s">
        <v>65</v>
      </c>
      <c r="W33" s="26">
        <v>45717</v>
      </c>
    </row>
    <row r="34" spans="1:23" ht="15.75" customHeight="1">
      <c r="A34" s="25" t="s">
        <v>276</v>
      </c>
      <c r="B34" s="25" t="s">
        <v>84</v>
      </c>
      <c r="C34" s="25" t="s">
        <v>223</v>
      </c>
      <c r="D34" s="25" t="s">
        <v>232</v>
      </c>
      <c r="E34" s="25" t="s">
        <v>277</v>
      </c>
      <c r="F34" s="25" t="s">
        <v>181</v>
      </c>
      <c r="G34" s="25" t="s">
        <v>77</v>
      </c>
      <c r="H34" s="25" t="s">
        <v>278</v>
      </c>
      <c r="I34" s="25" t="s">
        <v>139</v>
      </c>
      <c r="J34" s="25" t="s">
        <v>107</v>
      </c>
      <c r="K34" s="25" t="s">
        <v>123</v>
      </c>
      <c r="L34" s="25" t="s">
        <v>228</v>
      </c>
      <c r="M34" s="25">
        <v>3</v>
      </c>
      <c r="N34" s="25">
        <v>20</v>
      </c>
      <c r="O34" s="25">
        <v>0</v>
      </c>
      <c r="P34" s="25">
        <v>60</v>
      </c>
      <c r="Q34" s="25">
        <v>2</v>
      </c>
      <c r="R34" s="25" t="s">
        <v>80</v>
      </c>
      <c r="S34" s="25" t="s">
        <v>36</v>
      </c>
      <c r="T34" s="25" t="s">
        <v>279</v>
      </c>
      <c r="U34" s="25" t="s">
        <v>280</v>
      </c>
      <c r="V34" s="25" t="s">
        <v>70</v>
      </c>
      <c r="W34" s="26">
        <v>45809</v>
      </c>
    </row>
    <row r="35" spans="1:23" ht="15.75" customHeight="1">
      <c r="A35" s="25" t="s">
        <v>281</v>
      </c>
      <c r="B35" s="25" t="s">
        <v>128</v>
      </c>
      <c r="C35" s="25" t="s">
        <v>260</v>
      </c>
      <c r="D35" s="25" t="s">
        <v>282</v>
      </c>
      <c r="E35" s="25" t="s">
        <v>283</v>
      </c>
      <c r="F35" s="25" t="s">
        <v>201</v>
      </c>
      <c r="G35" s="25" t="s">
        <v>77</v>
      </c>
      <c r="H35" s="25" t="s">
        <v>284</v>
      </c>
      <c r="I35" s="25" t="s">
        <v>115</v>
      </c>
      <c r="J35" s="25" t="s">
        <v>107</v>
      </c>
      <c r="K35" s="25" t="s">
        <v>123</v>
      </c>
      <c r="L35" s="25" t="s">
        <v>264</v>
      </c>
      <c r="M35" s="25">
        <v>18</v>
      </c>
      <c r="N35" s="25">
        <v>45</v>
      </c>
      <c r="O35" s="25">
        <v>20</v>
      </c>
      <c r="P35" s="25">
        <v>648</v>
      </c>
      <c r="Q35" s="25">
        <v>4</v>
      </c>
      <c r="R35" s="25" t="s">
        <v>49</v>
      </c>
      <c r="S35" s="25" t="s">
        <v>36</v>
      </c>
      <c r="T35" s="25" t="s">
        <v>133</v>
      </c>
      <c r="U35" s="25" t="s">
        <v>285</v>
      </c>
      <c r="V35" s="25" t="s">
        <v>70</v>
      </c>
      <c r="W35" s="26">
        <v>45931</v>
      </c>
    </row>
    <row r="36" spans="1:23" ht="15.75" customHeight="1">
      <c r="A36" s="25" t="s">
        <v>286</v>
      </c>
      <c r="B36" s="25" t="s">
        <v>128</v>
      </c>
      <c r="C36" s="25" t="s">
        <v>73</v>
      </c>
      <c r="D36" s="25" t="s">
        <v>287</v>
      </c>
      <c r="E36" s="25" t="s">
        <v>288</v>
      </c>
      <c r="F36" s="25" t="s">
        <v>201</v>
      </c>
      <c r="G36" s="25" t="s">
        <v>77</v>
      </c>
      <c r="H36" s="25" t="s">
        <v>289</v>
      </c>
      <c r="I36" s="25" t="s">
        <v>60</v>
      </c>
      <c r="J36" s="25" t="s">
        <v>32</v>
      </c>
      <c r="K36" s="25" t="s">
        <v>47</v>
      </c>
      <c r="L36" s="25" t="s">
        <v>79</v>
      </c>
      <c r="M36" s="25">
        <v>4</v>
      </c>
      <c r="N36" s="25">
        <v>1200</v>
      </c>
      <c r="O36" s="25">
        <v>20</v>
      </c>
      <c r="P36" s="25">
        <v>3840</v>
      </c>
      <c r="Q36" s="25">
        <v>3</v>
      </c>
      <c r="R36" s="25" t="s">
        <v>49</v>
      </c>
      <c r="S36" s="25" t="s">
        <v>62</v>
      </c>
      <c r="T36" s="25" t="s">
        <v>133</v>
      </c>
      <c r="U36" s="25" t="s">
        <v>290</v>
      </c>
      <c r="V36" s="25" t="s">
        <v>39</v>
      </c>
      <c r="W36" s="26">
        <v>45962</v>
      </c>
    </row>
    <row r="37" spans="1:23" ht="15.75" customHeight="1">
      <c r="A37" s="25" t="s">
        <v>291</v>
      </c>
      <c r="B37" s="25" t="s">
        <v>72</v>
      </c>
      <c r="C37" s="25" t="s">
        <v>55</v>
      </c>
      <c r="D37" s="25" t="s">
        <v>292</v>
      </c>
      <c r="E37" s="25" t="s">
        <v>293</v>
      </c>
      <c r="F37" s="25" t="s">
        <v>218</v>
      </c>
      <c r="G37" s="25" t="s">
        <v>77</v>
      </c>
      <c r="H37" s="25" t="s">
        <v>294</v>
      </c>
      <c r="I37" s="25" t="s">
        <v>295</v>
      </c>
      <c r="J37" s="25" t="s">
        <v>296</v>
      </c>
      <c r="K37" s="25" t="s">
        <v>47</v>
      </c>
      <c r="L37" s="25" t="s">
        <v>61</v>
      </c>
      <c r="M37" s="25">
        <v>10</v>
      </c>
      <c r="N37" s="25">
        <v>55000</v>
      </c>
      <c r="O37" s="25">
        <v>0</v>
      </c>
      <c r="P37" s="25">
        <v>550000</v>
      </c>
      <c r="Q37" s="25">
        <v>1</v>
      </c>
      <c r="R37" s="25" t="s">
        <v>89</v>
      </c>
      <c r="S37" s="25" t="s">
        <v>50</v>
      </c>
      <c r="T37" s="25" t="s">
        <v>81</v>
      </c>
      <c r="U37" s="25" t="s">
        <v>297</v>
      </c>
      <c r="V37" s="25" t="s">
        <v>70</v>
      </c>
      <c r="W37" s="26">
        <v>45962</v>
      </c>
    </row>
    <row r="38" spans="1:23" ht="15.75" customHeight="1">
      <c r="A38" s="25" t="s">
        <v>298</v>
      </c>
      <c r="B38" s="25" t="s">
        <v>252</v>
      </c>
      <c r="C38" s="25" t="s">
        <v>93</v>
      </c>
      <c r="D38" s="25" t="s">
        <v>299</v>
      </c>
      <c r="E38" s="25" t="s">
        <v>243</v>
      </c>
      <c r="F38" s="25" t="s">
        <v>255</v>
      </c>
      <c r="G38" s="25" t="s">
        <v>29</v>
      </c>
      <c r="H38" s="25" t="s">
        <v>300</v>
      </c>
      <c r="I38" s="25" t="s">
        <v>45</v>
      </c>
      <c r="J38" s="25" t="s">
        <v>46</v>
      </c>
      <c r="K38" s="25" t="s">
        <v>33</v>
      </c>
      <c r="L38" s="25" t="s">
        <v>98</v>
      </c>
      <c r="M38" s="25">
        <v>20</v>
      </c>
      <c r="N38" s="25">
        <v>3500</v>
      </c>
      <c r="O38" s="25">
        <v>10</v>
      </c>
      <c r="P38" s="25">
        <v>63000</v>
      </c>
      <c r="Q38" s="25">
        <v>3</v>
      </c>
      <c r="R38" s="25" t="s">
        <v>80</v>
      </c>
      <c r="S38" s="25" t="s">
        <v>50</v>
      </c>
      <c r="T38" s="25" t="s">
        <v>257</v>
      </c>
      <c r="U38" s="25" t="s">
        <v>301</v>
      </c>
      <c r="V38" s="25" t="s">
        <v>70</v>
      </c>
      <c r="W38" s="26">
        <v>46082</v>
      </c>
    </row>
    <row r="39" spans="1:23" ht="15.75" customHeight="1">
      <c r="A39" s="25" t="s">
        <v>302</v>
      </c>
      <c r="B39" s="25" t="s">
        <v>24</v>
      </c>
      <c r="C39" s="25" t="s">
        <v>223</v>
      </c>
      <c r="D39" s="25" t="s">
        <v>303</v>
      </c>
      <c r="E39" s="25" t="s">
        <v>304</v>
      </c>
      <c r="F39" s="25" t="s">
        <v>28</v>
      </c>
      <c r="G39" s="25" t="s">
        <v>29</v>
      </c>
      <c r="H39" s="25" t="s">
        <v>305</v>
      </c>
      <c r="I39" s="25" t="s">
        <v>115</v>
      </c>
      <c r="J39" s="25" t="s">
        <v>107</v>
      </c>
      <c r="K39" s="25" t="s">
        <v>123</v>
      </c>
      <c r="L39" s="25" t="s">
        <v>228</v>
      </c>
      <c r="M39" s="25">
        <v>5</v>
      </c>
      <c r="N39" s="25">
        <v>1200</v>
      </c>
      <c r="O39" s="25">
        <v>0</v>
      </c>
      <c r="P39" s="25">
        <v>100</v>
      </c>
      <c r="Q39" s="25">
        <v>1</v>
      </c>
      <c r="R39" s="25" t="s">
        <v>35</v>
      </c>
      <c r="S39" s="25" t="s">
        <v>50</v>
      </c>
      <c r="T39" s="25" t="s">
        <v>51</v>
      </c>
      <c r="U39" s="25" t="s">
        <v>307</v>
      </c>
      <c r="V39" s="25" t="s">
        <v>70</v>
      </c>
      <c r="W39" s="26">
        <v>45689</v>
      </c>
    </row>
    <row r="40" spans="1:23" ht="15.75" customHeight="1">
      <c r="A40" s="25" t="s">
        <v>308</v>
      </c>
      <c r="B40" s="25" t="s">
        <v>54</v>
      </c>
      <c r="C40" s="25" t="s">
        <v>170</v>
      </c>
      <c r="D40" s="25" t="s">
        <v>309</v>
      </c>
      <c r="E40" s="25" t="s">
        <v>310</v>
      </c>
      <c r="F40" s="25" t="s">
        <v>164</v>
      </c>
      <c r="G40" s="25" t="s">
        <v>29</v>
      </c>
      <c r="H40" s="25" t="s">
        <v>311</v>
      </c>
      <c r="I40" s="25" t="s">
        <v>106</v>
      </c>
      <c r="J40" s="25" t="s">
        <v>107</v>
      </c>
      <c r="K40" s="25" t="s">
        <v>33</v>
      </c>
      <c r="L40" s="25" t="s">
        <v>175</v>
      </c>
      <c r="M40" s="25">
        <v>20</v>
      </c>
      <c r="N40" s="25">
        <v>8500</v>
      </c>
      <c r="O40" s="25">
        <v>0</v>
      </c>
      <c r="P40" s="25">
        <v>170000</v>
      </c>
      <c r="Q40" s="25">
        <v>1</v>
      </c>
      <c r="R40" s="25" t="s">
        <v>89</v>
      </c>
      <c r="S40" s="25" t="s">
        <v>116</v>
      </c>
      <c r="T40" s="25" t="s">
        <v>63</v>
      </c>
      <c r="U40" s="25" t="s">
        <v>312</v>
      </c>
      <c r="V40" s="25" t="s">
        <v>70</v>
      </c>
      <c r="W40" s="26">
        <v>45931</v>
      </c>
    </row>
    <row r="41" spans="1:23" ht="15.75" customHeight="1">
      <c r="A41" s="25" t="s">
        <v>313</v>
      </c>
      <c r="B41" s="25" t="s">
        <v>84</v>
      </c>
      <c r="C41" s="25" t="s">
        <v>119</v>
      </c>
      <c r="D41" s="25" t="s">
        <v>314</v>
      </c>
      <c r="E41" s="25" t="s">
        <v>315</v>
      </c>
      <c r="F41" s="25" t="s">
        <v>181</v>
      </c>
      <c r="G41" s="25" t="s">
        <v>77</v>
      </c>
      <c r="H41" s="25" t="s">
        <v>316</v>
      </c>
      <c r="I41" s="25" t="s">
        <v>60</v>
      </c>
      <c r="J41" s="25" t="s">
        <v>32</v>
      </c>
      <c r="K41" s="25" t="s">
        <v>123</v>
      </c>
      <c r="L41" s="25" t="s">
        <v>124</v>
      </c>
      <c r="M41" s="25">
        <v>8</v>
      </c>
      <c r="N41" s="25">
        <v>60</v>
      </c>
      <c r="O41" s="25">
        <v>15</v>
      </c>
      <c r="P41" s="25">
        <v>408</v>
      </c>
      <c r="Q41" s="25">
        <v>5</v>
      </c>
      <c r="R41" s="25" t="s">
        <v>89</v>
      </c>
      <c r="S41" s="25" t="s">
        <v>50</v>
      </c>
      <c r="T41" s="25" t="s">
        <v>90</v>
      </c>
      <c r="U41" s="25" t="s">
        <v>317</v>
      </c>
      <c r="V41" s="25" t="s">
        <v>65</v>
      </c>
      <c r="W41" s="26">
        <v>46054</v>
      </c>
    </row>
    <row r="42" spans="1:23" ht="15.75" customHeight="1">
      <c r="A42" s="25" t="s">
        <v>318</v>
      </c>
      <c r="B42" s="25" t="s">
        <v>54</v>
      </c>
      <c r="C42" s="25" t="s">
        <v>93</v>
      </c>
      <c r="D42" s="25" t="s">
        <v>319</v>
      </c>
      <c r="E42" s="25" t="s">
        <v>261</v>
      </c>
      <c r="F42" s="25" t="s">
        <v>164</v>
      </c>
      <c r="G42" s="25" t="s">
        <v>29</v>
      </c>
      <c r="H42" s="25" t="s">
        <v>320</v>
      </c>
      <c r="I42" s="25" t="s">
        <v>115</v>
      </c>
      <c r="J42" s="25" t="s">
        <v>107</v>
      </c>
      <c r="K42" s="25" t="s">
        <v>33</v>
      </c>
      <c r="L42" s="25" t="s">
        <v>98</v>
      </c>
      <c r="M42" s="25">
        <v>8</v>
      </c>
      <c r="N42" s="25">
        <v>3500</v>
      </c>
      <c r="O42" s="25">
        <v>5</v>
      </c>
      <c r="P42" s="25">
        <v>26600</v>
      </c>
      <c r="Q42" s="25">
        <v>1</v>
      </c>
      <c r="R42" s="25" t="s">
        <v>80</v>
      </c>
      <c r="S42" s="25" t="s">
        <v>116</v>
      </c>
      <c r="T42" s="25" t="s">
        <v>63</v>
      </c>
      <c r="U42" s="25" t="s">
        <v>321</v>
      </c>
      <c r="V42" s="25" t="s">
        <v>65</v>
      </c>
      <c r="W42" s="26">
        <v>45809</v>
      </c>
    </row>
    <row r="43" spans="1:23" ht="15.75" customHeight="1">
      <c r="A43" s="25" t="s">
        <v>322</v>
      </c>
      <c r="B43" s="25" t="s">
        <v>72</v>
      </c>
      <c r="C43" s="25" t="s">
        <v>170</v>
      </c>
      <c r="D43" s="25" t="s">
        <v>323</v>
      </c>
      <c r="E43" s="25" t="s">
        <v>324</v>
      </c>
      <c r="F43" s="25" t="s">
        <v>218</v>
      </c>
      <c r="G43" s="25" t="s">
        <v>77</v>
      </c>
      <c r="H43" s="25" t="s">
        <v>325</v>
      </c>
      <c r="I43" s="25" t="s">
        <v>213</v>
      </c>
      <c r="J43" s="25" t="s">
        <v>46</v>
      </c>
      <c r="K43" s="25" t="s">
        <v>33</v>
      </c>
      <c r="L43" s="25" t="s">
        <v>175</v>
      </c>
      <c r="M43" s="25">
        <v>1</v>
      </c>
      <c r="N43" s="25">
        <v>8500</v>
      </c>
      <c r="O43" s="25">
        <v>0</v>
      </c>
      <c r="P43" s="25">
        <v>8500</v>
      </c>
      <c r="Q43" s="25">
        <v>2</v>
      </c>
      <c r="R43" s="25" t="s">
        <v>80</v>
      </c>
      <c r="S43" s="25" t="s">
        <v>116</v>
      </c>
      <c r="T43" s="25" t="s">
        <v>81</v>
      </c>
      <c r="U43" s="25" t="s">
        <v>326</v>
      </c>
      <c r="V43" s="25" t="s">
        <v>65</v>
      </c>
      <c r="W43" s="26">
        <v>46054</v>
      </c>
    </row>
    <row r="44" spans="1:23" ht="15.75" customHeight="1">
      <c r="A44" s="25" t="s">
        <v>327</v>
      </c>
      <c r="B44" s="25" t="s">
        <v>328</v>
      </c>
      <c r="C44" s="25" t="s">
        <v>260</v>
      </c>
      <c r="D44" s="25" t="s">
        <v>329</v>
      </c>
      <c r="E44" s="25" t="s">
        <v>330</v>
      </c>
      <c r="F44" s="25" t="s">
        <v>395</v>
      </c>
      <c r="G44" s="25" t="s">
        <v>77</v>
      </c>
      <c r="H44" s="25" t="s">
        <v>332</v>
      </c>
      <c r="I44" s="25" t="s">
        <v>115</v>
      </c>
      <c r="J44" s="25" t="s">
        <v>107</v>
      </c>
      <c r="K44" s="25" t="s">
        <v>123</v>
      </c>
      <c r="L44" s="25" t="s">
        <v>264</v>
      </c>
      <c r="M44" s="25">
        <v>8</v>
      </c>
      <c r="N44" s="25">
        <v>45</v>
      </c>
      <c r="O44" s="25">
        <v>15</v>
      </c>
      <c r="P44" s="25">
        <v>306</v>
      </c>
      <c r="Q44" s="25">
        <v>2</v>
      </c>
      <c r="R44" s="25" t="s">
        <v>80</v>
      </c>
      <c r="S44" s="25" t="s">
        <v>62</v>
      </c>
      <c r="T44" s="25" t="s">
        <v>333</v>
      </c>
      <c r="U44" s="25" t="s">
        <v>334</v>
      </c>
      <c r="V44" s="25" t="s">
        <v>39</v>
      </c>
      <c r="W44" s="26">
        <v>45717</v>
      </c>
    </row>
    <row r="45" spans="1:23" ht="15.75" customHeight="1">
      <c r="A45" s="25" t="s">
        <v>335</v>
      </c>
      <c r="B45" s="25" t="s">
        <v>252</v>
      </c>
      <c r="C45" s="25" t="s">
        <v>25</v>
      </c>
      <c r="D45" s="25" t="s">
        <v>336</v>
      </c>
      <c r="E45" s="25" t="s">
        <v>337</v>
      </c>
      <c r="F45" s="25" t="s">
        <v>255</v>
      </c>
      <c r="G45" s="25" t="s">
        <v>29</v>
      </c>
      <c r="H45" s="25" t="s">
        <v>338</v>
      </c>
      <c r="I45" s="25" t="s">
        <v>115</v>
      </c>
      <c r="J45" s="25" t="s">
        <v>107</v>
      </c>
      <c r="K45" s="25" t="s">
        <v>33</v>
      </c>
      <c r="L45" s="25" t="s">
        <v>34</v>
      </c>
      <c r="M45" s="25">
        <v>16</v>
      </c>
      <c r="N45" s="25">
        <v>2200</v>
      </c>
      <c r="O45" s="25">
        <v>5</v>
      </c>
      <c r="P45" s="25">
        <v>33440</v>
      </c>
      <c r="Q45" s="25">
        <v>5</v>
      </c>
      <c r="R45" s="25" t="s">
        <v>80</v>
      </c>
      <c r="S45" s="25" t="s">
        <v>62</v>
      </c>
      <c r="T45" s="25" t="s">
        <v>257</v>
      </c>
      <c r="U45" s="25" t="s">
        <v>339</v>
      </c>
      <c r="V45" s="25" t="s">
        <v>70</v>
      </c>
      <c r="W45" s="26">
        <v>45748</v>
      </c>
    </row>
    <row r="46" spans="1:23" ht="15.75" customHeight="1">
      <c r="A46" s="25" t="s">
        <v>340</v>
      </c>
      <c r="B46" s="25" t="s">
        <v>72</v>
      </c>
      <c r="C46" s="25" t="s">
        <v>93</v>
      </c>
      <c r="D46" s="25" t="s">
        <v>341</v>
      </c>
      <c r="E46" s="25" t="s">
        <v>342</v>
      </c>
      <c r="F46" s="25" t="s">
        <v>218</v>
      </c>
      <c r="G46" s="25" t="s">
        <v>77</v>
      </c>
      <c r="H46" s="25" t="s">
        <v>343</v>
      </c>
      <c r="I46" s="25" t="s">
        <v>60</v>
      </c>
      <c r="J46" s="25" t="s">
        <v>32</v>
      </c>
      <c r="K46" s="25" t="s">
        <v>33</v>
      </c>
      <c r="L46" s="25" t="s">
        <v>98</v>
      </c>
      <c r="M46" s="25">
        <v>19</v>
      </c>
      <c r="N46" s="25">
        <v>3500</v>
      </c>
      <c r="O46" s="25">
        <v>20</v>
      </c>
      <c r="P46" s="25">
        <v>53200</v>
      </c>
      <c r="Q46" s="25">
        <v>3</v>
      </c>
      <c r="R46" s="25" t="s">
        <v>35</v>
      </c>
      <c r="S46" s="25" t="s">
        <v>152</v>
      </c>
      <c r="T46" s="25" t="s">
        <v>81</v>
      </c>
      <c r="U46" s="25" t="s">
        <v>344</v>
      </c>
      <c r="V46" s="25" t="s">
        <v>70</v>
      </c>
      <c r="W46" s="26">
        <v>45931</v>
      </c>
    </row>
    <row r="47" spans="1:23" ht="15.75" customHeight="1">
      <c r="A47" s="25" t="s">
        <v>345</v>
      </c>
      <c r="B47" s="25" t="s">
        <v>252</v>
      </c>
      <c r="C47" s="25" t="s">
        <v>185</v>
      </c>
      <c r="D47" s="25" t="s">
        <v>346</v>
      </c>
      <c r="E47" s="25" t="s">
        <v>347</v>
      </c>
      <c r="F47" s="25" t="s">
        <v>255</v>
      </c>
      <c r="G47" s="25" t="s">
        <v>29</v>
      </c>
      <c r="H47" s="25" t="s">
        <v>348</v>
      </c>
      <c r="I47" s="25" t="s">
        <v>115</v>
      </c>
      <c r="J47" s="25" t="s">
        <v>107</v>
      </c>
      <c r="K47" s="25" t="s">
        <v>47</v>
      </c>
      <c r="L47" s="25" t="s">
        <v>190</v>
      </c>
      <c r="M47" s="25">
        <v>15</v>
      </c>
      <c r="N47" s="25">
        <v>700</v>
      </c>
      <c r="O47" s="25">
        <v>15</v>
      </c>
      <c r="P47" s="25">
        <v>8925</v>
      </c>
      <c r="Q47" s="25">
        <v>4</v>
      </c>
      <c r="R47" s="25" t="s">
        <v>89</v>
      </c>
      <c r="S47" s="25" t="s">
        <v>116</v>
      </c>
      <c r="T47" s="25" t="s">
        <v>349</v>
      </c>
      <c r="U47" s="25" t="s">
        <v>350</v>
      </c>
      <c r="V47" s="25" t="s">
        <v>39</v>
      </c>
      <c r="W47" s="26">
        <v>45931</v>
      </c>
    </row>
    <row r="48" spans="1:23" ht="15.75" customHeight="1">
      <c r="A48" s="25" t="s">
        <v>351</v>
      </c>
      <c r="B48" s="25" t="s">
        <v>252</v>
      </c>
      <c r="C48" s="25" t="s">
        <v>185</v>
      </c>
      <c r="D48" s="25" t="s">
        <v>352</v>
      </c>
      <c r="E48" s="25" t="s">
        <v>353</v>
      </c>
      <c r="F48" s="25" t="s">
        <v>255</v>
      </c>
      <c r="G48" s="25" t="s">
        <v>29</v>
      </c>
      <c r="H48" s="25" t="s">
        <v>354</v>
      </c>
      <c r="I48" s="25" t="s">
        <v>213</v>
      </c>
      <c r="J48" s="25" t="s">
        <v>46</v>
      </c>
      <c r="K48" s="25" t="s">
        <v>47</v>
      </c>
      <c r="L48" s="25" t="s">
        <v>190</v>
      </c>
      <c r="M48" s="25">
        <v>19</v>
      </c>
      <c r="N48" s="25">
        <v>700</v>
      </c>
      <c r="O48" s="25">
        <v>20</v>
      </c>
      <c r="P48" s="25">
        <v>10640</v>
      </c>
      <c r="Q48" s="25">
        <v>1</v>
      </c>
      <c r="R48" s="25" t="s">
        <v>35</v>
      </c>
      <c r="S48" s="25" t="s">
        <v>116</v>
      </c>
      <c r="T48" s="25" t="s">
        <v>257</v>
      </c>
      <c r="U48" s="25" t="s">
        <v>355</v>
      </c>
      <c r="V48" s="25" t="s">
        <v>39</v>
      </c>
      <c r="W48" s="26">
        <v>45962</v>
      </c>
    </row>
    <row r="49" spans="1:23" ht="15.75" customHeight="1">
      <c r="A49" s="25" t="s">
        <v>356</v>
      </c>
      <c r="B49" s="25" t="s">
        <v>72</v>
      </c>
      <c r="C49" s="25" t="s">
        <v>41</v>
      </c>
      <c r="D49" s="25" t="s">
        <v>357</v>
      </c>
      <c r="E49" s="25" t="s">
        <v>65</v>
      </c>
      <c r="F49" s="25" t="s">
        <v>218</v>
      </c>
      <c r="G49" s="25" t="s">
        <v>77</v>
      </c>
      <c r="H49" s="25" t="s">
        <v>358</v>
      </c>
      <c r="I49" s="25" t="s">
        <v>45</v>
      </c>
      <c r="J49" s="25" t="s">
        <v>46</v>
      </c>
      <c r="K49" s="25" t="s">
        <v>47</v>
      </c>
      <c r="L49" s="25" t="s">
        <v>48</v>
      </c>
      <c r="M49" s="25">
        <v>19</v>
      </c>
      <c r="N49" s="25">
        <v>12000</v>
      </c>
      <c r="O49" s="25">
        <v>0</v>
      </c>
      <c r="P49" s="25">
        <v>228000</v>
      </c>
      <c r="Q49" s="25">
        <v>1</v>
      </c>
      <c r="R49" s="25" t="s">
        <v>49</v>
      </c>
      <c r="S49" s="25" t="s">
        <v>62</v>
      </c>
      <c r="T49" s="25" t="s">
        <v>81</v>
      </c>
      <c r="U49" s="25" t="s">
        <v>359</v>
      </c>
      <c r="V49" s="25" t="s">
        <v>39</v>
      </c>
      <c r="W49" s="26">
        <v>46113</v>
      </c>
    </row>
    <row r="50" spans="1:23" ht="15.75" customHeight="1">
      <c r="A50" s="25" t="s">
        <v>360</v>
      </c>
      <c r="B50" s="25" t="s">
        <v>169</v>
      </c>
      <c r="C50" s="25" t="s">
        <v>73</v>
      </c>
      <c r="D50" s="25" t="s">
        <v>357</v>
      </c>
      <c r="E50" s="25" t="s">
        <v>361</v>
      </c>
      <c r="F50" s="25" t="s">
        <v>362</v>
      </c>
      <c r="G50" s="25" t="s">
        <v>29</v>
      </c>
      <c r="H50" s="25" t="s">
        <v>363</v>
      </c>
      <c r="I50" s="25" t="s">
        <v>115</v>
      </c>
      <c r="J50" s="25" t="s">
        <v>107</v>
      </c>
      <c r="K50" s="25" t="s">
        <v>47</v>
      </c>
      <c r="L50" s="25" t="s">
        <v>79</v>
      </c>
      <c r="M50" s="25">
        <v>6</v>
      </c>
      <c r="N50" s="25">
        <v>1200</v>
      </c>
      <c r="O50" s="25">
        <v>5</v>
      </c>
      <c r="P50" s="25">
        <v>6840</v>
      </c>
      <c r="Q50" s="25">
        <v>2</v>
      </c>
      <c r="R50" s="25" t="s">
        <v>35</v>
      </c>
      <c r="S50" s="25" t="s">
        <v>36</v>
      </c>
      <c r="T50" s="25" t="s">
        <v>176</v>
      </c>
      <c r="U50" s="25" t="s">
        <v>364</v>
      </c>
      <c r="V50" s="25" t="s">
        <v>65</v>
      </c>
      <c r="W50" s="26">
        <v>46113</v>
      </c>
    </row>
    <row r="51" spans="1:23" ht="15.75" customHeight="1">
      <c r="A51" s="25" t="s">
        <v>365</v>
      </c>
      <c r="B51" s="25" t="s">
        <v>54</v>
      </c>
      <c r="C51" s="25" t="s">
        <v>25</v>
      </c>
      <c r="D51" s="25" t="s">
        <v>366</v>
      </c>
      <c r="E51" s="25" t="s">
        <v>367</v>
      </c>
      <c r="F51" s="25" t="s">
        <v>164</v>
      </c>
      <c r="G51" s="25" t="s">
        <v>29</v>
      </c>
      <c r="H51" s="25" t="s">
        <v>369</v>
      </c>
      <c r="I51" s="25" t="s">
        <v>60</v>
      </c>
      <c r="J51" s="25" t="s">
        <v>32</v>
      </c>
      <c r="K51" s="25" t="s">
        <v>33</v>
      </c>
      <c r="L51" s="25" t="s">
        <v>34</v>
      </c>
      <c r="M51" s="25">
        <v>7</v>
      </c>
      <c r="N51" s="25">
        <v>2200</v>
      </c>
      <c r="O51" s="25">
        <v>15</v>
      </c>
      <c r="P51" s="25">
        <v>13090</v>
      </c>
      <c r="Q51" s="25">
        <v>1</v>
      </c>
      <c r="R51" s="25" t="s">
        <v>89</v>
      </c>
      <c r="S51" s="25" t="s">
        <v>62</v>
      </c>
      <c r="T51" s="25" t="s">
        <v>63</v>
      </c>
      <c r="U51" s="25" t="s">
        <v>370</v>
      </c>
      <c r="V51" s="25" t="s">
        <v>39</v>
      </c>
      <c r="W51" s="26">
        <v>45717</v>
      </c>
    </row>
    <row r="52" spans="1:23" ht="15.75" customHeight="1">
      <c r="A52" s="25" t="s">
        <v>371</v>
      </c>
      <c r="B52" s="25" t="s">
        <v>101</v>
      </c>
      <c r="C52" s="25" t="s">
        <v>119</v>
      </c>
      <c r="D52" s="25" t="s">
        <v>372</v>
      </c>
      <c r="E52" s="25" t="s">
        <v>373</v>
      </c>
      <c r="F52" s="25" t="s">
        <v>104</v>
      </c>
      <c r="G52" s="25" t="s">
        <v>29</v>
      </c>
      <c r="H52" s="25" t="s">
        <v>374</v>
      </c>
      <c r="I52" s="25" t="s">
        <v>213</v>
      </c>
      <c r="J52" s="25" t="s">
        <v>46</v>
      </c>
      <c r="K52" s="25" t="s">
        <v>123</v>
      </c>
      <c r="L52" s="25" t="s">
        <v>124</v>
      </c>
      <c r="M52" s="25">
        <v>8</v>
      </c>
      <c r="N52" s="25">
        <v>60</v>
      </c>
      <c r="O52" s="25">
        <v>10</v>
      </c>
      <c r="P52" s="25">
        <v>432</v>
      </c>
      <c r="Q52" s="25">
        <v>5</v>
      </c>
      <c r="R52" s="25" t="s">
        <v>80</v>
      </c>
      <c r="S52" s="25" t="s">
        <v>62</v>
      </c>
      <c r="T52" s="25" t="s">
        <v>145</v>
      </c>
      <c r="U52" s="25" t="s">
        <v>375</v>
      </c>
      <c r="V52" s="25" t="s">
        <v>70</v>
      </c>
      <c r="W52" s="26">
        <v>45870</v>
      </c>
    </row>
    <row r="53" spans="1:23" ht="15.75" customHeight="1">
      <c r="A53" s="25" t="s">
        <v>376</v>
      </c>
      <c r="B53" s="25" t="s">
        <v>222</v>
      </c>
      <c r="C53" s="25" t="s">
        <v>55</v>
      </c>
      <c r="D53" s="25" t="s">
        <v>377</v>
      </c>
      <c r="E53" s="25" t="s">
        <v>378</v>
      </c>
      <c r="F53" s="25" t="s">
        <v>226</v>
      </c>
      <c r="G53" s="25" t="s">
        <v>77</v>
      </c>
      <c r="H53" s="25" t="s">
        <v>379</v>
      </c>
      <c r="I53" s="25" t="s">
        <v>295</v>
      </c>
      <c r="J53" s="25" t="s">
        <v>296</v>
      </c>
      <c r="K53" s="25" t="s">
        <v>47</v>
      </c>
      <c r="L53" s="25" t="s">
        <v>61</v>
      </c>
      <c r="M53" s="25">
        <v>12</v>
      </c>
      <c r="N53" s="25">
        <v>55000</v>
      </c>
      <c r="O53" s="25">
        <v>5</v>
      </c>
      <c r="P53" s="25">
        <v>627000</v>
      </c>
      <c r="Q53" s="25">
        <v>2</v>
      </c>
      <c r="R53" s="25" t="s">
        <v>89</v>
      </c>
      <c r="S53" s="25" t="s">
        <v>50</v>
      </c>
      <c r="T53" s="25" t="s">
        <v>229</v>
      </c>
      <c r="U53" s="25" t="s">
        <v>380</v>
      </c>
      <c r="V53" s="25" t="s">
        <v>65</v>
      </c>
      <c r="W53" s="26">
        <v>45870</v>
      </c>
    </row>
    <row r="54" spans="1:23" ht="15.75" customHeight="1">
      <c r="A54" s="25" t="s">
        <v>381</v>
      </c>
      <c r="B54" s="25" t="s">
        <v>24</v>
      </c>
      <c r="C54" s="25" t="s">
        <v>185</v>
      </c>
      <c r="D54" s="25" t="s">
        <v>382</v>
      </c>
      <c r="E54" s="25" t="s">
        <v>383</v>
      </c>
      <c r="F54" s="25" t="s">
        <v>28</v>
      </c>
      <c r="G54" s="25" t="s">
        <v>29</v>
      </c>
      <c r="H54" s="25" t="s">
        <v>384</v>
      </c>
      <c r="I54" s="25" t="s">
        <v>213</v>
      </c>
      <c r="J54" s="25" t="s">
        <v>46</v>
      </c>
      <c r="K54" s="25" t="s">
        <v>47</v>
      </c>
      <c r="L54" s="25" t="s">
        <v>190</v>
      </c>
      <c r="M54" s="25">
        <v>3</v>
      </c>
      <c r="N54" s="25">
        <v>700</v>
      </c>
      <c r="O54" s="25">
        <v>0</v>
      </c>
      <c r="P54" s="25">
        <v>2100</v>
      </c>
      <c r="Q54" s="25">
        <v>3</v>
      </c>
      <c r="R54" s="25" t="s">
        <v>80</v>
      </c>
      <c r="S54" s="25" t="s">
        <v>152</v>
      </c>
      <c r="T54" s="25" t="s">
        <v>51</v>
      </c>
      <c r="U54" s="25" t="s">
        <v>385</v>
      </c>
      <c r="V54" s="25" t="s">
        <v>70</v>
      </c>
      <c r="W54" s="26">
        <v>45839</v>
      </c>
    </row>
    <row r="55" spans="1:23" ht="15.75" customHeight="1">
      <c r="A55" s="25" t="s">
        <v>386</v>
      </c>
      <c r="B55" s="25" t="s">
        <v>128</v>
      </c>
      <c r="C55" s="25" t="s">
        <v>119</v>
      </c>
      <c r="D55" s="25" t="s">
        <v>387</v>
      </c>
      <c r="E55" s="25" t="s">
        <v>388</v>
      </c>
      <c r="F55" s="25" t="s">
        <v>201</v>
      </c>
      <c r="G55" s="25" t="s">
        <v>77</v>
      </c>
      <c r="H55" s="25" t="s">
        <v>390</v>
      </c>
      <c r="I55" s="25" t="s">
        <v>139</v>
      </c>
      <c r="J55" s="25" t="s">
        <v>107</v>
      </c>
      <c r="K55" s="25" t="s">
        <v>123</v>
      </c>
      <c r="L55" s="25" t="s">
        <v>124</v>
      </c>
      <c r="M55" s="25">
        <v>19</v>
      </c>
      <c r="N55" s="25">
        <v>60</v>
      </c>
      <c r="O55" s="25">
        <v>15</v>
      </c>
      <c r="P55" s="25">
        <v>969</v>
      </c>
      <c r="Q55" s="25">
        <v>4</v>
      </c>
      <c r="R55" s="25" t="s">
        <v>80</v>
      </c>
      <c r="S55" s="25" t="s">
        <v>50</v>
      </c>
      <c r="T55" s="25" t="s">
        <v>133</v>
      </c>
      <c r="U55" s="25" t="s">
        <v>391</v>
      </c>
      <c r="V55" s="25" t="s">
        <v>70</v>
      </c>
      <c r="W55" s="26">
        <v>45689</v>
      </c>
    </row>
    <row r="56" spans="1:23" ht="15.75" customHeight="1">
      <c r="A56" s="25" t="s">
        <v>392</v>
      </c>
      <c r="B56" s="25" t="s">
        <v>328</v>
      </c>
      <c r="C56" s="25" t="s">
        <v>119</v>
      </c>
      <c r="D56" s="25" t="s">
        <v>393</v>
      </c>
      <c r="E56" s="25" t="s">
        <v>394</v>
      </c>
      <c r="F56" s="25" t="s">
        <v>395</v>
      </c>
      <c r="G56" s="25" t="s">
        <v>77</v>
      </c>
      <c r="H56" s="25" t="s">
        <v>396</v>
      </c>
      <c r="I56" s="25" t="s">
        <v>213</v>
      </c>
      <c r="J56" s="25" t="s">
        <v>46</v>
      </c>
      <c r="K56" s="25" t="s">
        <v>123</v>
      </c>
      <c r="L56" s="25" t="s">
        <v>124</v>
      </c>
      <c r="M56" s="25">
        <v>9</v>
      </c>
      <c r="N56" s="25">
        <v>60</v>
      </c>
      <c r="O56" s="25">
        <v>20</v>
      </c>
      <c r="P56" s="25">
        <v>432</v>
      </c>
      <c r="Q56" s="25">
        <v>1</v>
      </c>
      <c r="R56" s="25" t="s">
        <v>49</v>
      </c>
      <c r="S56" s="25" t="s">
        <v>116</v>
      </c>
      <c r="T56" s="25" t="s">
        <v>333</v>
      </c>
      <c r="U56" s="25" t="s">
        <v>397</v>
      </c>
      <c r="V56" s="25" t="s">
        <v>65</v>
      </c>
      <c r="W56" s="26">
        <v>45870</v>
      </c>
    </row>
    <row r="57" spans="1:23" ht="15.75" customHeight="1">
      <c r="A57" s="25" t="s">
        <v>398</v>
      </c>
      <c r="B57" s="25" t="s">
        <v>328</v>
      </c>
      <c r="C57" s="25" t="s">
        <v>185</v>
      </c>
      <c r="D57" s="25" t="s">
        <v>399</v>
      </c>
      <c r="E57" s="25" t="s">
        <v>400</v>
      </c>
      <c r="F57" s="25" t="s">
        <v>395</v>
      </c>
      <c r="G57" s="25" t="s">
        <v>77</v>
      </c>
      <c r="H57" s="25" t="s">
        <v>401</v>
      </c>
      <c r="I57" s="25" t="s">
        <v>60</v>
      </c>
      <c r="J57" s="25" t="s">
        <v>32</v>
      </c>
      <c r="K57" s="25" t="s">
        <v>47</v>
      </c>
      <c r="L57" s="25" t="s">
        <v>190</v>
      </c>
      <c r="M57" s="25">
        <v>6</v>
      </c>
      <c r="N57" s="25">
        <v>700</v>
      </c>
      <c r="O57" s="25">
        <v>0</v>
      </c>
      <c r="P57" s="25">
        <v>4200</v>
      </c>
      <c r="Q57" s="25">
        <v>4</v>
      </c>
      <c r="R57" s="25" t="s">
        <v>89</v>
      </c>
      <c r="S57" s="25" t="s">
        <v>50</v>
      </c>
      <c r="T57" s="25" t="s">
        <v>402</v>
      </c>
      <c r="U57" s="25" t="s">
        <v>403</v>
      </c>
      <c r="V57" s="25" t="s">
        <v>70</v>
      </c>
      <c r="W57" s="26">
        <v>46082</v>
      </c>
    </row>
    <row r="58" spans="1:23" ht="15.75" customHeight="1">
      <c r="A58" s="25" t="s">
        <v>404</v>
      </c>
      <c r="B58" s="25" t="s">
        <v>128</v>
      </c>
      <c r="C58" s="25" t="s">
        <v>260</v>
      </c>
      <c r="D58" s="25" t="s">
        <v>242</v>
      </c>
      <c r="E58" s="25" t="s">
        <v>405</v>
      </c>
      <c r="F58" s="25" t="s">
        <v>201</v>
      </c>
      <c r="G58" s="25" t="s">
        <v>77</v>
      </c>
      <c r="H58" s="25" t="s">
        <v>406</v>
      </c>
      <c r="I58" s="25" t="s">
        <v>45</v>
      </c>
      <c r="J58" s="25" t="s">
        <v>46</v>
      </c>
      <c r="K58" s="25" t="s">
        <v>123</v>
      </c>
      <c r="L58" s="25" t="s">
        <v>264</v>
      </c>
      <c r="M58" s="25">
        <v>18</v>
      </c>
      <c r="N58" s="25">
        <v>45</v>
      </c>
      <c r="O58" s="25">
        <v>5</v>
      </c>
      <c r="P58" s="25">
        <v>769.5</v>
      </c>
      <c r="Q58" s="25">
        <v>1</v>
      </c>
      <c r="R58" s="25" t="s">
        <v>80</v>
      </c>
      <c r="S58" s="25" t="s">
        <v>62</v>
      </c>
      <c r="T58" s="25" t="s">
        <v>133</v>
      </c>
      <c r="U58" s="25" t="s">
        <v>407</v>
      </c>
      <c r="V58" s="25" t="s">
        <v>65</v>
      </c>
      <c r="W58" s="26">
        <v>46082</v>
      </c>
    </row>
    <row r="59" spans="1:23" ht="15.75" customHeight="1">
      <c r="A59" s="25" t="s">
        <v>408</v>
      </c>
      <c r="B59" s="25" t="s">
        <v>84</v>
      </c>
      <c r="C59" s="25" t="s">
        <v>223</v>
      </c>
      <c r="D59" s="25" t="s">
        <v>409</v>
      </c>
      <c r="E59" s="25" t="s">
        <v>262</v>
      </c>
      <c r="F59" s="25" t="s">
        <v>181</v>
      </c>
      <c r="G59" s="25" t="s">
        <v>77</v>
      </c>
      <c r="H59" s="25" t="s">
        <v>410</v>
      </c>
      <c r="I59" s="25" t="s">
        <v>213</v>
      </c>
      <c r="J59" s="25" t="s">
        <v>46</v>
      </c>
      <c r="K59" s="25" t="s">
        <v>123</v>
      </c>
      <c r="L59" s="25" t="s">
        <v>228</v>
      </c>
      <c r="M59" s="25">
        <v>8</v>
      </c>
      <c r="N59" s="25">
        <v>20</v>
      </c>
      <c r="O59" s="25">
        <v>5</v>
      </c>
      <c r="P59" s="25">
        <v>152</v>
      </c>
      <c r="Q59" s="25">
        <v>1</v>
      </c>
      <c r="R59" s="25" t="s">
        <v>80</v>
      </c>
      <c r="S59" s="25" t="s">
        <v>36</v>
      </c>
      <c r="T59" s="25" t="s">
        <v>90</v>
      </c>
      <c r="U59" s="25" t="s">
        <v>411</v>
      </c>
      <c r="V59" s="25" t="s">
        <v>39</v>
      </c>
      <c r="W59" s="26">
        <v>45809</v>
      </c>
    </row>
    <row r="60" spans="1:23" ht="15.75" customHeight="1">
      <c r="A60" s="25" t="s">
        <v>413</v>
      </c>
      <c r="B60" s="25" t="s">
        <v>222</v>
      </c>
      <c r="C60" s="25" t="s">
        <v>185</v>
      </c>
      <c r="D60" s="25" t="s">
        <v>414</v>
      </c>
      <c r="E60" s="25" t="s">
        <v>415</v>
      </c>
      <c r="F60" s="25" t="s">
        <v>226</v>
      </c>
      <c r="G60" s="25" t="s">
        <v>77</v>
      </c>
      <c r="H60" s="25" t="s">
        <v>416</v>
      </c>
      <c r="I60" s="25" t="s">
        <v>213</v>
      </c>
      <c r="J60" s="25" t="s">
        <v>46</v>
      </c>
      <c r="K60" s="25" t="s">
        <v>47</v>
      </c>
      <c r="L60" s="25" t="s">
        <v>190</v>
      </c>
      <c r="M60" s="25">
        <v>8</v>
      </c>
      <c r="N60" s="25">
        <v>700</v>
      </c>
      <c r="O60" s="25">
        <v>10</v>
      </c>
      <c r="P60" s="25">
        <v>5040</v>
      </c>
      <c r="Q60" s="25">
        <v>1</v>
      </c>
      <c r="R60" s="25" t="s">
        <v>49</v>
      </c>
      <c r="S60" s="25" t="s">
        <v>62</v>
      </c>
      <c r="T60" s="25" t="s">
        <v>417</v>
      </c>
      <c r="U60" s="25" t="s">
        <v>418</v>
      </c>
      <c r="V60" s="25" t="s">
        <v>70</v>
      </c>
      <c r="W60" s="26">
        <v>45717</v>
      </c>
    </row>
    <row r="61" spans="1:23" ht="15.75" customHeight="1">
      <c r="A61" s="25" t="s">
        <v>419</v>
      </c>
      <c r="B61" s="25" t="s">
        <v>24</v>
      </c>
      <c r="C61" s="25" t="s">
        <v>223</v>
      </c>
      <c r="D61" s="25" t="s">
        <v>224</v>
      </c>
      <c r="E61" s="25" t="s">
        <v>357</v>
      </c>
      <c r="F61" s="25" t="s">
        <v>28</v>
      </c>
      <c r="G61" s="25" t="s">
        <v>29</v>
      </c>
      <c r="H61" s="25" t="s">
        <v>420</v>
      </c>
      <c r="I61" s="25" t="s">
        <v>45</v>
      </c>
      <c r="J61" s="25" t="s">
        <v>46</v>
      </c>
      <c r="K61" s="25" t="s">
        <v>123</v>
      </c>
      <c r="L61" s="25" t="s">
        <v>228</v>
      </c>
      <c r="M61" s="25">
        <v>7</v>
      </c>
      <c r="N61" s="25">
        <v>20</v>
      </c>
      <c r="O61" s="25">
        <v>15</v>
      </c>
      <c r="P61" s="25">
        <v>119</v>
      </c>
      <c r="Q61" s="25">
        <v>5</v>
      </c>
      <c r="R61" s="25" t="s">
        <v>80</v>
      </c>
      <c r="S61" s="25" t="s">
        <v>50</v>
      </c>
      <c r="T61" s="25" t="s">
        <v>51</v>
      </c>
      <c r="U61" s="25" t="s">
        <v>421</v>
      </c>
      <c r="V61" s="25" t="s">
        <v>39</v>
      </c>
      <c r="W61" s="26">
        <v>46113</v>
      </c>
    </row>
    <row r="62" spans="1:23" ht="15.75" customHeight="1">
      <c r="A62" s="25" t="s">
        <v>422</v>
      </c>
      <c r="B62" s="25" t="s">
        <v>101</v>
      </c>
      <c r="C62" s="25" t="s">
        <v>223</v>
      </c>
      <c r="D62" s="25" t="s">
        <v>423</v>
      </c>
      <c r="E62" s="25" t="s">
        <v>372</v>
      </c>
      <c r="F62" s="25" t="s">
        <v>104</v>
      </c>
      <c r="G62" s="25" t="s">
        <v>29</v>
      </c>
      <c r="H62" s="25" t="s">
        <v>424</v>
      </c>
      <c r="I62" s="25" t="s">
        <v>115</v>
      </c>
      <c r="J62" s="25" t="s">
        <v>107</v>
      </c>
      <c r="K62" s="25" t="s">
        <v>123</v>
      </c>
      <c r="L62" s="25" t="s">
        <v>228</v>
      </c>
      <c r="M62" s="25">
        <v>16</v>
      </c>
      <c r="N62" s="25">
        <v>20</v>
      </c>
      <c r="O62" s="25">
        <v>0</v>
      </c>
      <c r="P62" s="25">
        <v>320</v>
      </c>
      <c r="Q62" s="25">
        <v>5</v>
      </c>
      <c r="R62" s="25" t="s">
        <v>49</v>
      </c>
      <c r="S62" s="25" t="s">
        <v>62</v>
      </c>
      <c r="T62" s="25" t="s">
        <v>145</v>
      </c>
      <c r="U62" s="25" t="s">
        <v>425</v>
      </c>
      <c r="V62" s="25" t="s">
        <v>65</v>
      </c>
      <c r="W62" s="26">
        <v>45870</v>
      </c>
    </row>
    <row r="63" spans="1:23" ht="15.75" customHeight="1">
      <c r="A63" s="25" t="s">
        <v>426</v>
      </c>
      <c r="B63" s="25" t="s">
        <v>54</v>
      </c>
      <c r="C63" s="25" t="s">
        <v>260</v>
      </c>
      <c r="D63" s="25" t="s">
        <v>427</v>
      </c>
      <c r="E63" s="25" t="s">
        <v>428</v>
      </c>
      <c r="F63" s="25" t="s">
        <v>164</v>
      </c>
      <c r="G63" s="25" t="s">
        <v>29</v>
      </c>
      <c r="H63" s="25" t="s">
        <v>429</v>
      </c>
      <c r="I63" s="25" t="s">
        <v>106</v>
      </c>
      <c r="J63" s="25" t="s">
        <v>107</v>
      </c>
      <c r="K63" s="25" t="s">
        <v>123</v>
      </c>
      <c r="L63" s="25" t="s">
        <v>264</v>
      </c>
      <c r="M63" s="25">
        <v>15</v>
      </c>
      <c r="N63" s="25">
        <v>45</v>
      </c>
      <c r="O63" s="25">
        <v>0</v>
      </c>
      <c r="P63" s="25">
        <v>675</v>
      </c>
      <c r="Q63" s="25">
        <v>4</v>
      </c>
      <c r="R63" s="25" t="s">
        <v>35</v>
      </c>
      <c r="S63" s="25" t="s">
        <v>62</v>
      </c>
      <c r="T63" s="25" t="s">
        <v>63</v>
      </c>
      <c r="U63" s="25" t="s">
        <v>430</v>
      </c>
      <c r="V63" s="25" t="s">
        <v>70</v>
      </c>
      <c r="W63" s="26">
        <v>46143</v>
      </c>
    </row>
    <row r="64" spans="1:23" ht="15.75" customHeight="1">
      <c r="A64" s="25" t="s">
        <v>431</v>
      </c>
      <c r="B64" s="25" t="s">
        <v>252</v>
      </c>
      <c r="C64" s="25" t="s">
        <v>185</v>
      </c>
      <c r="D64" s="25" t="s">
        <v>432</v>
      </c>
      <c r="E64" s="25" t="s">
        <v>414</v>
      </c>
      <c r="F64" s="25" t="s">
        <v>255</v>
      </c>
      <c r="G64" s="25" t="s">
        <v>29</v>
      </c>
      <c r="H64" s="25" t="s">
        <v>433</v>
      </c>
      <c r="I64" s="25" t="s">
        <v>139</v>
      </c>
      <c r="J64" s="25" t="s">
        <v>107</v>
      </c>
      <c r="K64" s="25" t="s">
        <v>47</v>
      </c>
      <c r="L64" s="25" t="s">
        <v>190</v>
      </c>
      <c r="M64" s="25">
        <v>15</v>
      </c>
      <c r="N64" s="25">
        <v>700</v>
      </c>
      <c r="O64" s="25">
        <v>10</v>
      </c>
      <c r="P64" s="25">
        <v>9450</v>
      </c>
      <c r="Q64" s="25">
        <v>3</v>
      </c>
      <c r="R64" s="25" t="s">
        <v>49</v>
      </c>
      <c r="S64" s="25" t="s">
        <v>152</v>
      </c>
      <c r="T64" s="25" t="s">
        <v>257</v>
      </c>
      <c r="U64" s="25" t="s">
        <v>434</v>
      </c>
      <c r="V64" s="25" t="s">
        <v>39</v>
      </c>
      <c r="W64" s="26">
        <v>45717</v>
      </c>
    </row>
    <row r="65" spans="1:23" ht="15.75" customHeight="1">
      <c r="A65" s="25" t="s">
        <v>435</v>
      </c>
      <c r="B65" s="25" t="s">
        <v>54</v>
      </c>
      <c r="C65" s="25" t="s">
        <v>260</v>
      </c>
      <c r="D65" s="25" t="s">
        <v>436</v>
      </c>
      <c r="E65" s="25" t="s">
        <v>437</v>
      </c>
      <c r="F65" s="25" t="s">
        <v>164</v>
      </c>
      <c r="G65" s="25" t="s">
        <v>29</v>
      </c>
      <c r="H65" s="25" t="s">
        <v>438</v>
      </c>
      <c r="I65" s="25" t="s">
        <v>295</v>
      </c>
      <c r="J65" s="25" t="s">
        <v>296</v>
      </c>
      <c r="K65" s="25" t="s">
        <v>123</v>
      </c>
      <c r="L65" s="25" t="s">
        <v>264</v>
      </c>
      <c r="M65" s="25">
        <v>3</v>
      </c>
      <c r="N65" s="25">
        <v>45</v>
      </c>
      <c r="O65" s="25">
        <v>15</v>
      </c>
      <c r="P65" s="25">
        <v>114.75</v>
      </c>
      <c r="Q65" s="25">
        <v>2</v>
      </c>
      <c r="R65" s="25" t="s">
        <v>89</v>
      </c>
      <c r="S65" s="25" t="s">
        <v>116</v>
      </c>
      <c r="T65" s="25" t="s">
        <v>63</v>
      </c>
      <c r="U65" s="25" t="s">
        <v>439</v>
      </c>
      <c r="V65" s="25" t="s">
        <v>65</v>
      </c>
      <c r="W65" s="26">
        <v>45689</v>
      </c>
    </row>
    <row r="66" spans="1:23" ht="15.75" customHeight="1">
      <c r="A66" s="25" t="s">
        <v>440</v>
      </c>
      <c r="B66" s="25" t="s">
        <v>101</v>
      </c>
      <c r="C66" s="25" t="s">
        <v>25</v>
      </c>
      <c r="D66" s="25" t="s">
        <v>441</v>
      </c>
      <c r="E66" s="25" t="s">
        <v>442</v>
      </c>
      <c r="F66" s="25" t="s">
        <v>104</v>
      </c>
      <c r="G66" s="25" t="s">
        <v>29</v>
      </c>
      <c r="H66" s="25" t="s">
        <v>443</v>
      </c>
      <c r="I66" s="25" t="s">
        <v>295</v>
      </c>
      <c r="J66" s="25" t="s">
        <v>296</v>
      </c>
      <c r="K66" s="25" t="s">
        <v>33</v>
      </c>
      <c r="L66" s="25" t="s">
        <v>34</v>
      </c>
      <c r="M66" s="25">
        <v>7</v>
      </c>
      <c r="N66" s="25">
        <v>2200</v>
      </c>
      <c r="O66" s="25">
        <v>15</v>
      </c>
      <c r="P66" s="25">
        <v>13090</v>
      </c>
      <c r="Q66" s="25">
        <v>5</v>
      </c>
      <c r="R66" s="25" t="s">
        <v>89</v>
      </c>
      <c r="S66" s="25" t="s">
        <v>116</v>
      </c>
      <c r="T66" s="25" t="s">
        <v>145</v>
      </c>
      <c r="U66" s="25" t="s">
        <v>444</v>
      </c>
      <c r="V66" s="25" t="s">
        <v>39</v>
      </c>
      <c r="W66" s="26">
        <v>46023</v>
      </c>
    </row>
    <row r="67" spans="1:23" ht="15.75" customHeight="1">
      <c r="A67" s="25" t="s">
        <v>445</v>
      </c>
      <c r="B67" s="25" t="s">
        <v>24</v>
      </c>
      <c r="C67" s="25" t="s">
        <v>260</v>
      </c>
      <c r="D67" s="25" t="s">
        <v>446</v>
      </c>
      <c r="E67" s="25" t="s">
        <v>447</v>
      </c>
      <c r="F67" s="25" t="s">
        <v>28</v>
      </c>
      <c r="G67" s="25" t="s">
        <v>29</v>
      </c>
      <c r="H67" s="25" t="s">
        <v>448</v>
      </c>
      <c r="I67" s="25" t="s">
        <v>45</v>
      </c>
      <c r="J67" s="25" t="s">
        <v>46</v>
      </c>
      <c r="K67" s="25" t="s">
        <v>123</v>
      </c>
      <c r="L67" s="25" t="s">
        <v>264</v>
      </c>
      <c r="M67" s="25">
        <v>19</v>
      </c>
      <c r="N67" s="25">
        <v>45</v>
      </c>
      <c r="O67" s="25">
        <v>10</v>
      </c>
      <c r="P67" s="25">
        <v>769.5</v>
      </c>
      <c r="Q67" s="25">
        <v>5</v>
      </c>
      <c r="R67" s="25" t="s">
        <v>80</v>
      </c>
      <c r="S67" s="25" t="s">
        <v>116</v>
      </c>
      <c r="T67" s="25" t="s">
        <v>51</v>
      </c>
      <c r="U67" s="25" t="s">
        <v>449</v>
      </c>
      <c r="V67" s="25" t="s">
        <v>70</v>
      </c>
      <c r="W67" s="26">
        <v>45901</v>
      </c>
    </row>
    <row r="68" spans="1:23" ht="15.75" customHeight="1">
      <c r="A68" s="25" t="s">
        <v>450</v>
      </c>
      <c r="B68" s="25" t="s">
        <v>252</v>
      </c>
      <c r="C68" s="25" t="s">
        <v>93</v>
      </c>
      <c r="D68" s="25" t="s">
        <v>451</v>
      </c>
      <c r="E68" s="25" t="s">
        <v>324</v>
      </c>
      <c r="F68" s="25" t="s">
        <v>255</v>
      </c>
      <c r="G68" s="25" t="s">
        <v>29</v>
      </c>
      <c r="H68" s="25" t="s">
        <v>452</v>
      </c>
      <c r="I68" s="25" t="s">
        <v>31</v>
      </c>
      <c r="J68" s="25" t="s">
        <v>32</v>
      </c>
      <c r="K68" s="25" t="s">
        <v>33</v>
      </c>
      <c r="L68" s="25" t="s">
        <v>98</v>
      </c>
      <c r="M68" s="25">
        <v>7</v>
      </c>
      <c r="N68" s="25">
        <v>3500</v>
      </c>
      <c r="O68" s="25">
        <v>15</v>
      </c>
      <c r="P68" s="25">
        <v>20825</v>
      </c>
      <c r="Q68" s="25">
        <v>1</v>
      </c>
      <c r="R68" s="25" t="s">
        <v>35</v>
      </c>
      <c r="S68" s="25" t="s">
        <v>152</v>
      </c>
      <c r="T68" s="25" t="s">
        <v>257</v>
      </c>
      <c r="U68" s="25" t="s">
        <v>453</v>
      </c>
      <c r="V68" s="25" t="s">
        <v>65</v>
      </c>
      <c r="W68" s="26">
        <v>46054</v>
      </c>
    </row>
    <row r="69" spans="1:23" ht="15.75" customHeight="1">
      <c r="A69" s="25" t="s">
        <v>454</v>
      </c>
      <c r="B69" s="25" t="s">
        <v>54</v>
      </c>
      <c r="C69" s="25" t="s">
        <v>170</v>
      </c>
      <c r="D69" s="25" t="s">
        <v>455</v>
      </c>
      <c r="E69" s="25" t="s">
        <v>456</v>
      </c>
      <c r="F69" s="25" t="s">
        <v>164</v>
      </c>
      <c r="G69" s="25" t="s">
        <v>29</v>
      </c>
      <c r="H69" s="25" t="s">
        <v>457</v>
      </c>
      <c r="I69" s="25" t="s">
        <v>213</v>
      </c>
      <c r="J69" s="25" t="s">
        <v>46</v>
      </c>
      <c r="K69" s="25" t="s">
        <v>33</v>
      </c>
      <c r="L69" s="25" t="s">
        <v>175</v>
      </c>
      <c r="M69" s="25">
        <v>7</v>
      </c>
      <c r="N69" s="25">
        <v>8500</v>
      </c>
      <c r="O69" s="25">
        <v>20</v>
      </c>
      <c r="P69" s="25">
        <v>47600</v>
      </c>
      <c r="Q69" s="25">
        <v>4</v>
      </c>
      <c r="R69" s="25" t="s">
        <v>49</v>
      </c>
      <c r="S69" s="25" t="s">
        <v>116</v>
      </c>
      <c r="T69" s="25" t="s">
        <v>63</v>
      </c>
      <c r="U69" s="25" t="s">
        <v>458</v>
      </c>
      <c r="V69" s="25" t="s">
        <v>39</v>
      </c>
      <c r="W69" s="26">
        <v>45992</v>
      </c>
    </row>
    <row r="70" spans="1:23" ht="15.75" customHeight="1">
      <c r="A70" s="25" t="s">
        <v>459</v>
      </c>
      <c r="B70" s="25" t="s">
        <v>24</v>
      </c>
      <c r="C70" s="25" t="s">
        <v>55</v>
      </c>
      <c r="D70" s="25" t="s">
        <v>367</v>
      </c>
      <c r="E70" s="25" t="s">
        <v>460</v>
      </c>
      <c r="F70" s="25" t="s">
        <v>28</v>
      </c>
      <c r="G70" s="25" t="s">
        <v>29</v>
      </c>
      <c r="H70" s="25" t="s">
        <v>461</v>
      </c>
      <c r="I70" s="25" t="s">
        <v>60</v>
      </c>
      <c r="J70" s="25" t="s">
        <v>32</v>
      </c>
      <c r="K70" s="25" t="s">
        <v>47</v>
      </c>
      <c r="L70" s="25" t="s">
        <v>61</v>
      </c>
      <c r="M70" s="25">
        <v>16</v>
      </c>
      <c r="N70" s="25">
        <v>55000</v>
      </c>
      <c r="O70" s="25">
        <v>10</v>
      </c>
      <c r="P70" s="25">
        <v>792000</v>
      </c>
      <c r="Q70" s="25">
        <v>1</v>
      </c>
      <c r="R70" s="25" t="s">
        <v>80</v>
      </c>
      <c r="S70" s="25" t="s">
        <v>62</v>
      </c>
      <c r="T70" s="25" t="s">
        <v>51</v>
      </c>
      <c r="U70" s="25" t="s">
        <v>462</v>
      </c>
      <c r="V70" s="25" t="s">
        <v>39</v>
      </c>
      <c r="W70" s="26">
        <v>45748</v>
      </c>
    </row>
    <row r="71" spans="1:23" ht="15.75" customHeight="1">
      <c r="A71" s="25" t="s">
        <v>463</v>
      </c>
      <c r="B71" s="25" t="s">
        <v>169</v>
      </c>
      <c r="C71" s="25" t="s">
        <v>41</v>
      </c>
      <c r="D71" s="25" t="s">
        <v>464</v>
      </c>
      <c r="E71" s="25" t="s">
        <v>465</v>
      </c>
      <c r="F71" s="25" t="s">
        <v>362</v>
      </c>
      <c r="G71" s="25" t="s">
        <v>29</v>
      </c>
      <c r="H71" s="25" t="s">
        <v>466</v>
      </c>
      <c r="I71" s="25" t="s">
        <v>106</v>
      </c>
      <c r="J71" s="25" t="s">
        <v>107</v>
      </c>
      <c r="K71" s="25" t="s">
        <v>47</v>
      </c>
      <c r="L71" s="25" t="s">
        <v>48</v>
      </c>
      <c r="M71" s="25">
        <v>2</v>
      </c>
      <c r="N71" s="25">
        <v>12000</v>
      </c>
      <c r="O71" s="25">
        <v>20</v>
      </c>
      <c r="P71" s="25">
        <v>19200</v>
      </c>
      <c r="Q71" s="25">
        <v>1</v>
      </c>
      <c r="R71" s="25" t="s">
        <v>35</v>
      </c>
      <c r="S71" s="25" t="s">
        <v>152</v>
      </c>
      <c r="T71" s="25" t="s">
        <v>467</v>
      </c>
      <c r="U71" s="25" t="s">
        <v>468</v>
      </c>
      <c r="V71" s="25" t="s">
        <v>65</v>
      </c>
      <c r="W71" s="26">
        <v>45992</v>
      </c>
    </row>
    <row r="72" spans="1:23" ht="15.75" customHeight="1">
      <c r="A72" s="25" t="s">
        <v>469</v>
      </c>
      <c r="B72" s="25" t="s">
        <v>128</v>
      </c>
      <c r="C72" s="25" t="s">
        <v>260</v>
      </c>
      <c r="D72" s="25" t="s">
        <v>470</v>
      </c>
      <c r="E72" s="25" t="s">
        <v>447</v>
      </c>
      <c r="F72" s="25" t="s">
        <v>201</v>
      </c>
      <c r="G72" s="25" t="s">
        <v>77</v>
      </c>
      <c r="H72" s="25" t="s">
        <v>471</v>
      </c>
      <c r="I72" s="25" t="s">
        <v>60</v>
      </c>
      <c r="J72" s="25" t="s">
        <v>32</v>
      </c>
      <c r="K72" s="25" t="s">
        <v>123</v>
      </c>
      <c r="L72" s="25" t="s">
        <v>264</v>
      </c>
      <c r="M72" s="25">
        <v>4</v>
      </c>
      <c r="N72" s="25">
        <v>45</v>
      </c>
      <c r="O72" s="25">
        <v>5</v>
      </c>
      <c r="P72" s="25">
        <v>171</v>
      </c>
      <c r="Q72" s="25">
        <v>1</v>
      </c>
      <c r="R72" s="25" t="s">
        <v>80</v>
      </c>
      <c r="S72" s="25" t="s">
        <v>50</v>
      </c>
      <c r="T72" s="25" t="s">
        <v>133</v>
      </c>
      <c r="U72" s="25" t="s">
        <v>472</v>
      </c>
      <c r="V72" s="25" t="s">
        <v>65</v>
      </c>
      <c r="W72" s="26">
        <v>45870</v>
      </c>
    </row>
    <row r="73" spans="1:23" ht="15.75" customHeight="1">
      <c r="A73" s="25" t="s">
        <v>473</v>
      </c>
      <c r="B73" s="25" t="s">
        <v>24</v>
      </c>
      <c r="C73" s="25" t="s">
        <v>73</v>
      </c>
      <c r="D73" s="25" t="s">
        <v>474</v>
      </c>
      <c r="E73" s="25" t="s">
        <v>475</v>
      </c>
      <c r="F73" s="25" t="s">
        <v>28</v>
      </c>
      <c r="G73" s="25" t="s">
        <v>29</v>
      </c>
      <c r="H73" s="25" t="s">
        <v>476</v>
      </c>
      <c r="I73" s="25" t="s">
        <v>213</v>
      </c>
      <c r="J73" s="25" t="s">
        <v>46</v>
      </c>
      <c r="K73" s="25" t="s">
        <v>47</v>
      </c>
      <c r="L73" s="25" t="s">
        <v>79</v>
      </c>
      <c r="M73" s="25">
        <v>1</v>
      </c>
      <c r="N73" s="25">
        <v>1200</v>
      </c>
      <c r="O73" s="25">
        <v>5</v>
      </c>
      <c r="P73" s="25">
        <v>1140</v>
      </c>
      <c r="Q73" s="25">
        <v>3</v>
      </c>
      <c r="R73" s="25" t="s">
        <v>89</v>
      </c>
      <c r="S73" s="25" t="s">
        <v>62</v>
      </c>
      <c r="T73" s="25" t="s">
        <v>51</v>
      </c>
      <c r="U73" s="25" t="s">
        <v>477</v>
      </c>
      <c r="V73" s="25" t="s">
        <v>70</v>
      </c>
      <c r="W73" s="26">
        <v>45992</v>
      </c>
    </row>
    <row r="74" spans="1:23" ht="15.75" customHeight="1">
      <c r="A74" s="25" t="s">
        <v>478</v>
      </c>
      <c r="B74" s="25" t="s">
        <v>54</v>
      </c>
      <c r="C74" s="25" t="s">
        <v>25</v>
      </c>
      <c r="D74" s="25" t="s">
        <v>479</v>
      </c>
      <c r="E74" s="25" t="s">
        <v>480</v>
      </c>
      <c r="F74" s="25" t="s">
        <v>164</v>
      </c>
      <c r="G74" s="25" t="s">
        <v>29</v>
      </c>
      <c r="H74" s="25" t="s">
        <v>481</v>
      </c>
      <c r="I74" s="25"/>
      <c r="J74" s="25" t="s">
        <v>32</v>
      </c>
      <c r="K74" s="25" t="s">
        <v>33</v>
      </c>
      <c r="L74" s="25" t="s">
        <v>34</v>
      </c>
      <c r="M74" s="25">
        <v>1</v>
      </c>
      <c r="N74" s="25">
        <v>2200</v>
      </c>
      <c r="O74" s="25">
        <v>15</v>
      </c>
      <c r="P74" s="25">
        <v>1870</v>
      </c>
      <c r="Q74" s="25">
        <v>4</v>
      </c>
      <c r="R74" s="25" t="s">
        <v>80</v>
      </c>
      <c r="S74" s="25" t="s">
        <v>62</v>
      </c>
      <c r="T74" s="25" t="s">
        <v>63</v>
      </c>
      <c r="U74" s="25" t="s">
        <v>482</v>
      </c>
      <c r="V74" s="25" t="s">
        <v>39</v>
      </c>
      <c r="W74" s="26">
        <v>46054</v>
      </c>
    </row>
    <row r="75" spans="1:23" ht="15.75" customHeight="1">
      <c r="A75" s="25" t="s">
        <v>483</v>
      </c>
      <c r="B75" s="25" t="s">
        <v>128</v>
      </c>
      <c r="C75" s="25" t="s">
        <v>73</v>
      </c>
      <c r="D75" s="25" t="s">
        <v>484</v>
      </c>
      <c r="E75" s="25" t="s">
        <v>485</v>
      </c>
      <c r="F75" s="25" t="s">
        <v>201</v>
      </c>
      <c r="G75" s="25" t="s">
        <v>77</v>
      </c>
      <c r="H75" s="25" t="s">
        <v>486</v>
      </c>
      <c r="I75" s="25" t="s">
        <v>115</v>
      </c>
      <c r="J75" s="25" t="s">
        <v>107</v>
      </c>
      <c r="K75" s="25" t="s">
        <v>47</v>
      </c>
      <c r="L75" s="25" t="s">
        <v>79</v>
      </c>
      <c r="M75" s="25">
        <v>3</v>
      </c>
      <c r="N75" s="25">
        <v>1200</v>
      </c>
      <c r="O75" s="25">
        <v>10</v>
      </c>
      <c r="P75" s="25">
        <v>3240</v>
      </c>
      <c r="Q75" s="25">
        <v>5</v>
      </c>
      <c r="R75" s="25" t="s">
        <v>35</v>
      </c>
      <c r="S75" s="25" t="s">
        <v>50</v>
      </c>
      <c r="T75" s="25" t="s">
        <v>133</v>
      </c>
      <c r="U75" s="25" t="s">
        <v>487</v>
      </c>
      <c r="V75" s="25" t="s">
        <v>39</v>
      </c>
      <c r="W75" s="26">
        <v>46023</v>
      </c>
    </row>
    <row r="76" spans="1:23" ht="15.75" customHeight="1">
      <c r="A76" s="25" t="s">
        <v>488</v>
      </c>
      <c r="B76" s="25" t="s">
        <v>24</v>
      </c>
      <c r="C76" s="25" t="s">
        <v>93</v>
      </c>
      <c r="D76" s="25" t="s">
        <v>489</v>
      </c>
      <c r="E76" s="25" t="s">
        <v>490</v>
      </c>
      <c r="F76" s="25" t="s">
        <v>28</v>
      </c>
      <c r="G76" s="25" t="s">
        <v>29</v>
      </c>
      <c r="H76" s="25" t="s">
        <v>491</v>
      </c>
      <c r="I76" s="25" t="s">
        <v>60</v>
      </c>
      <c r="J76" s="25" t="s">
        <v>32</v>
      </c>
      <c r="K76" s="25" t="s">
        <v>33</v>
      </c>
      <c r="L76" s="25" t="s">
        <v>98</v>
      </c>
      <c r="M76" s="25">
        <v>10</v>
      </c>
      <c r="N76" s="25">
        <v>3500</v>
      </c>
      <c r="O76" s="25">
        <v>20</v>
      </c>
      <c r="P76" s="25">
        <v>28000</v>
      </c>
      <c r="Q76" s="25">
        <v>5</v>
      </c>
      <c r="R76" s="25" t="s">
        <v>80</v>
      </c>
      <c r="S76" s="25" t="s">
        <v>36</v>
      </c>
      <c r="T76" s="25" t="s">
        <v>51</v>
      </c>
      <c r="U76" s="25" t="s">
        <v>492</v>
      </c>
      <c r="V76" s="25" t="s">
        <v>39</v>
      </c>
      <c r="W76" s="26">
        <v>45809</v>
      </c>
    </row>
    <row r="77" spans="1:23" ht="15.75" customHeight="1">
      <c r="A77" s="25" t="s">
        <v>493</v>
      </c>
      <c r="B77" s="25" t="s">
        <v>84</v>
      </c>
      <c r="C77" s="25" t="s">
        <v>185</v>
      </c>
      <c r="D77" s="25" t="s">
        <v>494</v>
      </c>
      <c r="E77" s="25" t="s">
        <v>405</v>
      </c>
      <c r="F77" s="25" t="s">
        <v>181</v>
      </c>
      <c r="G77" s="25" t="s">
        <v>77</v>
      </c>
      <c r="H77" s="25" t="s">
        <v>495</v>
      </c>
      <c r="I77" s="25" t="s">
        <v>45</v>
      </c>
      <c r="J77" s="25" t="s">
        <v>46</v>
      </c>
      <c r="K77" s="25" t="s">
        <v>47</v>
      </c>
      <c r="L77" s="25" t="s">
        <v>190</v>
      </c>
      <c r="M77" s="25">
        <v>18</v>
      </c>
      <c r="N77" s="25">
        <v>700</v>
      </c>
      <c r="O77" s="25">
        <v>5</v>
      </c>
      <c r="P77" s="25">
        <v>11970</v>
      </c>
      <c r="Q77" s="25">
        <v>3</v>
      </c>
      <c r="R77" s="25" t="s">
        <v>80</v>
      </c>
      <c r="S77" s="25" t="s">
        <v>116</v>
      </c>
      <c r="T77" s="25" t="s">
        <v>90</v>
      </c>
      <c r="U77" s="25" t="s">
        <v>496</v>
      </c>
      <c r="V77" s="25" t="s">
        <v>70</v>
      </c>
      <c r="W77" s="26">
        <v>46082</v>
      </c>
    </row>
    <row r="78" spans="1:23" ht="15.75" customHeight="1">
      <c r="A78" s="25" t="s">
        <v>497</v>
      </c>
      <c r="B78" s="25" t="s">
        <v>222</v>
      </c>
      <c r="C78" s="25" t="s">
        <v>185</v>
      </c>
      <c r="D78" s="25" t="s">
        <v>498</v>
      </c>
      <c r="E78" s="25" t="s">
        <v>499</v>
      </c>
      <c r="F78" s="25" t="s">
        <v>226</v>
      </c>
      <c r="G78" s="25" t="s">
        <v>77</v>
      </c>
      <c r="H78" s="25" t="s">
        <v>500</v>
      </c>
      <c r="I78" s="25" t="s">
        <v>60</v>
      </c>
      <c r="J78" s="25" t="s">
        <v>32</v>
      </c>
      <c r="K78" s="25" t="s">
        <v>47</v>
      </c>
      <c r="L78" s="25" t="s">
        <v>190</v>
      </c>
      <c r="M78" s="25">
        <v>12</v>
      </c>
      <c r="N78" s="25">
        <v>700</v>
      </c>
      <c r="O78" s="25">
        <v>15</v>
      </c>
      <c r="P78" s="25">
        <v>7140</v>
      </c>
      <c r="Q78" s="25">
        <v>2</v>
      </c>
      <c r="R78" s="25" t="s">
        <v>89</v>
      </c>
      <c r="S78" s="25" t="s">
        <v>50</v>
      </c>
      <c r="T78" s="25" t="s">
        <v>229</v>
      </c>
      <c r="U78" s="25" t="s">
        <v>501</v>
      </c>
      <c r="V78" s="25" t="s">
        <v>39</v>
      </c>
      <c r="W78" s="26">
        <v>45809</v>
      </c>
    </row>
    <row r="79" spans="1:23" ht="15.75" customHeight="1">
      <c r="A79" s="25" t="s">
        <v>502</v>
      </c>
      <c r="B79" s="25" t="s">
        <v>72</v>
      </c>
      <c r="C79" s="25" t="s">
        <v>73</v>
      </c>
      <c r="D79" s="25" t="s">
        <v>503</v>
      </c>
      <c r="E79" s="25" t="s">
        <v>504</v>
      </c>
      <c r="F79" s="25" t="s">
        <v>218</v>
      </c>
      <c r="G79" s="25" t="s">
        <v>77</v>
      </c>
      <c r="H79" s="25" t="s">
        <v>505</v>
      </c>
      <c r="I79" s="25" t="s">
        <v>106</v>
      </c>
      <c r="J79" s="25" t="s">
        <v>107</v>
      </c>
      <c r="K79" s="25" t="s">
        <v>47</v>
      </c>
      <c r="L79" s="25" t="s">
        <v>79</v>
      </c>
      <c r="M79" s="25">
        <v>8</v>
      </c>
      <c r="N79" s="25">
        <v>1200</v>
      </c>
      <c r="O79" s="25">
        <v>0</v>
      </c>
      <c r="P79" s="25">
        <v>9600</v>
      </c>
      <c r="Q79" s="25">
        <v>4</v>
      </c>
      <c r="R79" s="25" t="s">
        <v>80</v>
      </c>
      <c r="S79" s="25" t="s">
        <v>50</v>
      </c>
      <c r="T79" s="25" t="s">
        <v>81</v>
      </c>
      <c r="U79" s="25" t="s">
        <v>506</v>
      </c>
      <c r="V79" s="25" t="s">
        <v>65</v>
      </c>
      <c r="W79" s="26">
        <v>45962</v>
      </c>
    </row>
    <row r="80" spans="1:23" ht="15.75" customHeight="1">
      <c r="A80" s="25" t="s">
        <v>507</v>
      </c>
      <c r="B80" s="25" t="s">
        <v>128</v>
      </c>
      <c r="C80" s="25" t="s">
        <v>119</v>
      </c>
      <c r="D80" s="25" t="s">
        <v>508</v>
      </c>
      <c r="E80" s="25" t="s">
        <v>509</v>
      </c>
      <c r="F80" s="25" t="s">
        <v>201</v>
      </c>
      <c r="G80" s="25" t="s">
        <v>77</v>
      </c>
      <c r="H80" s="25" t="s">
        <v>510</v>
      </c>
      <c r="I80" s="25" t="s">
        <v>115</v>
      </c>
      <c r="J80" s="25" t="s">
        <v>107</v>
      </c>
      <c r="K80" s="25" t="s">
        <v>123</v>
      </c>
      <c r="L80" s="25" t="s">
        <v>124</v>
      </c>
      <c r="M80" s="25">
        <v>2</v>
      </c>
      <c r="N80" s="25">
        <v>60</v>
      </c>
      <c r="O80" s="25">
        <v>0</v>
      </c>
      <c r="P80" s="25">
        <v>120</v>
      </c>
      <c r="Q80" s="25">
        <v>2</v>
      </c>
      <c r="R80" s="25" t="s">
        <v>89</v>
      </c>
      <c r="S80" s="25" t="s">
        <v>50</v>
      </c>
      <c r="T80" s="25" t="s">
        <v>133</v>
      </c>
      <c r="U80" s="25" t="s">
        <v>511</v>
      </c>
      <c r="V80" s="25" t="s">
        <v>39</v>
      </c>
      <c r="W80" s="26">
        <v>45962</v>
      </c>
    </row>
    <row r="81" spans="1:23" ht="15.75" customHeight="1">
      <c r="A81" s="25" t="s">
        <v>512</v>
      </c>
      <c r="B81" s="25" t="s">
        <v>328</v>
      </c>
      <c r="C81" s="25" t="s">
        <v>260</v>
      </c>
      <c r="D81" s="25" t="s">
        <v>513</v>
      </c>
      <c r="E81" s="25" t="s">
        <v>514</v>
      </c>
      <c r="F81" s="25" t="s">
        <v>395</v>
      </c>
      <c r="G81" s="25" t="s">
        <v>77</v>
      </c>
      <c r="H81" s="25" t="s">
        <v>515</v>
      </c>
      <c r="I81" s="25" t="s">
        <v>115</v>
      </c>
      <c r="J81" s="25" t="s">
        <v>107</v>
      </c>
      <c r="K81" s="25" t="s">
        <v>123</v>
      </c>
      <c r="L81" s="25" t="s">
        <v>264</v>
      </c>
      <c r="M81" s="25">
        <v>10</v>
      </c>
      <c r="N81" s="25">
        <v>45</v>
      </c>
      <c r="O81" s="25">
        <v>15</v>
      </c>
      <c r="P81" s="25">
        <v>382.5</v>
      </c>
      <c r="Q81" s="25">
        <v>3</v>
      </c>
      <c r="R81" s="25" t="s">
        <v>49</v>
      </c>
      <c r="S81" s="25" t="s">
        <v>36</v>
      </c>
      <c r="T81" s="25" t="s">
        <v>333</v>
      </c>
      <c r="U81" s="25" t="s">
        <v>516</v>
      </c>
      <c r="V81" s="25" t="s">
        <v>70</v>
      </c>
      <c r="W81" s="26">
        <v>45658</v>
      </c>
    </row>
    <row r="82" spans="1:23" ht="15.75" customHeight="1">
      <c r="A82" s="25" t="s">
        <v>517</v>
      </c>
      <c r="B82" s="25" t="s">
        <v>222</v>
      </c>
      <c r="C82" s="25" t="s">
        <v>93</v>
      </c>
      <c r="D82" s="25" t="s">
        <v>518</v>
      </c>
      <c r="E82" s="25" t="s">
        <v>519</v>
      </c>
      <c r="F82" s="25" t="s">
        <v>226</v>
      </c>
      <c r="G82" s="25" t="s">
        <v>77</v>
      </c>
      <c r="H82" s="25" t="s">
        <v>520</v>
      </c>
      <c r="I82" s="25" t="s">
        <v>295</v>
      </c>
      <c r="J82" s="25" t="s">
        <v>296</v>
      </c>
      <c r="K82" s="25" t="s">
        <v>33</v>
      </c>
      <c r="L82" s="25" t="s">
        <v>98</v>
      </c>
      <c r="M82" s="25">
        <v>12</v>
      </c>
      <c r="N82" s="25">
        <v>3500</v>
      </c>
      <c r="O82" s="25">
        <v>5</v>
      </c>
      <c r="P82" s="25">
        <v>39900</v>
      </c>
      <c r="Q82" s="25">
        <v>3</v>
      </c>
      <c r="R82" s="25" t="s">
        <v>49</v>
      </c>
      <c r="S82" s="25" t="s">
        <v>62</v>
      </c>
      <c r="T82" s="25" t="s">
        <v>229</v>
      </c>
      <c r="U82" s="25" t="s">
        <v>521</v>
      </c>
      <c r="V82" s="25" t="s">
        <v>65</v>
      </c>
      <c r="W82" s="26">
        <v>46113</v>
      </c>
    </row>
    <row r="83" spans="1:23" ht="15.75" customHeight="1">
      <c r="A83" s="25" t="s">
        <v>522</v>
      </c>
      <c r="B83" s="25" t="s">
        <v>128</v>
      </c>
      <c r="C83" s="25" t="s">
        <v>119</v>
      </c>
      <c r="D83" s="25" t="s">
        <v>129</v>
      </c>
      <c r="E83" s="25" t="s">
        <v>74</v>
      </c>
      <c r="F83" s="25" t="s">
        <v>201</v>
      </c>
      <c r="G83" s="25" t="s">
        <v>77</v>
      </c>
      <c r="H83" s="25" t="s">
        <v>523</v>
      </c>
      <c r="I83" s="25" t="s">
        <v>106</v>
      </c>
      <c r="J83" s="25" t="s">
        <v>107</v>
      </c>
      <c r="K83" s="25" t="s">
        <v>123</v>
      </c>
      <c r="L83" s="25" t="s">
        <v>124</v>
      </c>
      <c r="M83" s="25">
        <v>2</v>
      </c>
      <c r="N83" s="25">
        <v>60</v>
      </c>
      <c r="O83" s="25">
        <v>15</v>
      </c>
      <c r="P83" s="25">
        <v>102</v>
      </c>
      <c r="Q83" s="25">
        <v>1</v>
      </c>
      <c r="R83" s="25" t="s">
        <v>89</v>
      </c>
      <c r="S83" s="25" t="s">
        <v>116</v>
      </c>
      <c r="T83" s="25" t="s">
        <v>133</v>
      </c>
      <c r="U83" s="25" t="s">
        <v>524</v>
      </c>
      <c r="V83" s="25" t="s">
        <v>39</v>
      </c>
      <c r="W83" s="26">
        <v>45901</v>
      </c>
    </row>
    <row r="84" spans="1:23" ht="15.75" customHeight="1">
      <c r="A84" s="25" t="s">
        <v>525</v>
      </c>
      <c r="B84" s="25" t="s">
        <v>128</v>
      </c>
      <c r="C84" s="25" t="s">
        <v>73</v>
      </c>
      <c r="D84" s="25" t="s">
        <v>526</v>
      </c>
      <c r="E84" s="25" t="s">
        <v>527</v>
      </c>
      <c r="F84" s="25" t="s">
        <v>201</v>
      </c>
      <c r="G84" s="25" t="s">
        <v>77</v>
      </c>
      <c r="H84" s="25" t="s">
        <v>528</v>
      </c>
      <c r="I84" s="25" t="s">
        <v>31</v>
      </c>
      <c r="J84" s="25" t="s">
        <v>32</v>
      </c>
      <c r="K84" s="25" t="s">
        <v>47</v>
      </c>
      <c r="L84" s="25" t="s">
        <v>79</v>
      </c>
      <c r="M84" s="25">
        <v>18</v>
      </c>
      <c r="N84" s="25">
        <v>1200</v>
      </c>
      <c r="O84" s="25">
        <v>15</v>
      </c>
      <c r="P84" s="25">
        <v>18360</v>
      </c>
      <c r="Q84" s="25">
        <v>3</v>
      </c>
      <c r="R84" s="25" t="s">
        <v>80</v>
      </c>
      <c r="S84" s="25" t="s">
        <v>116</v>
      </c>
      <c r="T84" s="25" t="s">
        <v>133</v>
      </c>
      <c r="U84" s="25" t="s">
        <v>529</v>
      </c>
      <c r="V84" s="25" t="s">
        <v>65</v>
      </c>
      <c r="W84" s="26">
        <v>45717</v>
      </c>
    </row>
    <row r="85" spans="1:23" ht="15.75" customHeight="1">
      <c r="A85" s="25" t="s">
        <v>530</v>
      </c>
      <c r="B85" s="25" t="s">
        <v>24</v>
      </c>
      <c r="C85" s="25" t="s">
        <v>41</v>
      </c>
      <c r="D85" s="25" t="s">
        <v>531</v>
      </c>
      <c r="E85" s="25" t="s">
        <v>532</v>
      </c>
      <c r="F85" s="25" t="s">
        <v>28</v>
      </c>
      <c r="G85" s="25" t="s">
        <v>29</v>
      </c>
      <c r="H85" s="25" t="s">
        <v>533</v>
      </c>
      <c r="I85" s="25" t="s">
        <v>106</v>
      </c>
      <c r="J85" s="25" t="s">
        <v>107</v>
      </c>
      <c r="K85" s="25" t="s">
        <v>47</v>
      </c>
      <c r="L85" s="25" t="s">
        <v>48</v>
      </c>
      <c r="M85" s="25">
        <v>18</v>
      </c>
      <c r="N85" s="25">
        <v>12000</v>
      </c>
      <c r="O85" s="25">
        <v>15</v>
      </c>
      <c r="P85" s="25">
        <v>183600</v>
      </c>
      <c r="Q85" s="25">
        <v>2</v>
      </c>
      <c r="R85" s="25" t="s">
        <v>35</v>
      </c>
      <c r="S85" s="25" t="s">
        <v>50</v>
      </c>
      <c r="T85" s="25" t="s">
        <v>51</v>
      </c>
      <c r="U85" s="25" t="s">
        <v>534</v>
      </c>
      <c r="V85" s="25" t="s">
        <v>39</v>
      </c>
      <c r="W85" s="26">
        <v>45931</v>
      </c>
    </row>
    <row r="86" spans="1:23" ht="15.75" customHeight="1">
      <c r="A86" s="25" t="s">
        <v>535</v>
      </c>
      <c r="B86" s="25" t="s">
        <v>84</v>
      </c>
      <c r="C86" s="25" t="s">
        <v>223</v>
      </c>
      <c r="D86" s="25" t="s">
        <v>532</v>
      </c>
      <c r="E86" s="25" t="s">
        <v>536</v>
      </c>
      <c r="F86" s="25" t="s">
        <v>181</v>
      </c>
      <c r="G86" s="25" t="s">
        <v>77</v>
      </c>
      <c r="H86" s="25" t="s">
        <v>537</v>
      </c>
      <c r="I86" s="25" t="s">
        <v>139</v>
      </c>
      <c r="J86" s="25" t="s">
        <v>107</v>
      </c>
      <c r="K86" s="25" t="s">
        <v>123</v>
      </c>
      <c r="L86" s="25" t="s">
        <v>228</v>
      </c>
      <c r="M86" s="25">
        <v>7</v>
      </c>
      <c r="N86" s="25">
        <v>20</v>
      </c>
      <c r="O86" s="25">
        <v>0</v>
      </c>
      <c r="P86" s="25">
        <v>140</v>
      </c>
      <c r="Q86" s="25">
        <v>2</v>
      </c>
      <c r="R86" s="25" t="s">
        <v>80</v>
      </c>
      <c r="S86" s="25" t="s">
        <v>36</v>
      </c>
      <c r="T86" s="25" t="s">
        <v>90</v>
      </c>
      <c r="U86" s="25" t="s">
        <v>538</v>
      </c>
      <c r="V86" s="25" t="s">
        <v>70</v>
      </c>
      <c r="W86" s="26">
        <v>45931</v>
      </c>
    </row>
    <row r="87" spans="1:23" ht="15.75" customHeight="1">
      <c r="A87" s="25" t="s">
        <v>539</v>
      </c>
      <c r="B87" s="25" t="s">
        <v>252</v>
      </c>
      <c r="C87" s="25" t="s">
        <v>93</v>
      </c>
      <c r="D87" s="25" t="s">
        <v>460</v>
      </c>
      <c r="E87" s="25" t="s">
        <v>540</v>
      </c>
      <c r="F87" s="25" t="s">
        <v>255</v>
      </c>
      <c r="G87" s="25" t="s">
        <v>29</v>
      </c>
      <c r="H87" s="25" t="s">
        <v>541</v>
      </c>
      <c r="I87" s="25" t="s">
        <v>115</v>
      </c>
      <c r="J87" s="25" t="s">
        <v>107</v>
      </c>
      <c r="K87" s="25" t="s">
        <v>33</v>
      </c>
      <c r="L87" s="25" t="s">
        <v>98</v>
      </c>
      <c r="M87" s="25">
        <v>20</v>
      </c>
      <c r="N87" s="25">
        <v>3500</v>
      </c>
      <c r="O87" s="25">
        <v>20</v>
      </c>
      <c r="P87" s="25">
        <v>56000</v>
      </c>
      <c r="Q87" s="25">
        <v>4</v>
      </c>
      <c r="R87" s="25" t="s">
        <v>80</v>
      </c>
      <c r="S87" s="25" t="s">
        <v>116</v>
      </c>
      <c r="T87" s="25" t="s">
        <v>257</v>
      </c>
      <c r="U87" s="25" t="s">
        <v>542</v>
      </c>
      <c r="V87" s="25" t="s">
        <v>65</v>
      </c>
      <c r="W87" s="26">
        <v>45748</v>
      </c>
    </row>
    <row r="88" spans="1:23" ht="15.75" customHeight="1">
      <c r="A88" s="25" t="s">
        <v>543</v>
      </c>
      <c r="B88" s="25" t="s">
        <v>101</v>
      </c>
      <c r="C88" s="25" t="s">
        <v>170</v>
      </c>
      <c r="D88" s="25" t="s">
        <v>544</v>
      </c>
      <c r="E88" s="25" t="s">
        <v>545</v>
      </c>
      <c r="F88" s="25" t="s">
        <v>104</v>
      </c>
      <c r="G88" s="25" t="s">
        <v>29</v>
      </c>
      <c r="H88" s="25" t="s">
        <v>546</v>
      </c>
      <c r="I88" s="25" t="s">
        <v>139</v>
      </c>
      <c r="J88" s="25" t="s">
        <v>107</v>
      </c>
      <c r="K88" s="25" t="s">
        <v>33</v>
      </c>
      <c r="L88" s="25" t="s">
        <v>175</v>
      </c>
      <c r="M88" s="25">
        <v>8</v>
      </c>
      <c r="N88" s="25">
        <v>8500</v>
      </c>
      <c r="O88" s="25">
        <v>20</v>
      </c>
      <c r="P88" s="25">
        <v>54400</v>
      </c>
      <c r="Q88" s="25">
        <v>3</v>
      </c>
      <c r="R88" s="25" t="s">
        <v>80</v>
      </c>
      <c r="S88" s="25" t="s">
        <v>116</v>
      </c>
      <c r="T88" s="25" t="s">
        <v>145</v>
      </c>
      <c r="U88" s="25" t="s">
        <v>547</v>
      </c>
      <c r="V88" s="25" t="s">
        <v>65</v>
      </c>
      <c r="W88" s="26">
        <v>46082</v>
      </c>
    </row>
    <row r="89" spans="1:23" ht="15.75" customHeight="1">
      <c r="A89" s="25" t="s">
        <v>548</v>
      </c>
      <c r="B89" s="25" t="s">
        <v>328</v>
      </c>
      <c r="C89" s="25" t="s">
        <v>41</v>
      </c>
      <c r="D89" s="25" t="s">
        <v>549</v>
      </c>
      <c r="E89" s="25" t="s">
        <v>550</v>
      </c>
      <c r="F89" s="25" t="s">
        <v>395</v>
      </c>
      <c r="G89" s="25" t="s">
        <v>77</v>
      </c>
      <c r="H89" s="25" t="s">
        <v>551</v>
      </c>
      <c r="I89" s="25" t="s">
        <v>139</v>
      </c>
      <c r="J89" s="25" t="s">
        <v>46</v>
      </c>
      <c r="K89" s="25" t="s">
        <v>47</v>
      </c>
      <c r="L89" s="25" t="s">
        <v>48</v>
      </c>
      <c r="M89" s="25">
        <v>6</v>
      </c>
      <c r="N89" s="25">
        <v>12000</v>
      </c>
      <c r="O89" s="25">
        <v>5</v>
      </c>
      <c r="P89" s="25">
        <v>68400</v>
      </c>
      <c r="Q89" s="25">
        <v>4</v>
      </c>
      <c r="R89" s="25" t="s">
        <v>49</v>
      </c>
      <c r="S89" s="25" t="s">
        <v>36</v>
      </c>
      <c r="T89" s="25" t="s">
        <v>333</v>
      </c>
      <c r="U89" s="25" t="s">
        <v>553</v>
      </c>
      <c r="V89" s="25" t="s">
        <v>39</v>
      </c>
      <c r="W89" s="26">
        <v>45901</v>
      </c>
    </row>
    <row r="90" spans="1:23" ht="15.75" customHeight="1">
      <c r="A90" s="25" t="s">
        <v>554</v>
      </c>
      <c r="B90" s="25" t="s">
        <v>24</v>
      </c>
      <c r="C90" s="25" t="s">
        <v>170</v>
      </c>
      <c r="D90" s="25" t="s">
        <v>555</v>
      </c>
      <c r="E90" s="25" t="s">
        <v>405</v>
      </c>
      <c r="F90" s="25" t="s">
        <v>28</v>
      </c>
      <c r="G90" s="25" t="s">
        <v>29</v>
      </c>
      <c r="H90" s="25" t="s">
        <v>556</v>
      </c>
      <c r="I90" s="25" t="s">
        <v>115</v>
      </c>
      <c r="J90" s="25" t="s">
        <v>107</v>
      </c>
      <c r="K90" s="25" t="s">
        <v>33</v>
      </c>
      <c r="L90" s="25" t="s">
        <v>175</v>
      </c>
      <c r="M90" s="25">
        <v>15</v>
      </c>
      <c r="N90" s="25">
        <v>8500</v>
      </c>
      <c r="O90" s="25">
        <v>0</v>
      </c>
      <c r="P90" s="25">
        <v>127500</v>
      </c>
      <c r="Q90" s="25">
        <v>4</v>
      </c>
      <c r="R90" s="25" t="s">
        <v>49</v>
      </c>
      <c r="S90" s="25" t="s">
        <v>36</v>
      </c>
      <c r="T90" s="25" t="s">
        <v>51</v>
      </c>
      <c r="U90" s="25" t="s">
        <v>557</v>
      </c>
      <c r="V90" s="25" t="s">
        <v>70</v>
      </c>
      <c r="W90" s="26">
        <v>46082</v>
      </c>
    </row>
    <row r="91" spans="1:23" ht="15.75" customHeight="1">
      <c r="A91" s="25" t="s">
        <v>558</v>
      </c>
      <c r="B91" s="25" t="s">
        <v>54</v>
      </c>
      <c r="C91" s="25" t="s">
        <v>73</v>
      </c>
      <c r="D91" s="25" t="s">
        <v>559</v>
      </c>
      <c r="E91" s="25" t="s">
        <v>378</v>
      </c>
      <c r="F91" s="25" t="s">
        <v>164</v>
      </c>
      <c r="G91" s="25" t="s">
        <v>29</v>
      </c>
      <c r="H91" s="25" t="s">
        <v>560</v>
      </c>
      <c r="I91" s="25" t="s">
        <v>213</v>
      </c>
      <c r="J91" s="25" t="s">
        <v>46</v>
      </c>
      <c r="K91" s="25" t="s">
        <v>47</v>
      </c>
      <c r="L91" s="25" t="s">
        <v>79</v>
      </c>
      <c r="M91" s="25">
        <v>5</v>
      </c>
      <c r="N91" s="25">
        <v>1200</v>
      </c>
      <c r="O91" s="25">
        <v>15</v>
      </c>
      <c r="P91" s="25">
        <v>5100</v>
      </c>
      <c r="Q91" s="25">
        <v>1</v>
      </c>
      <c r="R91" s="25" t="s">
        <v>49</v>
      </c>
      <c r="S91" s="25" t="s">
        <v>36</v>
      </c>
      <c r="T91" s="25" t="s">
        <v>63</v>
      </c>
      <c r="U91" s="25" t="s">
        <v>561</v>
      </c>
      <c r="V91" s="25" t="s">
        <v>70</v>
      </c>
      <c r="W91" s="26">
        <v>45870</v>
      </c>
    </row>
    <row r="92" spans="1:23" ht="15.75" customHeight="1">
      <c r="A92" s="25" t="s">
        <v>562</v>
      </c>
      <c r="B92" s="25" t="s">
        <v>54</v>
      </c>
      <c r="C92" s="25" t="s">
        <v>223</v>
      </c>
      <c r="D92" s="25" t="s">
        <v>563</v>
      </c>
      <c r="E92" s="25" t="s">
        <v>564</v>
      </c>
      <c r="F92" s="25" t="s">
        <v>164</v>
      </c>
      <c r="G92" s="25" t="s">
        <v>29</v>
      </c>
      <c r="H92" s="25" t="s">
        <v>565</v>
      </c>
      <c r="I92" s="25" t="s">
        <v>31</v>
      </c>
      <c r="J92" s="25" t="s">
        <v>32</v>
      </c>
      <c r="K92" s="25" t="s">
        <v>123</v>
      </c>
      <c r="L92" s="25" t="s">
        <v>228</v>
      </c>
      <c r="M92" s="25">
        <v>4</v>
      </c>
      <c r="N92" s="25">
        <v>20</v>
      </c>
      <c r="O92" s="25">
        <v>0</v>
      </c>
      <c r="P92" s="25">
        <v>80</v>
      </c>
      <c r="Q92" s="25">
        <v>4</v>
      </c>
      <c r="R92" s="25" t="s">
        <v>49</v>
      </c>
      <c r="S92" s="25" t="s">
        <v>50</v>
      </c>
      <c r="T92" s="25" t="s">
        <v>63</v>
      </c>
      <c r="U92" s="25" t="s">
        <v>566</v>
      </c>
      <c r="V92" s="25" t="s">
        <v>39</v>
      </c>
      <c r="W92" s="26">
        <v>45870</v>
      </c>
    </row>
    <row r="93" spans="1:23" ht="15.75" customHeight="1">
      <c r="A93" s="25" t="s">
        <v>567</v>
      </c>
      <c r="B93" s="25" t="s">
        <v>24</v>
      </c>
      <c r="C93" s="25" t="s">
        <v>223</v>
      </c>
      <c r="D93" s="25" t="s">
        <v>568</v>
      </c>
      <c r="E93" s="25" t="s">
        <v>569</v>
      </c>
      <c r="F93" s="25" t="s">
        <v>28</v>
      </c>
      <c r="G93" s="25" t="s">
        <v>29</v>
      </c>
      <c r="H93" s="25" t="s">
        <v>570</v>
      </c>
      <c r="I93" s="25" t="s">
        <v>60</v>
      </c>
      <c r="J93" s="25" t="s">
        <v>32</v>
      </c>
      <c r="K93" s="25" t="s">
        <v>123</v>
      </c>
      <c r="L93" s="25" t="s">
        <v>228</v>
      </c>
      <c r="M93" s="25">
        <v>10</v>
      </c>
      <c r="N93" s="25">
        <v>20</v>
      </c>
      <c r="O93" s="25">
        <v>0</v>
      </c>
      <c r="P93" s="25">
        <v>200</v>
      </c>
      <c r="Q93" s="25">
        <v>3</v>
      </c>
      <c r="R93" s="25" t="s">
        <v>35</v>
      </c>
      <c r="S93" s="25" t="s">
        <v>152</v>
      </c>
      <c r="T93" s="25" t="s">
        <v>51</v>
      </c>
      <c r="U93" s="25" t="s">
        <v>571</v>
      </c>
      <c r="V93" s="25" t="s">
        <v>65</v>
      </c>
      <c r="W93" s="26">
        <v>45717</v>
      </c>
    </row>
    <row r="94" spans="1:23" ht="15.75" customHeight="1">
      <c r="A94" s="25" t="s">
        <v>572</v>
      </c>
      <c r="B94" s="25" t="s">
        <v>169</v>
      </c>
      <c r="C94" s="25" t="s">
        <v>25</v>
      </c>
      <c r="D94" s="25" t="s">
        <v>573</v>
      </c>
      <c r="E94" s="25" t="s">
        <v>574</v>
      </c>
      <c r="F94" s="25" t="s">
        <v>362</v>
      </c>
      <c r="G94" s="25" t="s">
        <v>29</v>
      </c>
      <c r="H94" s="25" t="s">
        <v>575</v>
      </c>
      <c r="I94" s="25" t="s">
        <v>45</v>
      </c>
      <c r="J94" s="25" t="s">
        <v>46</v>
      </c>
      <c r="K94" s="25" t="s">
        <v>33</v>
      </c>
      <c r="L94" s="25" t="s">
        <v>34</v>
      </c>
      <c r="M94" s="25">
        <v>18</v>
      </c>
      <c r="N94" s="25">
        <v>2200</v>
      </c>
      <c r="O94" s="25">
        <v>10</v>
      </c>
      <c r="P94" s="25">
        <v>35640</v>
      </c>
      <c r="Q94" s="25">
        <v>3</v>
      </c>
      <c r="R94" s="25" t="s">
        <v>35</v>
      </c>
      <c r="S94" s="25" t="s">
        <v>36</v>
      </c>
      <c r="T94" s="25" t="s">
        <v>176</v>
      </c>
      <c r="U94" s="25" t="s">
        <v>576</v>
      </c>
      <c r="V94" s="25" t="s">
        <v>70</v>
      </c>
      <c r="W94" s="26">
        <v>45901</v>
      </c>
    </row>
    <row r="95" spans="1:23" ht="15.75" customHeight="1">
      <c r="A95" s="25" t="s">
        <v>577</v>
      </c>
      <c r="B95" s="25" t="s">
        <v>328</v>
      </c>
      <c r="C95" s="25" t="s">
        <v>93</v>
      </c>
      <c r="D95" s="25" t="s">
        <v>578</v>
      </c>
      <c r="E95" s="25" t="s">
        <v>579</v>
      </c>
      <c r="F95" s="25" t="s">
        <v>395</v>
      </c>
      <c r="G95" s="25" t="s">
        <v>77</v>
      </c>
      <c r="H95" s="25" t="s">
        <v>580</v>
      </c>
      <c r="I95" s="25" t="s">
        <v>45</v>
      </c>
      <c r="J95" s="25" t="s">
        <v>46</v>
      </c>
      <c r="K95" s="25" t="s">
        <v>33</v>
      </c>
      <c r="L95" s="25" t="s">
        <v>98</v>
      </c>
      <c r="M95" s="25">
        <v>7</v>
      </c>
      <c r="N95" s="25">
        <v>3500</v>
      </c>
      <c r="O95" s="25">
        <v>15</v>
      </c>
      <c r="P95" s="25">
        <v>20825</v>
      </c>
      <c r="Q95" s="25">
        <v>3</v>
      </c>
      <c r="R95" s="25" t="s">
        <v>49</v>
      </c>
      <c r="S95" s="25" t="s">
        <v>50</v>
      </c>
      <c r="T95" s="25" t="s">
        <v>333</v>
      </c>
      <c r="U95" s="25" t="s">
        <v>581</v>
      </c>
      <c r="V95" s="25" t="s">
        <v>39</v>
      </c>
      <c r="W95" s="26">
        <v>45748</v>
      </c>
    </row>
    <row r="96" spans="1:23" ht="15.75" customHeight="1">
      <c r="A96" s="25" t="s">
        <v>582</v>
      </c>
      <c r="B96" s="25" t="s">
        <v>101</v>
      </c>
      <c r="C96" s="25" t="s">
        <v>170</v>
      </c>
      <c r="D96" s="25" t="s">
        <v>583</v>
      </c>
      <c r="E96" s="25" t="s">
        <v>584</v>
      </c>
      <c r="F96" s="25" t="s">
        <v>104</v>
      </c>
      <c r="G96" s="25" t="s">
        <v>29</v>
      </c>
      <c r="H96" s="25" t="s">
        <v>585</v>
      </c>
      <c r="I96" s="25" t="s">
        <v>295</v>
      </c>
      <c r="J96" s="25" t="s">
        <v>296</v>
      </c>
      <c r="K96" s="25" t="s">
        <v>33</v>
      </c>
      <c r="L96" s="25" t="s">
        <v>175</v>
      </c>
      <c r="M96" s="25">
        <v>19</v>
      </c>
      <c r="N96" s="25">
        <v>8500</v>
      </c>
      <c r="O96" s="25">
        <v>15</v>
      </c>
      <c r="P96" s="25">
        <v>137275</v>
      </c>
      <c r="Q96" s="25">
        <v>4</v>
      </c>
      <c r="R96" s="25" t="s">
        <v>80</v>
      </c>
      <c r="S96" s="25" t="s">
        <v>152</v>
      </c>
      <c r="T96" s="25" t="s">
        <v>145</v>
      </c>
      <c r="U96" s="25" t="s">
        <v>586</v>
      </c>
      <c r="V96" s="25" t="s">
        <v>65</v>
      </c>
      <c r="W96" s="26">
        <v>46143</v>
      </c>
    </row>
    <row r="97" spans="1:23" ht="15.75" customHeight="1">
      <c r="A97" s="25" t="s">
        <v>587</v>
      </c>
      <c r="B97" s="25" t="s">
        <v>252</v>
      </c>
      <c r="C97" s="25" t="s">
        <v>41</v>
      </c>
      <c r="D97" s="25" t="s">
        <v>588</v>
      </c>
      <c r="E97" s="25" t="s">
        <v>589</v>
      </c>
      <c r="F97" s="25" t="s">
        <v>255</v>
      </c>
      <c r="G97" s="25" t="s">
        <v>29</v>
      </c>
      <c r="H97" s="25" t="s">
        <v>590</v>
      </c>
      <c r="I97" s="25" t="s">
        <v>139</v>
      </c>
      <c r="J97" s="25" t="s">
        <v>107</v>
      </c>
      <c r="K97" s="25" t="s">
        <v>47</v>
      </c>
      <c r="L97" s="25" t="s">
        <v>48</v>
      </c>
      <c r="M97" s="25">
        <v>13</v>
      </c>
      <c r="N97" s="25">
        <v>12000</v>
      </c>
      <c r="O97" s="25">
        <v>15</v>
      </c>
      <c r="P97" s="25">
        <v>132600</v>
      </c>
      <c r="Q97" s="25">
        <v>4</v>
      </c>
      <c r="R97" s="25" t="s">
        <v>35</v>
      </c>
      <c r="S97" s="25" t="s">
        <v>50</v>
      </c>
      <c r="T97" s="25" t="s">
        <v>257</v>
      </c>
      <c r="U97" s="25" t="s">
        <v>591</v>
      </c>
      <c r="V97" s="25" t="s">
        <v>39</v>
      </c>
      <c r="W97" s="26">
        <v>46023</v>
      </c>
    </row>
    <row r="98" spans="1:23" ht="15.75" customHeight="1">
      <c r="A98" s="25" t="s">
        <v>592</v>
      </c>
      <c r="B98" s="25" t="s">
        <v>328</v>
      </c>
      <c r="C98" s="25" t="s">
        <v>223</v>
      </c>
      <c r="D98" s="25" t="s">
        <v>593</v>
      </c>
      <c r="E98" s="25" t="s">
        <v>399</v>
      </c>
      <c r="F98" s="25" t="s">
        <v>395</v>
      </c>
      <c r="G98" s="25" t="s">
        <v>77</v>
      </c>
      <c r="H98" s="25" t="s">
        <v>594</v>
      </c>
      <c r="I98" s="25" t="s">
        <v>115</v>
      </c>
      <c r="J98" s="25" t="s">
        <v>107</v>
      </c>
      <c r="K98" s="25" t="s">
        <v>123</v>
      </c>
      <c r="L98" s="25" t="s">
        <v>228</v>
      </c>
      <c r="M98" s="25">
        <v>7</v>
      </c>
      <c r="N98" s="25">
        <v>20</v>
      </c>
      <c r="O98" s="25">
        <v>0</v>
      </c>
      <c r="P98" s="25">
        <v>140</v>
      </c>
      <c r="Q98" s="25">
        <v>1</v>
      </c>
      <c r="R98" s="25" t="s">
        <v>80</v>
      </c>
      <c r="S98" s="25" t="s">
        <v>152</v>
      </c>
      <c r="T98" s="25" t="s">
        <v>333</v>
      </c>
      <c r="U98" s="25" t="s">
        <v>595</v>
      </c>
      <c r="V98" s="25" t="s">
        <v>70</v>
      </c>
      <c r="W98" s="26">
        <v>46082</v>
      </c>
    </row>
    <row r="99" spans="1:23" ht="15.75" customHeight="1">
      <c r="A99" s="25" t="s">
        <v>596</v>
      </c>
      <c r="B99" s="25" t="s">
        <v>169</v>
      </c>
      <c r="C99" s="25" t="s">
        <v>185</v>
      </c>
      <c r="D99" s="25" t="s">
        <v>597</v>
      </c>
      <c r="E99" s="25" t="s">
        <v>598</v>
      </c>
      <c r="F99" s="25" t="s">
        <v>362</v>
      </c>
      <c r="G99" s="25" t="s">
        <v>29</v>
      </c>
      <c r="H99" s="25" t="s">
        <v>599</v>
      </c>
      <c r="I99" s="25" t="s">
        <v>45</v>
      </c>
      <c r="J99" s="25" t="s">
        <v>46</v>
      </c>
      <c r="K99" s="25" t="s">
        <v>47</v>
      </c>
      <c r="L99" s="25" t="s">
        <v>190</v>
      </c>
      <c r="M99" s="25">
        <v>5</v>
      </c>
      <c r="N99" s="25">
        <v>700</v>
      </c>
      <c r="O99" s="25">
        <v>15</v>
      </c>
      <c r="P99" s="25">
        <v>999999</v>
      </c>
      <c r="Q99" s="25">
        <v>4</v>
      </c>
      <c r="R99" s="25" t="s">
        <v>80</v>
      </c>
      <c r="S99" s="25" t="s">
        <v>36</v>
      </c>
      <c r="T99" s="25" t="s">
        <v>176</v>
      </c>
      <c r="U99" s="25" t="s">
        <v>600</v>
      </c>
      <c r="V99" s="25" t="s">
        <v>65</v>
      </c>
      <c r="W99" s="26">
        <v>45778</v>
      </c>
    </row>
    <row r="100" spans="1:23" ht="15.75" customHeight="1">
      <c r="A100" s="25" t="s">
        <v>601</v>
      </c>
      <c r="B100" s="25" t="s">
        <v>84</v>
      </c>
      <c r="C100" s="25" t="s">
        <v>260</v>
      </c>
      <c r="D100" s="25" t="s">
        <v>584</v>
      </c>
      <c r="E100" s="25" t="s">
        <v>602</v>
      </c>
      <c r="F100" s="25" t="s">
        <v>181</v>
      </c>
      <c r="G100" s="25" t="s">
        <v>77</v>
      </c>
      <c r="H100" s="25" t="s">
        <v>603</v>
      </c>
      <c r="I100" s="25" t="s">
        <v>60</v>
      </c>
      <c r="J100" s="25" t="s">
        <v>32</v>
      </c>
      <c r="K100" s="25" t="s">
        <v>123</v>
      </c>
      <c r="L100" s="25" t="s">
        <v>264</v>
      </c>
      <c r="M100" s="25">
        <v>9</v>
      </c>
      <c r="N100" s="25">
        <v>45</v>
      </c>
      <c r="O100" s="25">
        <v>5</v>
      </c>
      <c r="P100" s="25">
        <v>384.75</v>
      </c>
      <c r="Q100" s="25">
        <v>3</v>
      </c>
      <c r="R100" s="25" t="s">
        <v>35</v>
      </c>
      <c r="S100" s="25" t="s">
        <v>36</v>
      </c>
      <c r="T100" s="25" t="s">
        <v>90</v>
      </c>
      <c r="U100" s="25" t="s">
        <v>604</v>
      </c>
      <c r="V100" s="25" t="s">
        <v>39</v>
      </c>
      <c r="W100" s="26">
        <v>46143</v>
      </c>
    </row>
    <row r="101" spans="1:23" ht="15.75" customHeight="1">
      <c r="A101" s="25" t="s">
        <v>605</v>
      </c>
      <c r="B101" s="25" t="s">
        <v>128</v>
      </c>
      <c r="C101" s="25" t="s">
        <v>119</v>
      </c>
      <c r="D101" s="25" t="s">
        <v>606</v>
      </c>
      <c r="E101" s="25" t="s">
        <v>607</v>
      </c>
      <c r="F101" s="25" t="s">
        <v>201</v>
      </c>
      <c r="G101" s="25" t="s">
        <v>77</v>
      </c>
      <c r="H101" s="25" t="s">
        <v>608</v>
      </c>
      <c r="I101" s="25" t="s">
        <v>295</v>
      </c>
      <c r="J101" s="25" t="s">
        <v>296</v>
      </c>
      <c r="K101" s="25" t="s">
        <v>123</v>
      </c>
      <c r="L101" s="25" t="s">
        <v>124</v>
      </c>
      <c r="M101" s="25">
        <v>19</v>
      </c>
      <c r="N101" s="25">
        <v>60</v>
      </c>
      <c r="O101" s="25">
        <v>10</v>
      </c>
      <c r="P101" s="25">
        <v>1026</v>
      </c>
      <c r="Q101" s="25">
        <v>5</v>
      </c>
      <c r="R101" s="25" t="s">
        <v>49</v>
      </c>
      <c r="S101" s="25" t="s">
        <v>116</v>
      </c>
      <c r="T101" s="25" t="s">
        <v>133</v>
      </c>
      <c r="U101" s="25" t="s">
        <v>609</v>
      </c>
      <c r="V101" s="25" t="s">
        <v>39</v>
      </c>
      <c r="W101" s="26">
        <v>45748</v>
      </c>
    </row>
    <row r="102" spans="1:23" ht="15.75" customHeight="1">
      <c r="A102" s="25" t="s">
        <v>610</v>
      </c>
      <c r="B102" s="25" t="s">
        <v>328</v>
      </c>
      <c r="C102" s="25" t="s">
        <v>185</v>
      </c>
      <c r="D102" s="25" t="s">
        <v>611</v>
      </c>
      <c r="E102" s="25" t="s">
        <v>612</v>
      </c>
      <c r="F102" s="25" t="s">
        <v>395</v>
      </c>
      <c r="G102" s="25" t="s">
        <v>77</v>
      </c>
      <c r="H102" s="25" t="s">
        <v>613</v>
      </c>
      <c r="I102" s="25" t="s">
        <v>139</v>
      </c>
      <c r="J102" s="25" t="s">
        <v>107</v>
      </c>
      <c r="K102" s="25" t="s">
        <v>47</v>
      </c>
      <c r="L102" s="25" t="s">
        <v>190</v>
      </c>
      <c r="M102" s="25">
        <v>4</v>
      </c>
      <c r="N102" s="25">
        <v>700</v>
      </c>
      <c r="O102" s="25">
        <v>5</v>
      </c>
      <c r="P102" s="25">
        <v>2660</v>
      </c>
      <c r="Q102" s="25">
        <v>3</v>
      </c>
      <c r="R102" s="25" t="s">
        <v>49</v>
      </c>
      <c r="S102" s="25" t="s">
        <v>62</v>
      </c>
      <c r="T102" s="25" t="s">
        <v>333</v>
      </c>
      <c r="U102" s="25" t="s">
        <v>614</v>
      </c>
      <c r="V102" s="25" t="s">
        <v>39</v>
      </c>
      <c r="W102" s="26">
        <v>45992</v>
      </c>
    </row>
    <row r="103" spans="1:23" ht="15.75" customHeight="1">
      <c r="A103" s="25" t="s">
        <v>615</v>
      </c>
      <c r="B103" s="25" t="s">
        <v>328</v>
      </c>
      <c r="C103" s="25" t="s">
        <v>93</v>
      </c>
      <c r="D103" s="25" t="s">
        <v>584</v>
      </c>
      <c r="E103" s="25" t="s">
        <v>616</v>
      </c>
      <c r="F103" s="25" t="s">
        <v>395</v>
      </c>
      <c r="G103" s="25" t="s">
        <v>77</v>
      </c>
      <c r="H103" s="25" t="s">
        <v>617</v>
      </c>
      <c r="I103" s="25" t="s">
        <v>115</v>
      </c>
      <c r="J103" s="25" t="s">
        <v>107</v>
      </c>
      <c r="K103" s="25" t="s">
        <v>33</v>
      </c>
      <c r="L103" s="25" t="s">
        <v>98</v>
      </c>
      <c r="M103" s="25">
        <v>16</v>
      </c>
      <c r="N103" s="25">
        <v>3500</v>
      </c>
      <c r="O103" s="25">
        <v>0</v>
      </c>
      <c r="P103" s="25">
        <v>56000</v>
      </c>
      <c r="Q103" s="25">
        <v>2</v>
      </c>
      <c r="R103" s="25" t="s">
        <v>80</v>
      </c>
      <c r="S103" s="25" t="s">
        <v>50</v>
      </c>
      <c r="T103" s="25" t="s">
        <v>333</v>
      </c>
      <c r="U103" s="25" t="s">
        <v>618</v>
      </c>
      <c r="V103" s="25" t="s">
        <v>39</v>
      </c>
      <c r="W103" s="26">
        <v>46143</v>
      </c>
    </row>
    <row r="104" spans="1:23" ht="15.75" customHeight="1">
      <c r="A104" s="25" t="s">
        <v>619</v>
      </c>
      <c r="B104" s="25" t="s">
        <v>252</v>
      </c>
      <c r="C104" s="25" t="s">
        <v>260</v>
      </c>
      <c r="D104" s="25" t="s">
        <v>620</v>
      </c>
      <c r="E104" s="25" t="s">
        <v>621</v>
      </c>
      <c r="F104" s="25" t="s">
        <v>255</v>
      </c>
      <c r="G104" s="25" t="s">
        <v>29</v>
      </c>
      <c r="H104" s="25" t="s">
        <v>622</v>
      </c>
      <c r="I104" s="25" t="s">
        <v>60</v>
      </c>
      <c r="J104" s="25" t="s">
        <v>32</v>
      </c>
      <c r="K104" s="25" t="s">
        <v>123</v>
      </c>
      <c r="L104" s="25" t="s">
        <v>264</v>
      </c>
      <c r="M104" s="25">
        <v>5</v>
      </c>
      <c r="N104" s="25">
        <v>45</v>
      </c>
      <c r="O104" s="25">
        <v>20</v>
      </c>
      <c r="P104" s="25">
        <v>180</v>
      </c>
      <c r="Q104" s="25">
        <v>3</v>
      </c>
      <c r="R104" s="25" t="s">
        <v>80</v>
      </c>
      <c r="S104" s="25" t="s">
        <v>36</v>
      </c>
      <c r="T104" s="25" t="s">
        <v>257</v>
      </c>
      <c r="U104" s="25" t="s">
        <v>623</v>
      </c>
      <c r="V104" s="25" t="s">
        <v>39</v>
      </c>
      <c r="W104" s="26">
        <v>45658</v>
      </c>
    </row>
    <row r="105" spans="1:23" ht="15.75" customHeight="1">
      <c r="A105" s="25" t="s">
        <v>624</v>
      </c>
      <c r="B105" s="25" t="s">
        <v>84</v>
      </c>
      <c r="C105" s="25" t="s">
        <v>223</v>
      </c>
      <c r="D105" s="25" t="s">
        <v>625</v>
      </c>
      <c r="E105" s="25" t="s">
        <v>526</v>
      </c>
      <c r="F105" s="25" t="s">
        <v>181</v>
      </c>
      <c r="G105" s="25" t="s">
        <v>77</v>
      </c>
      <c r="H105" s="25" t="s">
        <v>626</v>
      </c>
      <c r="I105" s="25" t="s">
        <v>106</v>
      </c>
      <c r="J105" s="25" t="s">
        <v>107</v>
      </c>
      <c r="K105" s="25" t="s">
        <v>123</v>
      </c>
      <c r="L105" s="25" t="s">
        <v>228</v>
      </c>
      <c r="M105" s="25">
        <v>9</v>
      </c>
      <c r="N105" s="25">
        <v>20</v>
      </c>
      <c r="O105" s="25">
        <v>10</v>
      </c>
      <c r="P105" s="25">
        <v>162</v>
      </c>
      <c r="Q105" s="25">
        <v>4</v>
      </c>
      <c r="R105" s="25" t="s">
        <v>80</v>
      </c>
      <c r="S105" s="25" t="s">
        <v>36</v>
      </c>
      <c r="T105" s="25" t="s">
        <v>90</v>
      </c>
      <c r="U105" s="25" t="s">
        <v>627</v>
      </c>
      <c r="V105" s="25" t="s">
        <v>65</v>
      </c>
      <c r="W105" s="26">
        <v>45717</v>
      </c>
    </row>
    <row r="106" spans="1:23" ht="15.75" customHeight="1">
      <c r="A106" s="25" t="s">
        <v>628</v>
      </c>
      <c r="B106" s="25" t="s">
        <v>54</v>
      </c>
      <c r="C106" s="25" t="s">
        <v>73</v>
      </c>
      <c r="D106" s="25" t="s">
        <v>629</v>
      </c>
      <c r="E106" s="25" t="s">
        <v>432</v>
      </c>
      <c r="F106" s="25" t="s">
        <v>164</v>
      </c>
      <c r="G106" s="25" t="s">
        <v>29</v>
      </c>
      <c r="H106" s="25" t="s">
        <v>630</v>
      </c>
      <c r="I106" s="25" t="s">
        <v>45</v>
      </c>
      <c r="J106" s="25" t="s">
        <v>46</v>
      </c>
      <c r="K106" s="25" t="s">
        <v>47</v>
      </c>
      <c r="L106" s="25" t="s">
        <v>79</v>
      </c>
      <c r="M106" s="25">
        <v>9</v>
      </c>
      <c r="N106" s="25">
        <v>1200</v>
      </c>
      <c r="O106" s="25">
        <v>5</v>
      </c>
      <c r="P106" s="25">
        <v>10260</v>
      </c>
      <c r="Q106" s="25">
        <v>3</v>
      </c>
      <c r="R106" s="25" t="s">
        <v>89</v>
      </c>
      <c r="S106" s="25" t="s">
        <v>36</v>
      </c>
      <c r="T106" s="25" t="s">
        <v>63</v>
      </c>
      <c r="U106" s="25" t="s">
        <v>631</v>
      </c>
      <c r="V106" s="25" t="s">
        <v>65</v>
      </c>
      <c r="W106" s="26">
        <v>45689</v>
      </c>
    </row>
    <row r="107" spans="1:23" ht="15.75" customHeight="1">
      <c r="A107" s="25" t="s">
        <v>632</v>
      </c>
      <c r="B107" s="25" t="s">
        <v>101</v>
      </c>
      <c r="C107" s="25" t="s">
        <v>93</v>
      </c>
      <c r="D107" s="25" t="s">
        <v>388</v>
      </c>
      <c r="E107" s="25" t="s">
        <v>633</v>
      </c>
      <c r="F107" s="25" t="s">
        <v>104</v>
      </c>
      <c r="G107" s="25" t="s">
        <v>29</v>
      </c>
      <c r="H107" s="25" t="s">
        <v>634</v>
      </c>
      <c r="I107" s="25" t="s">
        <v>45</v>
      </c>
      <c r="J107" s="25" t="s">
        <v>46</v>
      </c>
      <c r="K107" s="25" t="s">
        <v>33</v>
      </c>
      <c r="L107" s="25" t="s">
        <v>98</v>
      </c>
      <c r="M107" s="25">
        <v>3</v>
      </c>
      <c r="N107" s="25">
        <v>3500</v>
      </c>
      <c r="O107" s="25">
        <v>10</v>
      </c>
      <c r="P107" s="25">
        <v>9450</v>
      </c>
      <c r="Q107" s="25">
        <v>2</v>
      </c>
      <c r="R107" s="25" t="s">
        <v>80</v>
      </c>
      <c r="S107" s="25" t="s">
        <v>152</v>
      </c>
      <c r="T107" s="25" t="s">
        <v>145</v>
      </c>
      <c r="U107" s="25" t="s">
        <v>635</v>
      </c>
      <c r="V107" s="25" t="s">
        <v>70</v>
      </c>
      <c r="W107" s="26">
        <v>45689</v>
      </c>
    </row>
    <row r="108" spans="1:23" ht="15.75" customHeight="1">
      <c r="A108" s="25" t="s">
        <v>636</v>
      </c>
      <c r="B108" s="25" t="s">
        <v>222</v>
      </c>
      <c r="C108" s="25" t="s">
        <v>73</v>
      </c>
      <c r="D108" s="25" t="s">
        <v>242</v>
      </c>
      <c r="E108" s="25" t="s">
        <v>637</v>
      </c>
      <c r="F108" s="25" t="s">
        <v>226</v>
      </c>
      <c r="G108" s="25" t="s">
        <v>77</v>
      </c>
      <c r="H108" s="25" t="s">
        <v>638</v>
      </c>
      <c r="I108" s="25" t="s">
        <v>106</v>
      </c>
      <c r="J108" s="25" t="s">
        <v>107</v>
      </c>
      <c r="K108" s="25" t="s">
        <v>47</v>
      </c>
      <c r="L108" s="25" t="s">
        <v>79</v>
      </c>
      <c r="M108" s="25">
        <v>6</v>
      </c>
      <c r="N108" s="25">
        <v>1200</v>
      </c>
      <c r="O108" s="25">
        <v>15</v>
      </c>
      <c r="P108" s="25">
        <v>6120</v>
      </c>
      <c r="Q108" s="25">
        <v>4</v>
      </c>
      <c r="R108" s="25" t="s">
        <v>89</v>
      </c>
      <c r="S108" s="25" t="s">
        <v>36</v>
      </c>
      <c r="T108" s="25" t="s">
        <v>229</v>
      </c>
      <c r="U108" s="25" t="s">
        <v>639</v>
      </c>
      <c r="V108" s="25" t="s">
        <v>70</v>
      </c>
      <c r="W108" s="26">
        <v>46082</v>
      </c>
    </row>
    <row r="109" spans="1:23" ht="15.75" customHeight="1">
      <c r="A109" s="25" t="s">
        <v>640</v>
      </c>
      <c r="B109" s="25" t="s">
        <v>84</v>
      </c>
      <c r="C109" s="25" t="s">
        <v>73</v>
      </c>
      <c r="D109" s="25" t="s">
        <v>641</v>
      </c>
      <c r="E109" s="25" t="s">
        <v>642</v>
      </c>
      <c r="F109" s="25" t="s">
        <v>181</v>
      </c>
      <c r="G109" s="25" t="s">
        <v>77</v>
      </c>
      <c r="H109" s="25" t="s">
        <v>643</v>
      </c>
      <c r="I109" s="25" t="s">
        <v>213</v>
      </c>
      <c r="J109" s="25" t="s">
        <v>46</v>
      </c>
      <c r="K109" s="25" t="s">
        <v>47</v>
      </c>
      <c r="L109" s="25" t="s">
        <v>79</v>
      </c>
      <c r="M109" s="25">
        <v>17</v>
      </c>
      <c r="N109" s="25">
        <v>1200</v>
      </c>
      <c r="O109" s="25">
        <v>15</v>
      </c>
      <c r="P109" s="25">
        <v>17340</v>
      </c>
      <c r="Q109" s="25">
        <v>1</v>
      </c>
      <c r="R109" s="25" t="s">
        <v>35</v>
      </c>
      <c r="S109" s="25" t="s">
        <v>62</v>
      </c>
      <c r="T109" s="25" t="s">
        <v>90</v>
      </c>
      <c r="U109" s="25" t="s">
        <v>644</v>
      </c>
      <c r="V109" s="25" t="s">
        <v>39</v>
      </c>
      <c r="W109" s="26">
        <v>45839</v>
      </c>
    </row>
    <row r="110" spans="1:23" ht="15.75" customHeight="1">
      <c r="A110" s="25" t="s">
        <v>645</v>
      </c>
      <c r="B110" s="25" t="s">
        <v>222</v>
      </c>
      <c r="C110" s="25" t="s">
        <v>170</v>
      </c>
      <c r="D110" s="25" t="s">
        <v>646</v>
      </c>
      <c r="E110" s="25" t="s">
        <v>288</v>
      </c>
      <c r="F110" s="25" t="s">
        <v>226</v>
      </c>
      <c r="G110" s="25" t="s">
        <v>77</v>
      </c>
      <c r="H110" s="25" t="s">
        <v>647</v>
      </c>
      <c r="I110" s="25" t="s">
        <v>60</v>
      </c>
      <c r="J110" s="25" t="s">
        <v>32</v>
      </c>
      <c r="K110" s="25" t="s">
        <v>33</v>
      </c>
      <c r="L110" s="25" t="s">
        <v>175</v>
      </c>
      <c r="M110" s="25">
        <v>15</v>
      </c>
      <c r="N110" s="25">
        <v>8500</v>
      </c>
      <c r="O110" s="25">
        <v>0</v>
      </c>
      <c r="P110" s="25">
        <v>127500</v>
      </c>
      <c r="Q110" s="25">
        <v>3</v>
      </c>
      <c r="R110" s="25" t="s">
        <v>35</v>
      </c>
      <c r="S110" s="25" t="s">
        <v>116</v>
      </c>
      <c r="T110" s="25" t="s">
        <v>229</v>
      </c>
      <c r="U110" s="25" t="s">
        <v>648</v>
      </c>
      <c r="V110" s="25" t="s">
        <v>65</v>
      </c>
      <c r="W110" s="26">
        <v>45962</v>
      </c>
    </row>
    <row r="111" spans="1:23" ht="15.75" customHeight="1">
      <c r="A111" s="25" t="s">
        <v>649</v>
      </c>
      <c r="B111" s="25" t="s">
        <v>128</v>
      </c>
      <c r="C111" s="25" t="s">
        <v>73</v>
      </c>
      <c r="D111" s="25" t="s">
        <v>102</v>
      </c>
      <c r="E111" s="25" t="s">
        <v>103</v>
      </c>
      <c r="F111" s="25" t="s">
        <v>201</v>
      </c>
      <c r="G111" s="25" t="s">
        <v>77</v>
      </c>
      <c r="H111" s="25" t="s">
        <v>650</v>
      </c>
      <c r="I111" s="25" t="s">
        <v>31</v>
      </c>
      <c r="J111" s="25" t="s">
        <v>32</v>
      </c>
      <c r="K111" s="25" t="s">
        <v>47</v>
      </c>
      <c r="L111" s="25" t="s">
        <v>79</v>
      </c>
      <c r="M111" s="25">
        <v>1</v>
      </c>
      <c r="N111" s="25">
        <v>1200</v>
      </c>
      <c r="O111" s="25">
        <v>20</v>
      </c>
      <c r="P111" s="25">
        <v>960</v>
      </c>
      <c r="Q111" s="25">
        <v>1</v>
      </c>
      <c r="R111" s="25" t="s">
        <v>89</v>
      </c>
      <c r="S111" s="25" t="s">
        <v>116</v>
      </c>
      <c r="T111" s="25" t="s">
        <v>133</v>
      </c>
      <c r="U111" s="25" t="s">
        <v>651</v>
      </c>
      <c r="V111" s="25" t="s">
        <v>65</v>
      </c>
      <c r="W111" s="26">
        <v>45748</v>
      </c>
    </row>
    <row r="112" spans="1:23" ht="15.75" customHeight="1">
      <c r="A112" s="25" t="s">
        <v>652</v>
      </c>
      <c r="B112" s="25" t="s">
        <v>128</v>
      </c>
      <c r="C112" s="25" t="s">
        <v>170</v>
      </c>
      <c r="D112" s="25" t="s">
        <v>653</v>
      </c>
      <c r="E112" s="25" t="s">
        <v>540</v>
      </c>
      <c r="F112" s="25" t="s">
        <v>201</v>
      </c>
      <c r="G112" s="25" t="s">
        <v>77</v>
      </c>
      <c r="H112" s="25" t="s">
        <v>654</v>
      </c>
      <c r="I112" s="25" t="s">
        <v>295</v>
      </c>
      <c r="J112" s="25" t="s">
        <v>296</v>
      </c>
      <c r="K112" s="25" t="s">
        <v>33</v>
      </c>
      <c r="L112" s="25" t="s">
        <v>175</v>
      </c>
      <c r="M112" s="25">
        <v>5</v>
      </c>
      <c r="N112" s="25">
        <v>8500</v>
      </c>
      <c r="O112" s="25">
        <v>10</v>
      </c>
      <c r="P112" s="25">
        <v>38250</v>
      </c>
      <c r="Q112" s="25">
        <v>1</v>
      </c>
      <c r="R112" s="25" t="s">
        <v>80</v>
      </c>
      <c r="S112" s="25" t="s">
        <v>62</v>
      </c>
      <c r="T112" s="25" t="s">
        <v>133</v>
      </c>
      <c r="U112" s="25" t="s">
        <v>655</v>
      </c>
      <c r="V112" s="25" t="s">
        <v>39</v>
      </c>
      <c r="W112" s="26">
        <v>45748</v>
      </c>
    </row>
    <row r="113" spans="1:23" ht="15.75" customHeight="1">
      <c r="A113" s="25" t="s">
        <v>656</v>
      </c>
      <c r="B113" s="25" t="s">
        <v>54</v>
      </c>
      <c r="C113" s="25" t="s">
        <v>260</v>
      </c>
      <c r="D113" s="25" t="s">
        <v>657</v>
      </c>
      <c r="E113" s="25" t="s">
        <v>658</v>
      </c>
      <c r="F113" s="25" t="s">
        <v>164</v>
      </c>
      <c r="G113" s="25" t="s">
        <v>29</v>
      </c>
      <c r="H113" s="25" t="s">
        <v>659</v>
      </c>
      <c r="I113" s="25" t="s">
        <v>31</v>
      </c>
      <c r="J113" s="25" t="s">
        <v>32</v>
      </c>
      <c r="K113" s="25" t="s">
        <v>123</v>
      </c>
      <c r="L113" s="25" t="s">
        <v>264</v>
      </c>
      <c r="M113" s="25">
        <v>12</v>
      </c>
      <c r="N113" s="25">
        <v>45</v>
      </c>
      <c r="O113" s="25">
        <v>5</v>
      </c>
      <c r="P113" s="25">
        <v>513</v>
      </c>
      <c r="Q113" s="25">
        <v>2</v>
      </c>
      <c r="R113" s="25" t="s">
        <v>49</v>
      </c>
      <c r="S113" s="25" t="s">
        <v>36</v>
      </c>
      <c r="T113" s="25" t="s">
        <v>63</v>
      </c>
      <c r="U113" s="25" t="s">
        <v>660</v>
      </c>
      <c r="V113" s="25" t="s">
        <v>70</v>
      </c>
      <c r="W113" s="26">
        <v>46113</v>
      </c>
    </row>
    <row r="114" spans="1:23" ht="15.75" customHeight="1">
      <c r="A114" s="25" t="s">
        <v>661</v>
      </c>
      <c r="B114" s="25" t="s">
        <v>222</v>
      </c>
      <c r="C114" s="25" t="s">
        <v>119</v>
      </c>
      <c r="D114" s="25" t="s">
        <v>342</v>
      </c>
      <c r="E114" s="25" t="s">
        <v>662</v>
      </c>
      <c r="F114" s="25" t="s">
        <v>226</v>
      </c>
      <c r="G114" s="25" t="s">
        <v>77</v>
      </c>
      <c r="H114" s="25" t="s">
        <v>663</v>
      </c>
      <c r="I114" s="25" t="s">
        <v>115</v>
      </c>
      <c r="J114" s="25" t="s">
        <v>107</v>
      </c>
      <c r="K114" s="25" t="s">
        <v>123</v>
      </c>
      <c r="L114" s="25" t="s">
        <v>124</v>
      </c>
      <c r="M114" s="25">
        <v>5</v>
      </c>
      <c r="N114" s="25">
        <v>60</v>
      </c>
      <c r="O114" s="25">
        <v>5</v>
      </c>
      <c r="P114" s="25">
        <v>285</v>
      </c>
      <c r="Q114" s="25">
        <v>2</v>
      </c>
      <c r="R114" s="25" t="s">
        <v>35</v>
      </c>
      <c r="S114" s="25" t="s">
        <v>62</v>
      </c>
      <c r="T114" s="25" t="s">
        <v>229</v>
      </c>
      <c r="U114" s="25" t="s">
        <v>664</v>
      </c>
      <c r="V114" s="25" t="s">
        <v>39</v>
      </c>
      <c r="W114" s="26">
        <v>45931</v>
      </c>
    </row>
    <row r="115" spans="1:23" ht="15.75" customHeight="1">
      <c r="A115" s="25" t="s">
        <v>665</v>
      </c>
      <c r="B115" s="25" t="s">
        <v>54</v>
      </c>
      <c r="C115" s="25" t="s">
        <v>185</v>
      </c>
      <c r="D115" s="25" t="s">
        <v>666</v>
      </c>
      <c r="E115" s="25" t="s">
        <v>667</v>
      </c>
      <c r="F115" s="25" t="s">
        <v>164</v>
      </c>
      <c r="G115" s="25" t="s">
        <v>29</v>
      </c>
      <c r="H115" s="25" t="s">
        <v>668</v>
      </c>
      <c r="I115" s="25" t="s">
        <v>295</v>
      </c>
      <c r="J115" s="25" t="s">
        <v>296</v>
      </c>
      <c r="K115" s="25" t="s">
        <v>47</v>
      </c>
      <c r="L115" s="25" t="s">
        <v>190</v>
      </c>
      <c r="M115" s="25">
        <v>3</v>
      </c>
      <c r="N115" s="25">
        <v>700</v>
      </c>
      <c r="O115" s="25">
        <v>0</v>
      </c>
      <c r="P115" s="25">
        <v>2100</v>
      </c>
      <c r="Q115" s="25">
        <v>4</v>
      </c>
      <c r="R115" s="25" t="s">
        <v>80</v>
      </c>
      <c r="S115" s="25" t="s">
        <v>62</v>
      </c>
      <c r="T115" s="25" t="s">
        <v>63</v>
      </c>
      <c r="U115" s="25" t="s">
        <v>669</v>
      </c>
      <c r="V115" s="25" t="s">
        <v>39</v>
      </c>
      <c r="W115" s="26">
        <v>45748</v>
      </c>
    </row>
    <row r="116" spans="1:23" ht="15.75" customHeight="1">
      <c r="A116" s="25" t="s">
        <v>670</v>
      </c>
      <c r="B116" s="25" t="s">
        <v>169</v>
      </c>
      <c r="C116" s="25" t="s">
        <v>223</v>
      </c>
      <c r="D116" s="25" t="s">
        <v>336</v>
      </c>
      <c r="E116" s="25" t="s">
        <v>607</v>
      </c>
      <c r="F116" s="25" t="s">
        <v>362</v>
      </c>
      <c r="G116" s="25" t="s">
        <v>29</v>
      </c>
      <c r="H116" s="25" t="s">
        <v>671</v>
      </c>
      <c r="I116" s="25" t="s">
        <v>45</v>
      </c>
      <c r="J116" s="25" t="s">
        <v>46</v>
      </c>
      <c r="K116" s="25" t="s">
        <v>123</v>
      </c>
      <c r="L116" s="25" t="s">
        <v>228</v>
      </c>
      <c r="M116" s="25">
        <v>6</v>
      </c>
      <c r="N116" s="25">
        <v>20</v>
      </c>
      <c r="O116" s="25">
        <v>15</v>
      </c>
      <c r="P116" s="25">
        <v>102</v>
      </c>
      <c r="Q116" s="25">
        <v>5</v>
      </c>
      <c r="R116" s="25" t="s">
        <v>80</v>
      </c>
      <c r="S116" s="25" t="s">
        <v>152</v>
      </c>
      <c r="T116" s="25" t="s">
        <v>176</v>
      </c>
      <c r="U116" s="25" t="s">
        <v>672</v>
      </c>
      <c r="V116" s="25" t="s">
        <v>39</v>
      </c>
      <c r="W116" s="26">
        <v>45748</v>
      </c>
    </row>
    <row r="117" spans="1:23" ht="15.75" customHeight="1">
      <c r="A117" s="25" t="s">
        <v>673</v>
      </c>
      <c r="B117" s="25" t="s">
        <v>101</v>
      </c>
      <c r="C117" s="25" t="s">
        <v>185</v>
      </c>
      <c r="D117" s="25" t="s">
        <v>674</v>
      </c>
      <c r="E117" s="25" t="s">
        <v>675</v>
      </c>
      <c r="F117" s="25" t="s">
        <v>104</v>
      </c>
      <c r="G117" s="25" t="s">
        <v>29</v>
      </c>
      <c r="H117" s="25" t="s">
        <v>676</v>
      </c>
      <c r="I117" s="25" t="s">
        <v>60</v>
      </c>
      <c r="J117" s="25" t="s">
        <v>32</v>
      </c>
      <c r="K117" s="25" t="s">
        <v>47</v>
      </c>
      <c r="L117" s="25" t="s">
        <v>190</v>
      </c>
      <c r="M117" s="25">
        <v>2</v>
      </c>
      <c r="N117" s="25">
        <v>700</v>
      </c>
      <c r="O117" s="25">
        <v>15</v>
      </c>
      <c r="P117" s="25">
        <v>1190</v>
      </c>
      <c r="Q117" s="25">
        <v>4</v>
      </c>
      <c r="R117" s="25" t="s">
        <v>35</v>
      </c>
      <c r="S117" s="25" t="s">
        <v>152</v>
      </c>
      <c r="T117" s="25" t="s">
        <v>145</v>
      </c>
      <c r="U117" s="25" t="s">
        <v>677</v>
      </c>
      <c r="V117" s="25" t="s">
        <v>65</v>
      </c>
      <c r="W117" s="26">
        <v>45870</v>
      </c>
    </row>
    <row r="118" spans="1:23" ht="15.75" customHeight="1">
      <c r="A118" s="25" t="s">
        <v>678</v>
      </c>
      <c r="B118" s="25" t="s">
        <v>328</v>
      </c>
      <c r="C118" s="25" t="s">
        <v>260</v>
      </c>
      <c r="D118" s="25" t="s">
        <v>679</v>
      </c>
      <c r="E118" s="25" t="s">
        <v>680</v>
      </c>
      <c r="F118" s="25" t="s">
        <v>395</v>
      </c>
      <c r="G118" s="25" t="s">
        <v>77</v>
      </c>
      <c r="H118" s="25" t="s">
        <v>681</v>
      </c>
      <c r="I118" s="25" t="s">
        <v>115</v>
      </c>
      <c r="J118" s="25" t="s">
        <v>107</v>
      </c>
      <c r="K118" s="25" t="s">
        <v>123</v>
      </c>
      <c r="L118" s="25" t="s">
        <v>264</v>
      </c>
      <c r="M118" s="25">
        <v>16</v>
      </c>
      <c r="N118" s="25">
        <v>45</v>
      </c>
      <c r="O118" s="25">
        <v>0</v>
      </c>
      <c r="P118" s="25">
        <v>720</v>
      </c>
      <c r="Q118" s="25">
        <v>1</v>
      </c>
      <c r="R118" s="25" t="s">
        <v>49</v>
      </c>
      <c r="S118" s="25" t="s">
        <v>62</v>
      </c>
      <c r="T118" s="25" t="s">
        <v>333</v>
      </c>
      <c r="U118" s="25" t="s">
        <v>682</v>
      </c>
      <c r="V118" s="25" t="s">
        <v>39</v>
      </c>
      <c r="W118" s="26">
        <v>45778</v>
      </c>
    </row>
    <row r="119" spans="1:23" ht="15.75" customHeight="1">
      <c r="A119" s="25" t="s">
        <v>683</v>
      </c>
      <c r="B119" s="25" t="s">
        <v>72</v>
      </c>
      <c r="C119" s="25" t="s">
        <v>73</v>
      </c>
      <c r="D119" s="25" t="s">
        <v>684</v>
      </c>
      <c r="E119" s="25" t="s">
        <v>685</v>
      </c>
      <c r="F119" s="25" t="s">
        <v>218</v>
      </c>
      <c r="G119" s="25" t="s">
        <v>77</v>
      </c>
      <c r="H119" s="25" t="s">
        <v>686</v>
      </c>
      <c r="I119" s="25" t="s">
        <v>139</v>
      </c>
      <c r="J119" s="25" t="s">
        <v>107</v>
      </c>
      <c r="K119" s="25" t="s">
        <v>47</v>
      </c>
      <c r="L119" s="25" t="s">
        <v>79</v>
      </c>
      <c r="M119" s="25" t="s">
        <v>687</v>
      </c>
      <c r="N119" s="25">
        <v>1200</v>
      </c>
      <c r="O119" s="25">
        <v>15</v>
      </c>
      <c r="P119" s="25">
        <v>7140</v>
      </c>
      <c r="Q119" s="25">
        <v>4</v>
      </c>
      <c r="R119" s="25" t="s">
        <v>89</v>
      </c>
      <c r="S119" s="25" t="s">
        <v>152</v>
      </c>
      <c r="T119" s="25" t="s">
        <v>81</v>
      </c>
      <c r="U119" s="25" t="s">
        <v>688</v>
      </c>
      <c r="V119" s="25" t="s">
        <v>65</v>
      </c>
      <c r="W119" s="26">
        <v>45778</v>
      </c>
    </row>
    <row r="120" spans="1:23" ht="15.75" customHeight="1">
      <c r="A120" s="25" t="s">
        <v>689</v>
      </c>
      <c r="B120" s="25" t="s">
        <v>101</v>
      </c>
      <c r="C120" s="25" t="s">
        <v>41</v>
      </c>
      <c r="D120" s="25" t="s">
        <v>377</v>
      </c>
      <c r="E120" s="25" t="s">
        <v>470</v>
      </c>
      <c r="F120" s="25" t="s">
        <v>104</v>
      </c>
      <c r="G120" s="25" t="s">
        <v>29</v>
      </c>
      <c r="H120" s="25" t="s">
        <v>690</v>
      </c>
      <c r="I120" s="25" t="s">
        <v>213</v>
      </c>
      <c r="J120" s="25" t="s">
        <v>46</v>
      </c>
      <c r="K120" s="25" t="s">
        <v>47</v>
      </c>
      <c r="L120" s="25" t="s">
        <v>48</v>
      </c>
      <c r="M120" s="25">
        <v>14</v>
      </c>
      <c r="N120" s="25">
        <v>12000</v>
      </c>
      <c r="O120" s="25">
        <v>15</v>
      </c>
      <c r="P120" s="25">
        <v>142800</v>
      </c>
      <c r="Q120" s="25">
        <v>2</v>
      </c>
      <c r="R120" s="25" t="s">
        <v>49</v>
      </c>
      <c r="S120" s="25" t="s">
        <v>62</v>
      </c>
      <c r="T120" s="25" t="s">
        <v>145</v>
      </c>
      <c r="U120" s="25" t="s">
        <v>691</v>
      </c>
      <c r="V120" s="25" t="s">
        <v>65</v>
      </c>
      <c r="W120" s="26">
        <v>45870</v>
      </c>
    </row>
    <row r="121" spans="1:23" ht="15.75" customHeight="1">
      <c r="A121" s="25" t="s">
        <v>692</v>
      </c>
      <c r="B121" s="25" t="s">
        <v>128</v>
      </c>
      <c r="C121" s="25" t="s">
        <v>170</v>
      </c>
      <c r="D121" s="25" t="s">
        <v>455</v>
      </c>
      <c r="E121" s="25" t="s">
        <v>693</v>
      </c>
      <c r="F121" s="25" t="s">
        <v>201</v>
      </c>
      <c r="G121" s="25" t="s">
        <v>77</v>
      </c>
      <c r="H121" s="25" t="s">
        <v>694</v>
      </c>
      <c r="I121" s="25" t="s">
        <v>115</v>
      </c>
      <c r="J121" s="25" t="s">
        <v>107</v>
      </c>
      <c r="K121" s="25" t="s">
        <v>33</v>
      </c>
      <c r="L121" s="25" t="s">
        <v>175</v>
      </c>
      <c r="M121" s="25">
        <v>8</v>
      </c>
      <c r="N121" s="25">
        <v>8500</v>
      </c>
      <c r="O121" s="25">
        <v>20</v>
      </c>
      <c r="P121" s="25">
        <v>54400</v>
      </c>
      <c r="Q121" s="25">
        <v>3</v>
      </c>
      <c r="R121" s="25" t="s">
        <v>80</v>
      </c>
      <c r="S121" s="25" t="s">
        <v>50</v>
      </c>
      <c r="T121" s="25" t="s">
        <v>133</v>
      </c>
      <c r="U121" s="25" t="s">
        <v>695</v>
      </c>
      <c r="V121" s="25" t="s">
        <v>39</v>
      </c>
      <c r="W121" s="26">
        <v>45992</v>
      </c>
    </row>
    <row r="122" spans="1:23" ht="15.75" customHeight="1">
      <c r="A122" s="25" t="s">
        <v>696</v>
      </c>
      <c r="B122" s="25" t="s">
        <v>84</v>
      </c>
      <c r="C122" s="25" t="s">
        <v>260</v>
      </c>
      <c r="D122" s="25" t="s">
        <v>111</v>
      </c>
      <c r="E122" s="25" t="s">
        <v>314</v>
      </c>
      <c r="F122" s="25" t="s">
        <v>181</v>
      </c>
      <c r="G122" s="25" t="s">
        <v>77</v>
      </c>
      <c r="H122" s="25" t="s">
        <v>697</v>
      </c>
      <c r="I122" s="25" t="s">
        <v>60</v>
      </c>
      <c r="J122" s="25" t="s">
        <v>32</v>
      </c>
      <c r="K122" s="25" t="s">
        <v>123</v>
      </c>
      <c r="L122" s="25" t="s">
        <v>264</v>
      </c>
      <c r="M122" s="25">
        <v>3</v>
      </c>
      <c r="N122" s="25">
        <v>45</v>
      </c>
      <c r="O122" s="25">
        <v>0</v>
      </c>
      <c r="P122" s="25">
        <v>135</v>
      </c>
      <c r="Q122" s="25">
        <v>4</v>
      </c>
      <c r="R122" s="25" t="s">
        <v>89</v>
      </c>
      <c r="S122" s="25" t="s">
        <v>62</v>
      </c>
      <c r="T122" s="25" t="s">
        <v>90</v>
      </c>
      <c r="U122" s="25" t="s">
        <v>698</v>
      </c>
      <c r="V122" s="25" t="s">
        <v>70</v>
      </c>
      <c r="W122" s="26">
        <v>46023</v>
      </c>
    </row>
    <row r="123" spans="1:23" ht="15.75" customHeight="1">
      <c r="A123" s="25" t="s">
        <v>699</v>
      </c>
      <c r="B123" s="25" t="s">
        <v>328</v>
      </c>
      <c r="C123" s="25" t="s">
        <v>185</v>
      </c>
      <c r="D123" s="25" t="s">
        <v>465</v>
      </c>
      <c r="E123" s="25" t="s">
        <v>85</v>
      </c>
      <c r="F123" s="25" t="s">
        <v>395</v>
      </c>
      <c r="G123" s="25" t="s">
        <v>77</v>
      </c>
      <c r="H123" s="25" t="s">
        <v>700</v>
      </c>
      <c r="I123" s="25" t="s">
        <v>213</v>
      </c>
      <c r="J123" s="25" t="s">
        <v>46</v>
      </c>
      <c r="K123" s="25" t="s">
        <v>47</v>
      </c>
      <c r="L123" s="25" t="s">
        <v>190</v>
      </c>
      <c r="M123" s="25">
        <v>13</v>
      </c>
      <c r="N123" s="25">
        <v>700</v>
      </c>
      <c r="O123" s="25">
        <v>5</v>
      </c>
      <c r="P123" s="25">
        <v>8645</v>
      </c>
      <c r="Q123" s="25">
        <v>3</v>
      </c>
      <c r="R123" s="25" t="s">
        <v>80</v>
      </c>
      <c r="S123" s="25" t="s">
        <v>116</v>
      </c>
      <c r="T123" s="25" t="s">
        <v>333</v>
      </c>
      <c r="U123" s="25" t="s">
        <v>701</v>
      </c>
      <c r="V123" s="25" t="s">
        <v>65</v>
      </c>
      <c r="W123" s="26">
        <v>46023</v>
      </c>
    </row>
    <row r="124" spans="1:23" ht="15.75" customHeight="1">
      <c r="A124" s="25" t="s">
        <v>702</v>
      </c>
      <c r="B124" s="25" t="s">
        <v>169</v>
      </c>
      <c r="C124" s="25" t="s">
        <v>73</v>
      </c>
      <c r="D124" s="25" t="s">
        <v>703</v>
      </c>
      <c r="E124" s="25" t="s">
        <v>704</v>
      </c>
      <c r="F124" s="25" t="s">
        <v>362</v>
      </c>
      <c r="G124" s="25" t="s">
        <v>29</v>
      </c>
      <c r="H124" s="25" t="s">
        <v>705</v>
      </c>
      <c r="I124" s="25" t="s">
        <v>106</v>
      </c>
      <c r="J124" s="25" t="s">
        <v>107</v>
      </c>
      <c r="K124" s="25" t="s">
        <v>47</v>
      </c>
      <c r="L124" s="25" t="s">
        <v>79</v>
      </c>
      <c r="M124" s="25">
        <v>14</v>
      </c>
      <c r="N124" s="25">
        <v>1200</v>
      </c>
      <c r="O124" s="25">
        <v>20</v>
      </c>
      <c r="P124" s="25">
        <v>13440</v>
      </c>
      <c r="Q124" s="25">
        <v>5</v>
      </c>
      <c r="R124" s="25" t="s">
        <v>49</v>
      </c>
      <c r="S124" s="25" t="s">
        <v>62</v>
      </c>
      <c r="T124" s="25" t="s">
        <v>176</v>
      </c>
      <c r="U124" s="25" t="s">
        <v>706</v>
      </c>
      <c r="V124" s="25" t="s">
        <v>39</v>
      </c>
      <c r="W124" s="26">
        <v>45931</v>
      </c>
    </row>
    <row r="125" spans="1:23" ht="15.75" customHeight="1">
      <c r="A125" s="25" t="s">
        <v>707</v>
      </c>
      <c r="B125" s="25" t="s">
        <v>101</v>
      </c>
      <c r="C125" s="25" t="s">
        <v>260</v>
      </c>
      <c r="D125" s="25" t="s">
        <v>598</v>
      </c>
      <c r="E125" s="25" t="s">
        <v>708</v>
      </c>
      <c r="F125" s="25" t="s">
        <v>104</v>
      </c>
      <c r="G125" s="25" t="s">
        <v>29</v>
      </c>
      <c r="H125" s="25" t="s">
        <v>709</v>
      </c>
      <c r="I125" s="25" t="s">
        <v>45</v>
      </c>
      <c r="J125" s="25" t="s">
        <v>46</v>
      </c>
      <c r="K125" s="25" t="s">
        <v>123</v>
      </c>
      <c r="L125" s="25" t="s">
        <v>264</v>
      </c>
      <c r="M125" s="25">
        <v>2</v>
      </c>
      <c r="N125" s="25">
        <v>45</v>
      </c>
      <c r="O125" s="25">
        <v>5</v>
      </c>
      <c r="P125" s="25">
        <v>85.5</v>
      </c>
      <c r="Q125" s="25">
        <v>3</v>
      </c>
      <c r="R125" s="25" t="s">
        <v>89</v>
      </c>
      <c r="S125" s="25" t="s">
        <v>36</v>
      </c>
      <c r="T125" s="25" t="s">
        <v>145</v>
      </c>
      <c r="U125" s="25" t="s">
        <v>710</v>
      </c>
      <c r="V125" s="25" t="s">
        <v>70</v>
      </c>
      <c r="W125" s="26">
        <v>45778</v>
      </c>
    </row>
    <row r="126" spans="1:23" ht="15.75" customHeight="1">
      <c r="A126" s="25" t="s">
        <v>711</v>
      </c>
      <c r="B126" s="25" t="s">
        <v>169</v>
      </c>
      <c r="C126" s="25" t="s">
        <v>73</v>
      </c>
      <c r="D126" s="25" t="s">
        <v>712</v>
      </c>
      <c r="E126" s="25" t="s">
        <v>713</v>
      </c>
      <c r="F126" s="25" t="s">
        <v>362</v>
      </c>
      <c r="G126" s="25" t="s">
        <v>29</v>
      </c>
      <c r="H126" s="25" t="s">
        <v>714</v>
      </c>
      <c r="I126" s="25" t="s">
        <v>60</v>
      </c>
      <c r="J126" s="25" t="s">
        <v>32</v>
      </c>
      <c r="K126" s="25" t="s">
        <v>47</v>
      </c>
      <c r="L126" s="25" t="s">
        <v>79</v>
      </c>
      <c r="M126" s="25">
        <v>2</v>
      </c>
      <c r="N126" s="25">
        <v>1200</v>
      </c>
      <c r="O126" s="25">
        <v>20</v>
      </c>
      <c r="P126" s="25">
        <v>1920</v>
      </c>
      <c r="Q126" s="25">
        <v>3</v>
      </c>
      <c r="R126" s="25" t="s">
        <v>80</v>
      </c>
      <c r="S126" s="25" t="s">
        <v>116</v>
      </c>
      <c r="T126" s="25" t="s">
        <v>176</v>
      </c>
      <c r="U126" s="25" t="s">
        <v>715</v>
      </c>
      <c r="V126" s="25" t="s">
        <v>39</v>
      </c>
      <c r="W126" s="26">
        <v>46023</v>
      </c>
    </row>
    <row r="127" spans="1:23" ht="15.75" customHeight="1">
      <c r="A127" s="25" t="s">
        <v>716</v>
      </c>
      <c r="B127" s="25" t="s">
        <v>128</v>
      </c>
      <c r="C127" s="25" t="s">
        <v>55</v>
      </c>
      <c r="D127" s="25" t="s">
        <v>225</v>
      </c>
      <c r="E127" s="25" t="s">
        <v>717</v>
      </c>
      <c r="F127" s="25" t="s">
        <v>201</v>
      </c>
      <c r="G127" s="25" t="s">
        <v>77</v>
      </c>
      <c r="H127" s="25" t="s">
        <v>718</v>
      </c>
      <c r="I127" s="25" t="s">
        <v>60</v>
      </c>
      <c r="J127" s="25" t="s">
        <v>32</v>
      </c>
      <c r="K127" s="25" t="s">
        <v>47</v>
      </c>
      <c r="L127" s="25" t="s">
        <v>61</v>
      </c>
      <c r="M127" s="25">
        <v>10</v>
      </c>
      <c r="N127" s="25">
        <v>55000</v>
      </c>
      <c r="O127" s="25">
        <v>5</v>
      </c>
      <c r="P127" s="25">
        <v>522500</v>
      </c>
      <c r="Q127" s="25">
        <v>5</v>
      </c>
      <c r="R127" s="25" t="s">
        <v>89</v>
      </c>
      <c r="S127" s="25" t="s">
        <v>62</v>
      </c>
      <c r="T127" s="25" t="s">
        <v>133</v>
      </c>
      <c r="U127" s="25" t="s">
        <v>719</v>
      </c>
      <c r="V127" s="25" t="s">
        <v>65</v>
      </c>
      <c r="W127" s="26">
        <v>46113</v>
      </c>
    </row>
    <row r="128" spans="1:23" ht="15.75" customHeight="1">
      <c r="A128" s="25" t="s">
        <v>720</v>
      </c>
      <c r="B128" s="25" t="s">
        <v>252</v>
      </c>
      <c r="C128" s="25" t="s">
        <v>93</v>
      </c>
      <c r="D128" s="25" t="s">
        <v>721</v>
      </c>
      <c r="E128" s="25" t="s">
        <v>383</v>
      </c>
      <c r="F128" s="25" t="s">
        <v>255</v>
      </c>
      <c r="G128" s="25" t="s">
        <v>29</v>
      </c>
      <c r="H128" s="25" t="s">
        <v>722</v>
      </c>
      <c r="I128" s="25" t="s">
        <v>213</v>
      </c>
      <c r="J128" s="25" t="s">
        <v>46</v>
      </c>
      <c r="K128" s="25" t="s">
        <v>33</v>
      </c>
      <c r="L128" s="25" t="s">
        <v>98</v>
      </c>
      <c r="M128" s="25">
        <v>15</v>
      </c>
      <c r="N128" s="25">
        <v>3500</v>
      </c>
      <c r="O128" s="25">
        <v>10</v>
      </c>
      <c r="P128" s="25">
        <v>47250</v>
      </c>
      <c r="Q128" s="25">
        <v>3</v>
      </c>
      <c r="R128" s="25" t="s">
        <v>49</v>
      </c>
      <c r="S128" s="25" t="s">
        <v>116</v>
      </c>
      <c r="T128" s="25" t="s">
        <v>257</v>
      </c>
      <c r="U128" s="25" t="s">
        <v>723</v>
      </c>
      <c r="V128" s="25" t="s">
        <v>39</v>
      </c>
      <c r="W128" s="26">
        <v>45870</v>
      </c>
    </row>
    <row r="129" spans="1:23" ht="15.75" customHeight="1">
      <c r="A129" s="25" t="s">
        <v>724</v>
      </c>
      <c r="B129" s="25" t="s">
        <v>101</v>
      </c>
      <c r="C129" s="25" t="s">
        <v>25</v>
      </c>
      <c r="D129" s="25" t="s">
        <v>563</v>
      </c>
      <c r="E129" s="25" t="s">
        <v>725</v>
      </c>
      <c r="F129" s="25" t="s">
        <v>104</v>
      </c>
      <c r="G129" s="25" t="s">
        <v>29</v>
      </c>
      <c r="H129" s="25" t="s">
        <v>726</v>
      </c>
      <c r="I129" s="25" t="s">
        <v>60</v>
      </c>
      <c r="J129" s="25" t="s">
        <v>32</v>
      </c>
      <c r="K129" s="25" t="s">
        <v>33</v>
      </c>
      <c r="L129" s="25" t="s">
        <v>34</v>
      </c>
      <c r="M129" s="25">
        <v>10</v>
      </c>
      <c r="N129" s="25">
        <v>2200</v>
      </c>
      <c r="O129" s="25">
        <v>15</v>
      </c>
      <c r="P129" s="25">
        <v>18700</v>
      </c>
      <c r="Q129" s="25">
        <v>4</v>
      </c>
      <c r="R129" s="25" t="s">
        <v>80</v>
      </c>
      <c r="S129" s="25" t="s">
        <v>50</v>
      </c>
      <c r="T129" s="25" t="s">
        <v>145</v>
      </c>
      <c r="U129" s="25" t="s">
        <v>727</v>
      </c>
      <c r="V129" s="25" t="s">
        <v>65</v>
      </c>
      <c r="W129" s="26">
        <v>45870</v>
      </c>
    </row>
    <row r="130" spans="1:23" ht="15.75" customHeight="1">
      <c r="A130" s="25" t="s">
        <v>728</v>
      </c>
      <c r="B130" s="25" t="s">
        <v>252</v>
      </c>
      <c r="C130" s="25" t="s">
        <v>93</v>
      </c>
      <c r="D130" s="25" t="s">
        <v>261</v>
      </c>
      <c r="E130" s="25" t="s">
        <v>232</v>
      </c>
      <c r="F130" s="25" t="s">
        <v>255</v>
      </c>
      <c r="G130" s="25" t="s">
        <v>29</v>
      </c>
      <c r="H130" s="25" t="s">
        <v>729</v>
      </c>
      <c r="I130" s="25" t="s">
        <v>115</v>
      </c>
      <c r="J130" s="25" t="s">
        <v>107</v>
      </c>
      <c r="K130" s="25" t="s">
        <v>33</v>
      </c>
      <c r="L130" s="25" t="s">
        <v>98</v>
      </c>
      <c r="M130" s="25">
        <v>11</v>
      </c>
      <c r="N130" s="25">
        <v>3500</v>
      </c>
      <c r="O130" s="25">
        <v>5</v>
      </c>
      <c r="P130" s="25">
        <v>36575</v>
      </c>
      <c r="Q130" s="25">
        <v>5</v>
      </c>
      <c r="R130" s="25" t="s">
        <v>35</v>
      </c>
      <c r="S130" s="25" t="s">
        <v>36</v>
      </c>
      <c r="T130" s="25" t="s">
        <v>257</v>
      </c>
      <c r="U130" s="25" t="s">
        <v>730</v>
      </c>
      <c r="V130" s="25" t="s">
        <v>70</v>
      </c>
      <c r="W130" s="26">
        <v>45809</v>
      </c>
    </row>
    <row r="131" spans="1:23" ht="15.75" customHeight="1">
      <c r="A131" s="25" t="s">
        <v>731</v>
      </c>
      <c r="B131" s="25" t="s">
        <v>169</v>
      </c>
      <c r="C131" s="25" t="s">
        <v>73</v>
      </c>
      <c r="D131" s="25" t="s">
        <v>732</v>
      </c>
      <c r="E131" s="25" t="s">
        <v>733</v>
      </c>
      <c r="F131" s="25" t="s">
        <v>362</v>
      </c>
      <c r="G131" s="25" t="s">
        <v>29</v>
      </c>
      <c r="H131" s="25" t="s">
        <v>734</v>
      </c>
      <c r="I131" s="25" t="s">
        <v>60</v>
      </c>
      <c r="J131" s="25" t="s">
        <v>32</v>
      </c>
      <c r="K131" s="25" t="s">
        <v>47</v>
      </c>
      <c r="L131" s="25" t="s">
        <v>79</v>
      </c>
      <c r="M131" s="25">
        <v>14</v>
      </c>
      <c r="N131" s="25">
        <v>1200</v>
      </c>
      <c r="O131" s="25">
        <v>0</v>
      </c>
      <c r="P131" s="25">
        <v>16800</v>
      </c>
      <c r="Q131" s="25">
        <v>5</v>
      </c>
      <c r="R131" s="25" t="s">
        <v>35</v>
      </c>
      <c r="S131" s="25" t="s">
        <v>50</v>
      </c>
      <c r="T131" s="25" t="s">
        <v>176</v>
      </c>
      <c r="U131" s="25" t="s">
        <v>735</v>
      </c>
      <c r="V131" s="25" t="s">
        <v>70</v>
      </c>
      <c r="W131" s="26">
        <v>46113</v>
      </c>
    </row>
    <row r="132" spans="1:23" ht="15.75" customHeight="1">
      <c r="A132" s="25" t="s">
        <v>736</v>
      </c>
      <c r="B132" s="25" t="s">
        <v>101</v>
      </c>
      <c r="C132" s="25" t="s">
        <v>223</v>
      </c>
      <c r="D132" s="25" t="s">
        <v>737</v>
      </c>
      <c r="E132" s="25" t="s">
        <v>171</v>
      </c>
      <c r="F132" s="25" t="s">
        <v>104</v>
      </c>
      <c r="G132" s="25" t="s">
        <v>29</v>
      </c>
      <c r="H132" s="25" t="s">
        <v>738</v>
      </c>
      <c r="I132" s="25" t="s">
        <v>45</v>
      </c>
      <c r="J132" s="25" t="s">
        <v>46</v>
      </c>
      <c r="K132" s="25" t="s">
        <v>123</v>
      </c>
      <c r="L132" s="25" t="s">
        <v>228</v>
      </c>
      <c r="M132" s="25">
        <v>11</v>
      </c>
      <c r="N132" s="25">
        <v>20</v>
      </c>
      <c r="O132" s="25">
        <v>20</v>
      </c>
      <c r="P132" s="25">
        <v>176</v>
      </c>
      <c r="Q132" s="25">
        <v>4</v>
      </c>
      <c r="R132" s="25" t="s">
        <v>49</v>
      </c>
      <c r="S132" s="25" t="s">
        <v>36</v>
      </c>
      <c r="T132" s="25" t="s">
        <v>145</v>
      </c>
      <c r="U132" s="25" t="s">
        <v>739</v>
      </c>
      <c r="V132" s="25" t="s">
        <v>39</v>
      </c>
      <c r="W132" s="26">
        <v>46054</v>
      </c>
    </row>
    <row r="133" spans="1:23" ht="15.75" customHeight="1">
      <c r="A133" s="25" t="s">
        <v>740</v>
      </c>
      <c r="B133" s="25" t="s">
        <v>72</v>
      </c>
      <c r="C133" s="25" t="s">
        <v>41</v>
      </c>
      <c r="D133" s="25" t="s">
        <v>741</v>
      </c>
      <c r="E133" s="25" t="s">
        <v>658</v>
      </c>
      <c r="F133" s="25" t="s">
        <v>218</v>
      </c>
      <c r="G133" s="25" t="s">
        <v>77</v>
      </c>
      <c r="H133" s="25" t="s">
        <v>742</v>
      </c>
      <c r="I133" s="25" t="s">
        <v>115</v>
      </c>
      <c r="J133" s="25" t="s">
        <v>107</v>
      </c>
      <c r="K133" s="25" t="s">
        <v>47</v>
      </c>
      <c r="L133" s="25" t="s">
        <v>48</v>
      </c>
      <c r="M133" s="25">
        <v>6</v>
      </c>
      <c r="N133" s="25">
        <v>12000</v>
      </c>
      <c r="O133" s="25">
        <v>10</v>
      </c>
      <c r="P133" s="25">
        <v>64800</v>
      </c>
      <c r="Q133" s="25">
        <v>5</v>
      </c>
      <c r="R133" s="25" t="s">
        <v>89</v>
      </c>
      <c r="S133" s="25" t="s">
        <v>152</v>
      </c>
      <c r="T133" s="25" t="s">
        <v>81</v>
      </c>
      <c r="U133" s="25" t="s">
        <v>743</v>
      </c>
      <c r="V133" s="25" t="s">
        <v>39</v>
      </c>
      <c r="W133" s="26">
        <v>46113</v>
      </c>
    </row>
    <row r="134" spans="1:23" ht="15.75" customHeight="1">
      <c r="A134" s="25" t="s">
        <v>744</v>
      </c>
      <c r="B134" s="25" t="s">
        <v>72</v>
      </c>
      <c r="C134" s="25" t="s">
        <v>25</v>
      </c>
      <c r="D134" s="25" t="s">
        <v>653</v>
      </c>
      <c r="E134" s="25" t="s">
        <v>540</v>
      </c>
      <c r="F134" s="25" t="s">
        <v>218</v>
      </c>
      <c r="G134" s="25" t="s">
        <v>77</v>
      </c>
      <c r="H134" s="25" t="s">
        <v>745</v>
      </c>
      <c r="I134" s="25" t="s">
        <v>31</v>
      </c>
      <c r="J134" s="25" t="s">
        <v>32</v>
      </c>
      <c r="K134" s="25" t="s">
        <v>33</v>
      </c>
      <c r="L134" s="25" t="s">
        <v>34</v>
      </c>
      <c r="M134" s="25">
        <v>6</v>
      </c>
      <c r="N134" s="25">
        <v>2200</v>
      </c>
      <c r="O134" s="25">
        <v>5</v>
      </c>
      <c r="P134" s="25">
        <v>12540</v>
      </c>
      <c r="Q134" s="25">
        <v>4</v>
      </c>
      <c r="R134" s="25" t="s">
        <v>35</v>
      </c>
      <c r="S134" s="25" t="s">
        <v>50</v>
      </c>
      <c r="T134" s="25" t="s">
        <v>81</v>
      </c>
      <c r="U134" s="25" t="s">
        <v>746</v>
      </c>
      <c r="V134" s="25" t="s">
        <v>39</v>
      </c>
      <c r="W134" s="26">
        <v>45748</v>
      </c>
    </row>
    <row r="135" spans="1:23" ht="15.75" customHeight="1">
      <c r="A135" s="25" t="s">
        <v>747</v>
      </c>
      <c r="B135" s="25" t="s">
        <v>54</v>
      </c>
      <c r="C135" s="25" t="s">
        <v>93</v>
      </c>
      <c r="D135" s="25" t="s">
        <v>409</v>
      </c>
      <c r="E135" s="25" t="s">
        <v>489</v>
      </c>
      <c r="F135" s="25" t="s">
        <v>164</v>
      </c>
      <c r="G135" s="25" t="s">
        <v>29</v>
      </c>
      <c r="H135" s="25" t="s">
        <v>748</v>
      </c>
      <c r="I135" s="25" t="s">
        <v>45</v>
      </c>
      <c r="J135" s="25" t="s">
        <v>46</v>
      </c>
      <c r="K135" s="25" t="s">
        <v>33</v>
      </c>
      <c r="L135" s="25" t="s">
        <v>98</v>
      </c>
      <c r="M135" s="25">
        <v>3</v>
      </c>
      <c r="N135" s="25">
        <v>3500</v>
      </c>
      <c r="O135" s="25">
        <v>5</v>
      </c>
      <c r="P135" s="25">
        <v>9975</v>
      </c>
      <c r="Q135" s="25">
        <v>4</v>
      </c>
      <c r="R135" s="25" t="s">
        <v>49</v>
      </c>
      <c r="S135" s="25" t="s">
        <v>50</v>
      </c>
      <c r="T135" s="25" t="s">
        <v>63</v>
      </c>
      <c r="U135" s="25" t="s">
        <v>749</v>
      </c>
      <c r="V135" s="25" t="s">
        <v>65</v>
      </c>
      <c r="W135" s="26">
        <v>45809</v>
      </c>
    </row>
    <row r="136" spans="1:23" ht="15.75" customHeight="1">
      <c r="A136" s="25" t="s">
        <v>750</v>
      </c>
      <c r="B136" s="25" t="s">
        <v>72</v>
      </c>
      <c r="C136" s="25" t="s">
        <v>170</v>
      </c>
      <c r="D136" s="25" t="s">
        <v>751</v>
      </c>
      <c r="E136" s="25" t="s">
        <v>752</v>
      </c>
      <c r="F136" s="25" t="s">
        <v>218</v>
      </c>
      <c r="G136" s="25" t="s">
        <v>77</v>
      </c>
      <c r="H136" s="25" t="s">
        <v>753</v>
      </c>
      <c r="I136" s="25" t="s">
        <v>31</v>
      </c>
      <c r="J136" s="25" t="s">
        <v>32</v>
      </c>
      <c r="K136" s="25" t="s">
        <v>33</v>
      </c>
      <c r="L136" s="25" t="s">
        <v>175</v>
      </c>
      <c r="M136" s="25">
        <v>5</v>
      </c>
      <c r="N136" s="25">
        <v>8500</v>
      </c>
      <c r="O136" s="25">
        <v>20</v>
      </c>
      <c r="P136" s="25">
        <v>34000</v>
      </c>
      <c r="Q136" s="25">
        <v>5</v>
      </c>
      <c r="R136" s="25" t="s">
        <v>35</v>
      </c>
      <c r="S136" s="25" t="s">
        <v>62</v>
      </c>
      <c r="T136" s="25" t="s">
        <v>81</v>
      </c>
      <c r="U136" s="25" t="s">
        <v>754</v>
      </c>
      <c r="V136" s="25" t="s">
        <v>65</v>
      </c>
      <c r="W136" s="26">
        <v>45809</v>
      </c>
    </row>
    <row r="137" spans="1:23" ht="15.75" customHeight="1">
      <c r="A137" s="25" t="s">
        <v>755</v>
      </c>
      <c r="B137" s="25" t="s">
        <v>24</v>
      </c>
      <c r="C137" s="25" t="s">
        <v>93</v>
      </c>
      <c r="D137" s="25" t="s">
        <v>756</v>
      </c>
      <c r="E137" s="25" t="s">
        <v>757</v>
      </c>
      <c r="F137" s="25" t="s">
        <v>28</v>
      </c>
      <c r="G137" s="25" t="s">
        <v>29</v>
      </c>
      <c r="H137" s="25" t="s">
        <v>758</v>
      </c>
      <c r="I137" s="25" t="s">
        <v>60</v>
      </c>
      <c r="J137" s="25" t="s">
        <v>32</v>
      </c>
      <c r="K137" s="25" t="s">
        <v>33</v>
      </c>
      <c r="L137" s="25" t="s">
        <v>98</v>
      </c>
      <c r="M137" s="25">
        <v>14</v>
      </c>
      <c r="N137" s="25">
        <v>3500</v>
      </c>
      <c r="O137" s="25">
        <v>10</v>
      </c>
      <c r="P137" s="25">
        <v>44100</v>
      </c>
      <c r="Q137" s="25">
        <v>4</v>
      </c>
      <c r="R137" s="25" t="s">
        <v>89</v>
      </c>
      <c r="S137" s="25" t="s">
        <v>36</v>
      </c>
      <c r="T137" s="25" t="s">
        <v>51</v>
      </c>
      <c r="U137" s="25" t="s">
        <v>759</v>
      </c>
      <c r="V137" s="25" t="s">
        <v>70</v>
      </c>
      <c r="W137" s="26">
        <v>45839</v>
      </c>
    </row>
    <row r="138" spans="1:23" ht="15.75" customHeight="1">
      <c r="A138" s="25" t="s">
        <v>760</v>
      </c>
      <c r="B138" s="25" t="s">
        <v>328</v>
      </c>
      <c r="C138" s="25" t="s">
        <v>260</v>
      </c>
      <c r="D138" s="25" t="s">
        <v>761</v>
      </c>
      <c r="E138" s="25" t="s">
        <v>762</v>
      </c>
      <c r="F138" s="25" t="s">
        <v>395</v>
      </c>
      <c r="G138" s="25" t="s">
        <v>77</v>
      </c>
      <c r="H138" s="25" t="s">
        <v>763</v>
      </c>
      <c r="I138" s="25" t="s">
        <v>139</v>
      </c>
      <c r="J138" s="25" t="s">
        <v>107</v>
      </c>
      <c r="K138" s="25" t="s">
        <v>123</v>
      </c>
      <c r="L138" s="25" t="s">
        <v>264</v>
      </c>
      <c r="M138" s="25">
        <v>8</v>
      </c>
      <c r="N138" s="25">
        <v>45</v>
      </c>
      <c r="O138" s="25">
        <v>0</v>
      </c>
      <c r="P138" s="25">
        <v>360</v>
      </c>
      <c r="Q138" s="25">
        <v>1</v>
      </c>
      <c r="R138" s="25" t="s">
        <v>80</v>
      </c>
      <c r="S138" s="25" t="s">
        <v>152</v>
      </c>
      <c r="T138" s="25" t="s">
        <v>333</v>
      </c>
      <c r="U138" s="25" t="s">
        <v>764</v>
      </c>
      <c r="V138" s="25" t="s">
        <v>70</v>
      </c>
      <c r="W138" s="26">
        <v>45658</v>
      </c>
    </row>
    <row r="139" spans="1:23" ht="15.75" customHeight="1">
      <c r="A139" s="25" t="s">
        <v>765</v>
      </c>
      <c r="B139" s="25" t="s">
        <v>222</v>
      </c>
      <c r="C139" s="25" t="s">
        <v>260</v>
      </c>
      <c r="D139" s="25" t="s">
        <v>766</v>
      </c>
      <c r="E139" s="25" t="s">
        <v>767</v>
      </c>
      <c r="F139" s="25" t="s">
        <v>226</v>
      </c>
      <c r="G139" s="25" t="s">
        <v>77</v>
      </c>
      <c r="H139" s="25" t="s">
        <v>768</v>
      </c>
      <c r="I139" s="25" t="s">
        <v>45</v>
      </c>
      <c r="J139" s="25" t="s">
        <v>46</v>
      </c>
      <c r="K139" s="25" t="s">
        <v>123</v>
      </c>
      <c r="L139" s="25" t="s">
        <v>264</v>
      </c>
      <c r="M139" s="25">
        <v>11</v>
      </c>
      <c r="N139" s="25">
        <v>45</v>
      </c>
      <c r="O139" s="25">
        <v>5</v>
      </c>
      <c r="P139" s="25">
        <v>470.25</v>
      </c>
      <c r="Q139" s="25">
        <v>3</v>
      </c>
      <c r="R139" s="25" t="s">
        <v>80</v>
      </c>
      <c r="S139" s="25" t="s">
        <v>50</v>
      </c>
      <c r="T139" s="25" t="s">
        <v>229</v>
      </c>
      <c r="U139" s="25" t="s">
        <v>769</v>
      </c>
      <c r="V139" s="25" t="s">
        <v>39</v>
      </c>
      <c r="W139" s="26">
        <v>45689</v>
      </c>
    </row>
    <row r="140" spans="1:23" ht="15.75" customHeight="1">
      <c r="A140" s="25" t="s">
        <v>770</v>
      </c>
      <c r="B140" s="25" t="s">
        <v>84</v>
      </c>
      <c r="C140" s="25" t="s">
        <v>55</v>
      </c>
      <c r="D140" s="25" t="s">
        <v>771</v>
      </c>
      <c r="E140" s="25" t="s">
        <v>772</v>
      </c>
      <c r="F140" s="25" t="s">
        <v>181</v>
      </c>
      <c r="G140" s="25" t="s">
        <v>77</v>
      </c>
      <c r="H140" s="25" t="s">
        <v>773</v>
      </c>
      <c r="I140" s="25" t="s">
        <v>139</v>
      </c>
      <c r="J140" s="25" t="s">
        <v>107</v>
      </c>
      <c r="K140" s="25" t="s">
        <v>47</v>
      </c>
      <c r="L140" s="25" t="s">
        <v>61</v>
      </c>
      <c r="M140" s="25">
        <v>19</v>
      </c>
      <c r="N140" s="25">
        <v>55000</v>
      </c>
      <c r="O140" s="25">
        <v>0</v>
      </c>
      <c r="P140" s="25">
        <v>1045000</v>
      </c>
      <c r="Q140" s="25">
        <v>2</v>
      </c>
      <c r="R140" s="25" t="s">
        <v>80</v>
      </c>
      <c r="S140" s="25" t="s">
        <v>36</v>
      </c>
      <c r="T140" s="25" t="s">
        <v>90</v>
      </c>
      <c r="U140" s="25" t="s">
        <v>774</v>
      </c>
      <c r="V140" s="25" t="s">
        <v>70</v>
      </c>
      <c r="W140" s="26">
        <v>45658</v>
      </c>
    </row>
    <row r="141" spans="1:23" ht="15.75" customHeight="1">
      <c r="A141" s="25" t="s">
        <v>775</v>
      </c>
      <c r="B141" s="25" t="s">
        <v>54</v>
      </c>
      <c r="C141" s="25" t="s">
        <v>93</v>
      </c>
      <c r="D141" s="25" t="s">
        <v>776</v>
      </c>
      <c r="E141" s="25" t="s">
        <v>540</v>
      </c>
      <c r="F141" s="25" t="s">
        <v>164</v>
      </c>
      <c r="G141" s="25" t="s">
        <v>29</v>
      </c>
      <c r="H141" s="25" t="s">
        <v>777</v>
      </c>
      <c r="I141" s="25" t="s">
        <v>115</v>
      </c>
      <c r="J141" s="25" t="s">
        <v>107</v>
      </c>
      <c r="K141" s="25" t="s">
        <v>33</v>
      </c>
      <c r="L141" s="25" t="s">
        <v>98</v>
      </c>
      <c r="M141" s="25">
        <v>20</v>
      </c>
      <c r="N141" s="25">
        <v>3500</v>
      </c>
      <c r="O141" s="25">
        <v>20</v>
      </c>
      <c r="P141" s="25">
        <v>56000</v>
      </c>
      <c r="Q141" s="25">
        <v>4</v>
      </c>
      <c r="R141" s="25" t="s">
        <v>49</v>
      </c>
      <c r="S141" s="25" t="s">
        <v>50</v>
      </c>
      <c r="T141" s="25" t="s">
        <v>63</v>
      </c>
      <c r="U141" s="25" t="s">
        <v>778</v>
      </c>
      <c r="V141" s="25" t="s">
        <v>39</v>
      </c>
      <c r="W141" s="26">
        <v>45748</v>
      </c>
    </row>
    <row r="142" spans="1:23" ht="15.75" customHeight="1">
      <c r="A142" s="25" t="s">
        <v>779</v>
      </c>
      <c r="B142" s="25" t="s">
        <v>84</v>
      </c>
      <c r="C142" s="25" t="s">
        <v>25</v>
      </c>
      <c r="D142" s="25" t="s">
        <v>277</v>
      </c>
      <c r="E142" s="25" t="s">
        <v>780</v>
      </c>
      <c r="F142" s="25" t="s">
        <v>181</v>
      </c>
      <c r="G142" s="25" t="s">
        <v>77</v>
      </c>
      <c r="H142" s="25" t="s">
        <v>781</v>
      </c>
      <c r="I142" s="25" t="s">
        <v>115</v>
      </c>
      <c r="J142" s="25" t="s">
        <v>107</v>
      </c>
      <c r="K142" s="25" t="s">
        <v>33</v>
      </c>
      <c r="L142" s="25" t="s">
        <v>34</v>
      </c>
      <c r="M142" s="25">
        <v>17</v>
      </c>
      <c r="N142" s="25">
        <v>2200</v>
      </c>
      <c r="O142" s="25">
        <v>0</v>
      </c>
      <c r="P142" s="25">
        <v>37400</v>
      </c>
      <c r="Q142" s="25">
        <v>5</v>
      </c>
      <c r="R142" s="25" t="s">
        <v>49</v>
      </c>
      <c r="S142" s="25" t="s">
        <v>36</v>
      </c>
      <c r="T142" s="25" t="s">
        <v>90</v>
      </c>
      <c r="U142" s="25" t="s">
        <v>782</v>
      </c>
      <c r="V142" s="25" t="s">
        <v>65</v>
      </c>
      <c r="W142" s="26">
        <v>45839</v>
      </c>
    </row>
    <row r="143" spans="1:23" ht="15.75" customHeight="1">
      <c r="A143" s="25" t="s">
        <v>783</v>
      </c>
      <c r="B143" s="25" t="s">
        <v>84</v>
      </c>
      <c r="C143" s="25" t="s">
        <v>73</v>
      </c>
      <c r="D143" s="25" t="s">
        <v>771</v>
      </c>
      <c r="E143" s="25" t="s">
        <v>784</v>
      </c>
      <c r="F143" s="25" t="s">
        <v>181</v>
      </c>
      <c r="G143" s="25" t="s">
        <v>77</v>
      </c>
      <c r="H143" s="25" t="s">
        <v>785</v>
      </c>
      <c r="I143" s="25" t="s">
        <v>115</v>
      </c>
      <c r="J143" s="25" t="s">
        <v>107</v>
      </c>
      <c r="K143" s="25" t="s">
        <v>47</v>
      </c>
      <c r="L143" s="25" t="s">
        <v>79</v>
      </c>
      <c r="M143" s="25">
        <v>10</v>
      </c>
      <c r="N143" s="25">
        <v>1200</v>
      </c>
      <c r="O143" s="25">
        <v>5</v>
      </c>
      <c r="P143" s="25">
        <v>11400</v>
      </c>
      <c r="Q143" s="25">
        <v>2</v>
      </c>
      <c r="R143" s="25" t="s">
        <v>35</v>
      </c>
      <c r="S143" s="25" t="s">
        <v>50</v>
      </c>
      <c r="T143" s="25" t="s">
        <v>90</v>
      </c>
      <c r="U143" s="25" t="s">
        <v>786</v>
      </c>
      <c r="V143" s="25" t="s">
        <v>70</v>
      </c>
      <c r="W143" s="26">
        <v>45658</v>
      </c>
    </row>
    <row r="144" spans="1:23" ht="15.75" customHeight="1">
      <c r="A144" s="25" t="s">
        <v>787</v>
      </c>
      <c r="B144" s="25" t="s">
        <v>222</v>
      </c>
      <c r="C144" s="25" t="s">
        <v>119</v>
      </c>
      <c r="D144" s="25" t="s">
        <v>788</v>
      </c>
      <c r="E144" s="25" t="s">
        <v>789</v>
      </c>
      <c r="F144" s="25" t="s">
        <v>226</v>
      </c>
      <c r="G144" s="25" t="s">
        <v>77</v>
      </c>
      <c r="H144" s="25" t="s">
        <v>790</v>
      </c>
      <c r="I144" s="25" t="s">
        <v>31</v>
      </c>
      <c r="J144" s="25" t="s">
        <v>32</v>
      </c>
      <c r="K144" s="25" t="s">
        <v>123</v>
      </c>
      <c r="L144" s="25" t="s">
        <v>124</v>
      </c>
      <c r="M144" s="25">
        <v>3</v>
      </c>
      <c r="N144" s="25">
        <v>60</v>
      </c>
      <c r="O144" s="25">
        <v>0</v>
      </c>
      <c r="P144" s="25">
        <v>180</v>
      </c>
      <c r="Q144" s="25">
        <v>4</v>
      </c>
      <c r="R144" s="25" t="s">
        <v>49</v>
      </c>
      <c r="S144" s="25" t="s">
        <v>152</v>
      </c>
      <c r="T144" s="25" t="s">
        <v>229</v>
      </c>
      <c r="U144" s="25" t="s">
        <v>791</v>
      </c>
      <c r="V144" s="25" t="s">
        <v>39</v>
      </c>
      <c r="W144" s="26">
        <v>45992</v>
      </c>
    </row>
    <row r="145" spans="1:23" ht="15.75" customHeight="1">
      <c r="A145" s="25" t="s">
        <v>792</v>
      </c>
      <c r="B145" s="25" t="s">
        <v>54</v>
      </c>
      <c r="C145" s="25" t="s">
        <v>25</v>
      </c>
      <c r="D145" s="25" t="s">
        <v>793</v>
      </c>
      <c r="E145" s="25" t="s">
        <v>794</v>
      </c>
      <c r="F145" s="25" t="s">
        <v>164</v>
      </c>
      <c r="G145" s="25" t="s">
        <v>29</v>
      </c>
      <c r="H145" s="25" t="s">
        <v>795</v>
      </c>
      <c r="I145" s="25" t="s">
        <v>106</v>
      </c>
      <c r="J145" s="25" t="s">
        <v>107</v>
      </c>
      <c r="K145" s="25" t="s">
        <v>33</v>
      </c>
      <c r="L145" s="25" t="s">
        <v>34</v>
      </c>
      <c r="M145" s="25">
        <v>18</v>
      </c>
      <c r="N145" s="25">
        <v>2200</v>
      </c>
      <c r="O145" s="25">
        <v>10</v>
      </c>
      <c r="P145" s="25">
        <v>35640</v>
      </c>
      <c r="Q145" s="25">
        <v>1</v>
      </c>
      <c r="R145" s="25" t="s">
        <v>80</v>
      </c>
      <c r="S145" s="25" t="s">
        <v>152</v>
      </c>
      <c r="T145" s="25" t="s">
        <v>63</v>
      </c>
      <c r="U145" s="25" t="s">
        <v>796</v>
      </c>
      <c r="V145" s="25" t="s">
        <v>70</v>
      </c>
      <c r="W145" s="26">
        <v>45931</v>
      </c>
    </row>
    <row r="146" spans="1:23" ht="15.75" customHeight="1">
      <c r="A146" s="25" t="s">
        <v>797</v>
      </c>
      <c r="B146" s="25" t="s">
        <v>72</v>
      </c>
      <c r="C146" s="25" t="s">
        <v>119</v>
      </c>
      <c r="D146" s="25" t="s">
        <v>798</v>
      </c>
      <c r="E146" s="25" t="s">
        <v>799</v>
      </c>
      <c r="F146" s="25" t="s">
        <v>218</v>
      </c>
      <c r="G146" s="25" t="s">
        <v>77</v>
      </c>
      <c r="H146" s="25" t="s">
        <v>800</v>
      </c>
      <c r="I146" s="25" t="s">
        <v>45</v>
      </c>
      <c r="J146" s="25" t="s">
        <v>46</v>
      </c>
      <c r="K146" s="25" t="s">
        <v>123</v>
      </c>
      <c r="L146" s="25" t="s">
        <v>124</v>
      </c>
      <c r="M146" s="25">
        <v>18</v>
      </c>
      <c r="N146" s="25">
        <v>60</v>
      </c>
      <c r="O146" s="25">
        <v>5</v>
      </c>
      <c r="P146" s="25">
        <v>1026</v>
      </c>
      <c r="Q146" s="25">
        <v>3</v>
      </c>
      <c r="R146" s="25" t="s">
        <v>80</v>
      </c>
      <c r="S146" s="25" t="s">
        <v>50</v>
      </c>
      <c r="T146" s="25" t="s">
        <v>81</v>
      </c>
      <c r="U146" s="25" t="s">
        <v>801</v>
      </c>
      <c r="V146" s="25" t="s">
        <v>65</v>
      </c>
      <c r="W146" s="26">
        <v>46082</v>
      </c>
    </row>
    <row r="147" spans="1:23" ht="15.75" customHeight="1">
      <c r="A147" s="25" t="s">
        <v>802</v>
      </c>
      <c r="B147" s="25" t="s">
        <v>128</v>
      </c>
      <c r="C147" s="25" t="s">
        <v>55</v>
      </c>
      <c r="D147" s="25" t="s">
        <v>423</v>
      </c>
      <c r="E147" s="25" t="s">
        <v>378</v>
      </c>
      <c r="F147" s="25" t="s">
        <v>201</v>
      </c>
      <c r="G147" s="25" t="s">
        <v>77</v>
      </c>
      <c r="H147" s="25" t="s">
        <v>803</v>
      </c>
      <c r="I147" s="25" t="s">
        <v>115</v>
      </c>
      <c r="J147" s="25" t="s">
        <v>107</v>
      </c>
      <c r="K147" s="25" t="s">
        <v>47</v>
      </c>
      <c r="L147" s="25" t="s">
        <v>61</v>
      </c>
      <c r="M147" s="25">
        <v>11</v>
      </c>
      <c r="N147" s="25">
        <v>55000</v>
      </c>
      <c r="O147" s="25">
        <v>15</v>
      </c>
      <c r="P147" s="25">
        <v>514250</v>
      </c>
      <c r="Q147" s="25">
        <v>4</v>
      </c>
      <c r="R147" s="25" t="s">
        <v>89</v>
      </c>
      <c r="S147" s="25" t="s">
        <v>116</v>
      </c>
      <c r="T147" s="25" t="s">
        <v>133</v>
      </c>
      <c r="U147" s="25" t="s">
        <v>804</v>
      </c>
      <c r="V147" s="25" t="s">
        <v>70</v>
      </c>
      <c r="W147" s="26">
        <v>45870</v>
      </c>
    </row>
    <row r="148" spans="1:23" ht="15.75" customHeight="1">
      <c r="A148" s="25" t="s">
        <v>805</v>
      </c>
      <c r="B148" s="25" t="s">
        <v>252</v>
      </c>
      <c r="C148" s="25" t="s">
        <v>170</v>
      </c>
      <c r="D148" s="25" t="s">
        <v>475</v>
      </c>
      <c r="E148" s="25" t="s">
        <v>465</v>
      </c>
      <c r="F148" s="25" t="s">
        <v>255</v>
      </c>
      <c r="G148" s="25" t="s">
        <v>29</v>
      </c>
      <c r="H148" s="25" t="s">
        <v>806</v>
      </c>
      <c r="I148" s="25" t="s">
        <v>295</v>
      </c>
      <c r="J148" s="25" t="s">
        <v>296</v>
      </c>
      <c r="K148" s="25" t="s">
        <v>33</v>
      </c>
      <c r="L148" s="25" t="s">
        <v>175</v>
      </c>
      <c r="M148" s="25">
        <v>5</v>
      </c>
      <c r="N148" s="25">
        <v>8500</v>
      </c>
      <c r="O148" s="25">
        <v>5</v>
      </c>
      <c r="P148" s="25">
        <v>40375</v>
      </c>
      <c r="Q148" s="25">
        <v>4</v>
      </c>
      <c r="R148" s="25" t="s">
        <v>35</v>
      </c>
      <c r="S148" s="25" t="s">
        <v>152</v>
      </c>
      <c r="T148" s="25" t="s">
        <v>257</v>
      </c>
      <c r="U148" s="25" t="s">
        <v>807</v>
      </c>
      <c r="V148" s="25" t="s">
        <v>39</v>
      </c>
      <c r="W148" s="26">
        <v>45992</v>
      </c>
    </row>
    <row r="149" spans="1:23" ht="15.75" customHeight="1">
      <c r="A149" s="25" t="s">
        <v>810</v>
      </c>
      <c r="B149" s="25" t="s">
        <v>128</v>
      </c>
      <c r="C149" s="25" t="s">
        <v>185</v>
      </c>
      <c r="D149" s="25" t="s">
        <v>490</v>
      </c>
      <c r="E149" s="25" t="s">
        <v>268</v>
      </c>
      <c r="F149" s="25" t="s">
        <v>201</v>
      </c>
      <c r="G149" s="25" t="s">
        <v>77</v>
      </c>
      <c r="H149" s="25" t="s">
        <v>811</v>
      </c>
      <c r="I149" s="25" t="s">
        <v>115</v>
      </c>
      <c r="J149" s="25" t="s">
        <v>107</v>
      </c>
      <c r="K149" s="25" t="s">
        <v>47</v>
      </c>
      <c r="L149" s="25" t="s">
        <v>190</v>
      </c>
      <c r="M149" s="25">
        <v>6</v>
      </c>
      <c r="N149" s="25">
        <v>700</v>
      </c>
      <c r="O149" s="25">
        <v>10</v>
      </c>
      <c r="P149" s="25">
        <v>3780</v>
      </c>
      <c r="Q149" s="25">
        <v>4</v>
      </c>
      <c r="R149" s="25" t="s">
        <v>35</v>
      </c>
      <c r="S149" s="25" t="s">
        <v>50</v>
      </c>
      <c r="T149" s="25" t="s">
        <v>133</v>
      </c>
      <c r="U149" s="25" t="s">
        <v>812</v>
      </c>
      <c r="V149" s="25" t="s">
        <v>70</v>
      </c>
      <c r="W149" s="26">
        <v>45839</v>
      </c>
    </row>
    <row r="150" spans="1:23" ht="15.75" customHeight="1">
      <c r="A150" s="25" t="s">
        <v>813</v>
      </c>
      <c r="B150" s="25" t="s">
        <v>54</v>
      </c>
      <c r="C150" s="25" t="s">
        <v>93</v>
      </c>
      <c r="D150" s="25" t="s">
        <v>519</v>
      </c>
      <c r="E150" s="25" t="s">
        <v>616</v>
      </c>
      <c r="F150" s="25" t="s">
        <v>164</v>
      </c>
      <c r="G150" s="25" t="s">
        <v>29</v>
      </c>
      <c r="H150" s="25" t="s">
        <v>814</v>
      </c>
      <c r="I150" s="25" t="s">
        <v>45</v>
      </c>
      <c r="J150" s="25" t="s">
        <v>46</v>
      </c>
      <c r="K150" s="25" t="s">
        <v>33</v>
      </c>
      <c r="L150" s="25" t="s">
        <v>98</v>
      </c>
      <c r="M150" s="25">
        <v>20</v>
      </c>
      <c r="N150" s="25">
        <v>3500</v>
      </c>
      <c r="O150" s="25">
        <v>10</v>
      </c>
      <c r="P150" s="25">
        <v>63000</v>
      </c>
      <c r="Q150" s="25">
        <v>4</v>
      </c>
      <c r="R150" s="25" t="s">
        <v>89</v>
      </c>
      <c r="S150" s="25" t="s">
        <v>50</v>
      </c>
      <c r="T150" s="25" t="s">
        <v>63</v>
      </c>
      <c r="U150" s="25" t="s">
        <v>815</v>
      </c>
      <c r="V150" s="25" t="s">
        <v>65</v>
      </c>
      <c r="W150" s="26">
        <v>46143</v>
      </c>
    </row>
    <row r="151" spans="1:23" ht="15.75" customHeight="1">
      <c r="A151" s="25" t="s">
        <v>816</v>
      </c>
      <c r="B151" s="25" t="s">
        <v>24</v>
      </c>
      <c r="C151" s="25" t="s">
        <v>223</v>
      </c>
      <c r="D151" s="25" t="s">
        <v>817</v>
      </c>
      <c r="E151" s="25" t="s">
        <v>818</v>
      </c>
      <c r="F151" s="25" t="s">
        <v>28</v>
      </c>
      <c r="G151" s="25" t="s">
        <v>29</v>
      </c>
      <c r="H151" s="25" t="s">
        <v>819</v>
      </c>
      <c r="I151" s="25" t="s">
        <v>60</v>
      </c>
      <c r="J151" s="25" t="s">
        <v>32</v>
      </c>
      <c r="K151" s="25" t="s">
        <v>123</v>
      </c>
      <c r="L151" s="25" t="s">
        <v>228</v>
      </c>
      <c r="M151" s="25">
        <v>2</v>
      </c>
      <c r="N151" s="25">
        <v>20</v>
      </c>
      <c r="O151" s="25">
        <v>10</v>
      </c>
      <c r="P151" s="25">
        <v>36</v>
      </c>
      <c r="Q151" s="25">
        <v>1</v>
      </c>
      <c r="R151" s="25" t="s">
        <v>49</v>
      </c>
      <c r="S151" s="25" t="s">
        <v>116</v>
      </c>
      <c r="T151" s="25" t="s">
        <v>51</v>
      </c>
      <c r="U151" s="25" t="s">
        <v>820</v>
      </c>
      <c r="V151" s="25" t="s">
        <v>65</v>
      </c>
      <c r="W151" s="26">
        <v>45962</v>
      </c>
    </row>
    <row r="152" spans="1:23" ht="15.75" customHeight="1">
      <c r="A152" s="25" t="s">
        <v>821</v>
      </c>
      <c r="B152" s="25" t="s">
        <v>101</v>
      </c>
      <c r="C152" s="25" t="s">
        <v>25</v>
      </c>
      <c r="D152" s="25" t="s">
        <v>780</v>
      </c>
      <c r="E152" s="25" t="s">
        <v>822</v>
      </c>
      <c r="F152" s="25" t="s">
        <v>104</v>
      </c>
      <c r="G152" s="25" t="s">
        <v>29</v>
      </c>
      <c r="H152" s="25" t="s">
        <v>823</v>
      </c>
      <c r="I152" s="25" t="s">
        <v>115</v>
      </c>
      <c r="J152" s="25" t="s">
        <v>107</v>
      </c>
      <c r="K152" s="25" t="s">
        <v>33</v>
      </c>
      <c r="L152" s="25" t="s">
        <v>34</v>
      </c>
      <c r="M152" s="25">
        <v>16</v>
      </c>
      <c r="N152" s="25">
        <v>2200</v>
      </c>
      <c r="O152" s="25">
        <v>20</v>
      </c>
      <c r="P152" s="25">
        <v>28160</v>
      </c>
      <c r="Q152" s="25">
        <v>2</v>
      </c>
      <c r="R152" s="25" t="s">
        <v>89</v>
      </c>
      <c r="S152" s="25" t="s">
        <v>152</v>
      </c>
      <c r="T152" s="25" t="s">
        <v>145</v>
      </c>
      <c r="U152" s="25" t="s">
        <v>824</v>
      </c>
      <c r="V152" s="25" t="s">
        <v>65</v>
      </c>
      <c r="W152" s="26">
        <v>45839</v>
      </c>
    </row>
    <row r="153" spans="1:23" ht="15.75" customHeight="1">
      <c r="A153" s="25" t="s">
        <v>825</v>
      </c>
      <c r="B153" s="25" t="s">
        <v>222</v>
      </c>
      <c r="C153" s="25" t="s">
        <v>41</v>
      </c>
      <c r="D153" s="25" t="s">
        <v>149</v>
      </c>
      <c r="E153" s="25" t="s">
        <v>826</v>
      </c>
      <c r="F153" s="25" t="s">
        <v>226</v>
      </c>
      <c r="G153" s="25" t="s">
        <v>77</v>
      </c>
      <c r="H153" s="25" t="s">
        <v>827</v>
      </c>
      <c r="I153" s="25" t="s">
        <v>115</v>
      </c>
      <c r="J153" s="25" t="s">
        <v>107</v>
      </c>
      <c r="K153" s="25" t="s">
        <v>47</v>
      </c>
      <c r="L153" s="25" t="s">
        <v>48</v>
      </c>
      <c r="M153" s="25">
        <v>15</v>
      </c>
      <c r="N153" s="25">
        <v>12000</v>
      </c>
      <c r="O153" s="25">
        <v>0</v>
      </c>
      <c r="P153" s="25">
        <v>180000</v>
      </c>
      <c r="Q153" s="25">
        <v>1</v>
      </c>
      <c r="R153" s="25" t="s">
        <v>80</v>
      </c>
      <c r="S153" s="25" t="s">
        <v>62</v>
      </c>
      <c r="T153" s="25" t="s">
        <v>229</v>
      </c>
      <c r="U153" s="25" t="s">
        <v>828</v>
      </c>
      <c r="V153" s="25" t="s">
        <v>65</v>
      </c>
      <c r="W153" s="26">
        <v>45717</v>
      </c>
    </row>
    <row r="154" spans="1:23" ht="15.75" customHeight="1">
      <c r="A154" s="25" t="s">
        <v>829</v>
      </c>
      <c r="B154" s="25" t="s">
        <v>24</v>
      </c>
      <c r="C154" s="25" t="s">
        <v>119</v>
      </c>
      <c r="D154" s="25" t="s">
        <v>830</v>
      </c>
      <c r="E154" s="25" t="s">
        <v>831</v>
      </c>
      <c r="F154" s="25" t="s">
        <v>28</v>
      </c>
      <c r="G154" s="25" t="s">
        <v>29</v>
      </c>
      <c r="H154" s="25" t="s">
        <v>832</v>
      </c>
      <c r="I154" s="25" t="s">
        <v>45</v>
      </c>
      <c r="J154" s="25" t="s">
        <v>46</v>
      </c>
      <c r="K154" s="25" t="s">
        <v>123</v>
      </c>
      <c r="L154" s="25" t="s">
        <v>124</v>
      </c>
      <c r="M154" s="25">
        <v>14</v>
      </c>
      <c r="N154" s="25">
        <v>60</v>
      </c>
      <c r="O154" s="25">
        <v>15</v>
      </c>
      <c r="P154" s="25">
        <v>714</v>
      </c>
      <c r="Q154" s="25">
        <v>4</v>
      </c>
      <c r="R154" s="25" t="s">
        <v>89</v>
      </c>
      <c r="S154" s="25" t="s">
        <v>50</v>
      </c>
      <c r="T154" s="25" t="s">
        <v>51</v>
      </c>
      <c r="U154" s="25" t="s">
        <v>833</v>
      </c>
      <c r="V154" s="25" t="s">
        <v>39</v>
      </c>
      <c r="W154" s="26">
        <v>45839</v>
      </c>
    </row>
    <row r="155" spans="1:23" ht="15.75" customHeight="1">
      <c r="A155" s="25" t="s">
        <v>834</v>
      </c>
      <c r="B155" s="25" t="s">
        <v>54</v>
      </c>
      <c r="C155" s="25" t="s">
        <v>73</v>
      </c>
      <c r="D155" s="25" t="s">
        <v>835</v>
      </c>
      <c r="E155" s="25" t="s">
        <v>836</v>
      </c>
      <c r="F155" s="25" t="s">
        <v>164</v>
      </c>
      <c r="G155" s="25" t="s">
        <v>29</v>
      </c>
      <c r="H155" s="25" t="s">
        <v>837</v>
      </c>
      <c r="I155" s="25" t="s">
        <v>31</v>
      </c>
      <c r="J155" s="25" t="s">
        <v>32</v>
      </c>
      <c r="K155" s="25" t="s">
        <v>47</v>
      </c>
      <c r="L155" s="25" t="s">
        <v>79</v>
      </c>
      <c r="M155" s="25">
        <v>9</v>
      </c>
      <c r="N155" s="25">
        <v>1200</v>
      </c>
      <c r="O155" s="25">
        <v>5</v>
      </c>
      <c r="P155" s="25">
        <v>10260</v>
      </c>
      <c r="Q155" s="25">
        <v>5</v>
      </c>
      <c r="R155" s="25" t="s">
        <v>49</v>
      </c>
      <c r="S155" s="25" t="s">
        <v>62</v>
      </c>
      <c r="T155" s="25" t="s">
        <v>63</v>
      </c>
      <c r="U155" s="25" t="s">
        <v>838</v>
      </c>
      <c r="V155" s="25" t="s">
        <v>65</v>
      </c>
      <c r="W155" s="26">
        <v>45839</v>
      </c>
    </row>
    <row r="156" spans="1:23" ht="15.75" customHeight="1">
      <c r="A156" s="25" t="s">
        <v>839</v>
      </c>
      <c r="B156" s="25" t="s">
        <v>222</v>
      </c>
      <c r="C156" s="25" t="s">
        <v>73</v>
      </c>
      <c r="D156" s="25" t="s">
        <v>822</v>
      </c>
      <c r="E156" s="25" t="s">
        <v>840</v>
      </c>
      <c r="F156" s="25" t="s">
        <v>226</v>
      </c>
      <c r="G156" s="25" t="s">
        <v>77</v>
      </c>
      <c r="H156" s="25" t="s">
        <v>841</v>
      </c>
      <c r="I156" s="25" t="s">
        <v>295</v>
      </c>
      <c r="J156" s="25" t="s">
        <v>296</v>
      </c>
      <c r="K156" s="25" t="s">
        <v>47</v>
      </c>
      <c r="L156" s="25" t="s">
        <v>79</v>
      </c>
      <c r="M156" s="25">
        <v>3</v>
      </c>
      <c r="N156" s="25">
        <v>1200</v>
      </c>
      <c r="O156" s="25">
        <v>10</v>
      </c>
      <c r="P156" s="25">
        <v>3240</v>
      </c>
      <c r="Q156" s="25">
        <v>2</v>
      </c>
      <c r="R156" s="25" t="s">
        <v>80</v>
      </c>
      <c r="S156" s="25" t="s">
        <v>152</v>
      </c>
      <c r="T156" s="25" t="s">
        <v>229</v>
      </c>
      <c r="U156" s="25" t="s">
        <v>842</v>
      </c>
      <c r="V156" s="25" t="s">
        <v>70</v>
      </c>
      <c r="W156" s="26">
        <v>45839</v>
      </c>
    </row>
    <row r="157" spans="1:23" ht="15.75" customHeight="1">
      <c r="A157" s="25" t="s">
        <v>843</v>
      </c>
      <c r="B157" s="25" t="s">
        <v>328</v>
      </c>
      <c r="C157" s="25" t="s">
        <v>119</v>
      </c>
      <c r="D157" s="25" t="s">
        <v>460</v>
      </c>
      <c r="E157" s="25" t="s">
        <v>578</v>
      </c>
      <c r="F157" s="25" t="s">
        <v>395</v>
      </c>
      <c r="G157" s="25" t="s">
        <v>77</v>
      </c>
      <c r="H157" s="25" t="s">
        <v>844</v>
      </c>
      <c r="I157" s="25" t="s">
        <v>31</v>
      </c>
      <c r="J157" s="25" t="s">
        <v>32</v>
      </c>
      <c r="K157" s="25" t="s">
        <v>123</v>
      </c>
      <c r="L157" s="25" t="s">
        <v>124</v>
      </c>
      <c r="M157" s="25">
        <v>2</v>
      </c>
      <c r="N157" s="25">
        <v>60</v>
      </c>
      <c r="O157" s="25">
        <v>10</v>
      </c>
      <c r="P157" s="25">
        <v>108</v>
      </c>
      <c r="Q157" s="25">
        <v>2</v>
      </c>
      <c r="R157" s="25" t="s">
        <v>89</v>
      </c>
      <c r="S157" s="25" t="s">
        <v>62</v>
      </c>
      <c r="T157" s="25" t="s">
        <v>333</v>
      </c>
      <c r="U157" s="25" t="s">
        <v>845</v>
      </c>
      <c r="V157" s="25" t="s">
        <v>39</v>
      </c>
      <c r="W157" s="26">
        <v>45748</v>
      </c>
    </row>
    <row r="158" spans="1:23" ht="15.75" customHeight="1">
      <c r="A158" s="25" t="s">
        <v>846</v>
      </c>
      <c r="B158" s="25" t="s">
        <v>72</v>
      </c>
      <c r="C158" s="25" t="s">
        <v>93</v>
      </c>
      <c r="D158" s="25" t="s">
        <v>427</v>
      </c>
      <c r="E158" s="25" t="s">
        <v>847</v>
      </c>
      <c r="F158" s="25" t="s">
        <v>218</v>
      </c>
      <c r="G158" s="25" t="s">
        <v>77</v>
      </c>
      <c r="H158" s="25" t="s">
        <v>848</v>
      </c>
      <c r="I158" s="25" t="s">
        <v>45</v>
      </c>
      <c r="J158" s="25" t="s">
        <v>46</v>
      </c>
      <c r="K158" s="25" t="s">
        <v>33</v>
      </c>
      <c r="L158" s="25" t="s">
        <v>98</v>
      </c>
      <c r="M158" s="25">
        <v>9</v>
      </c>
      <c r="N158" s="25">
        <v>3500</v>
      </c>
      <c r="O158" s="25">
        <v>20</v>
      </c>
      <c r="P158" s="25">
        <v>25200</v>
      </c>
      <c r="Q158" s="25">
        <v>1</v>
      </c>
      <c r="R158" s="25" t="s">
        <v>49</v>
      </c>
      <c r="S158" s="25" t="s">
        <v>36</v>
      </c>
      <c r="T158" s="25" t="s">
        <v>81</v>
      </c>
      <c r="U158" s="25" t="s">
        <v>849</v>
      </c>
      <c r="V158" s="25" t="s">
        <v>39</v>
      </c>
      <c r="W158" s="26">
        <v>46143</v>
      </c>
    </row>
    <row r="159" spans="1:23" ht="15.75" customHeight="1">
      <c r="A159" s="25" t="s">
        <v>850</v>
      </c>
      <c r="B159" s="25" t="s">
        <v>222</v>
      </c>
      <c r="C159" s="25" t="s">
        <v>55</v>
      </c>
      <c r="D159" s="25" t="s">
        <v>242</v>
      </c>
      <c r="E159" s="25" t="s">
        <v>544</v>
      </c>
      <c r="F159" s="25" t="s">
        <v>226</v>
      </c>
      <c r="G159" s="25" t="s">
        <v>77</v>
      </c>
      <c r="H159" s="25" t="s">
        <v>851</v>
      </c>
      <c r="I159" s="25" t="s">
        <v>213</v>
      </c>
      <c r="J159" s="25" t="s">
        <v>46</v>
      </c>
      <c r="K159" s="25" t="s">
        <v>47</v>
      </c>
      <c r="L159" s="25" t="s">
        <v>61</v>
      </c>
      <c r="M159" s="25">
        <v>4</v>
      </c>
      <c r="N159" s="25">
        <v>55000</v>
      </c>
      <c r="O159" s="25">
        <v>5</v>
      </c>
      <c r="P159" s="25">
        <v>209000</v>
      </c>
      <c r="Q159" s="25">
        <v>2</v>
      </c>
      <c r="R159" s="25" t="s">
        <v>35</v>
      </c>
      <c r="S159" s="25" t="s">
        <v>152</v>
      </c>
      <c r="T159" s="25" t="s">
        <v>229</v>
      </c>
      <c r="U159" s="25" t="s">
        <v>852</v>
      </c>
      <c r="V159" s="25" t="s">
        <v>65</v>
      </c>
      <c r="W159" s="26">
        <v>46082</v>
      </c>
    </row>
    <row r="160" spans="1:23" ht="15.75" customHeight="1">
      <c r="A160" s="25" t="s">
        <v>853</v>
      </c>
      <c r="B160" s="25" t="s">
        <v>328</v>
      </c>
      <c r="C160" s="25" t="s">
        <v>185</v>
      </c>
      <c r="D160" s="25" t="s">
        <v>489</v>
      </c>
      <c r="E160" s="25" t="s">
        <v>267</v>
      </c>
      <c r="F160" s="25" t="s">
        <v>395</v>
      </c>
      <c r="G160" s="25" t="s">
        <v>77</v>
      </c>
      <c r="H160" s="25" t="s">
        <v>855</v>
      </c>
      <c r="I160" s="25" t="s">
        <v>45</v>
      </c>
      <c r="J160" s="25" t="s">
        <v>46</v>
      </c>
      <c r="K160" s="25" t="s">
        <v>47</v>
      </c>
      <c r="L160" s="25" t="s">
        <v>190</v>
      </c>
      <c r="M160" s="25">
        <v>11</v>
      </c>
      <c r="N160" s="25">
        <v>700</v>
      </c>
      <c r="O160" s="25">
        <v>20</v>
      </c>
      <c r="P160" s="25">
        <v>6160</v>
      </c>
      <c r="Q160" s="25">
        <v>4</v>
      </c>
      <c r="R160" s="25" t="s">
        <v>35</v>
      </c>
      <c r="S160" s="25" t="s">
        <v>152</v>
      </c>
      <c r="T160" s="25" t="s">
        <v>333</v>
      </c>
      <c r="U160" s="25" t="s">
        <v>856</v>
      </c>
      <c r="V160" s="25" t="s">
        <v>70</v>
      </c>
      <c r="W160" s="26">
        <v>45809</v>
      </c>
    </row>
    <row r="161" spans="1:23" ht="15.75" customHeight="1">
      <c r="A161" s="25" t="s">
        <v>857</v>
      </c>
      <c r="B161" s="25" t="s">
        <v>169</v>
      </c>
      <c r="C161" s="25" t="s">
        <v>73</v>
      </c>
      <c r="D161" s="25" t="s">
        <v>287</v>
      </c>
      <c r="E161" s="25" t="s">
        <v>817</v>
      </c>
      <c r="F161" s="25" t="s">
        <v>362</v>
      </c>
      <c r="G161" s="25" t="s">
        <v>29</v>
      </c>
      <c r="H161" s="25" t="s">
        <v>858</v>
      </c>
      <c r="I161" s="25" t="s">
        <v>295</v>
      </c>
      <c r="J161" s="25" t="s">
        <v>296</v>
      </c>
      <c r="K161" s="25" t="s">
        <v>47</v>
      </c>
      <c r="L161" s="25" t="s">
        <v>79</v>
      </c>
      <c r="M161" s="25">
        <v>16</v>
      </c>
      <c r="N161" s="25">
        <v>1200</v>
      </c>
      <c r="O161" s="25">
        <v>5</v>
      </c>
      <c r="P161" s="25">
        <v>18240</v>
      </c>
      <c r="Q161" s="25">
        <v>1</v>
      </c>
      <c r="R161" s="25" t="s">
        <v>80</v>
      </c>
      <c r="S161" s="25" t="s">
        <v>36</v>
      </c>
      <c r="T161" s="25" t="s">
        <v>176</v>
      </c>
      <c r="U161" s="25" t="s">
        <v>859</v>
      </c>
      <c r="V161" s="25" t="s">
        <v>65</v>
      </c>
      <c r="W161" s="26">
        <v>45962</v>
      </c>
    </row>
    <row r="162" spans="1:23" ht="15.75" customHeight="1">
      <c r="A162" s="25" t="s">
        <v>860</v>
      </c>
      <c r="B162" s="25" t="s">
        <v>169</v>
      </c>
      <c r="C162" s="25" t="s">
        <v>73</v>
      </c>
      <c r="D162" s="25" t="s">
        <v>549</v>
      </c>
      <c r="E162" s="25" t="s">
        <v>861</v>
      </c>
      <c r="F162" s="25" t="s">
        <v>362</v>
      </c>
      <c r="G162" s="25" t="s">
        <v>29</v>
      </c>
      <c r="H162" s="25" t="s">
        <v>862</v>
      </c>
      <c r="I162" s="25" t="s">
        <v>115</v>
      </c>
      <c r="J162" s="25" t="s">
        <v>107</v>
      </c>
      <c r="K162" s="25" t="s">
        <v>47</v>
      </c>
      <c r="L162" s="25" t="s">
        <v>79</v>
      </c>
      <c r="M162" s="25">
        <v>1</v>
      </c>
      <c r="N162" s="25">
        <v>1200</v>
      </c>
      <c r="O162" s="25">
        <v>5</v>
      </c>
      <c r="P162" s="25">
        <v>1140</v>
      </c>
      <c r="Q162" s="25">
        <v>4</v>
      </c>
      <c r="R162" s="25" t="s">
        <v>80</v>
      </c>
      <c r="S162" s="25" t="s">
        <v>36</v>
      </c>
      <c r="T162" s="25" t="s">
        <v>176</v>
      </c>
      <c r="U162" s="25" t="s">
        <v>863</v>
      </c>
      <c r="V162" s="25" t="s">
        <v>39</v>
      </c>
      <c r="W162" s="26">
        <v>45901</v>
      </c>
    </row>
    <row r="163" spans="1:23" ht="15.75" customHeight="1">
      <c r="A163" s="25" t="s">
        <v>864</v>
      </c>
      <c r="B163" s="25" t="s">
        <v>328</v>
      </c>
      <c r="C163" s="25" t="s">
        <v>119</v>
      </c>
      <c r="D163" s="25" t="s">
        <v>865</v>
      </c>
      <c r="E163" s="25" t="s">
        <v>866</v>
      </c>
      <c r="F163" s="25" t="s">
        <v>395</v>
      </c>
      <c r="G163" s="25" t="s">
        <v>77</v>
      </c>
      <c r="H163" s="25" t="s">
        <v>867</v>
      </c>
      <c r="I163" s="25" t="s">
        <v>213</v>
      </c>
      <c r="J163" s="25" t="s">
        <v>46</v>
      </c>
      <c r="K163" s="25" t="s">
        <v>123</v>
      </c>
      <c r="L163" s="25" t="s">
        <v>124</v>
      </c>
      <c r="M163" s="25">
        <v>7</v>
      </c>
      <c r="N163" s="25">
        <v>60</v>
      </c>
      <c r="O163" s="25">
        <v>0</v>
      </c>
      <c r="P163" s="25">
        <v>420</v>
      </c>
      <c r="Q163" s="25">
        <v>2</v>
      </c>
      <c r="R163" s="25" t="s">
        <v>89</v>
      </c>
      <c r="S163" s="25" t="s">
        <v>152</v>
      </c>
      <c r="T163" s="25" t="s">
        <v>333</v>
      </c>
      <c r="U163" s="25" t="s">
        <v>868</v>
      </c>
      <c r="V163" s="25" t="s">
        <v>39</v>
      </c>
      <c r="W163" s="26">
        <v>45962</v>
      </c>
    </row>
    <row r="164" spans="1:23" ht="15.75" customHeight="1">
      <c r="A164" s="25" t="s">
        <v>869</v>
      </c>
      <c r="B164" s="25" t="s">
        <v>169</v>
      </c>
      <c r="C164" s="25" t="s">
        <v>25</v>
      </c>
      <c r="D164" s="25" t="s">
        <v>206</v>
      </c>
      <c r="E164" s="25" t="s">
        <v>514</v>
      </c>
      <c r="F164" s="25" t="s">
        <v>362</v>
      </c>
      <c r="G164" s="25" t="s">
        <v>29</v>
      </c>
      <c r="H164" s="25" t="s">
        <v>870</v>
      </c>
      <c r="I164" s="25" t="s">
        <v>115</v>
      </c>
      <c r="J164" s="25" t="s">
        <v>107</v>
      </c>
      <c r="K164" s="25" t="s">
        <v>33</v>
      </c>
      <c r="L164" s="25" t="s">
        <v>34</v>
      </c>
      <c r="M164" s="25">
        <v>14</v>
      </c>
      <c r="N164" s="25">
        <v>2200</v>
      </c>
      <c r="O164" s="25">
        <v>0</v>
      </c>
      <c r="P164" s="25">
        <v>30800</v>
      </c>
      <c r="Q164" s="25">
        <v>2</v>
      </c>
      <c r="R164" s="25" t="s">
        <v>89</v>
      </c>
      <c r="S164" s="25" t="s">
        <v>36</v>
      </c>
      <c r="T164" s="25" t="s">
        <v>176</v>
      </c>
      <c r="U164" s="25" t="s">
        <v>871</v>
      </c>
      <c r="V164" s="25" t="s">
        <v>70</v>
      </c>
      <c r="W164" s="26">
        <v>45658</v>
      </c>
    </row>
    <row r="165" spans="1:23" ht="15.75" customHeight="1">
      <c r="A165" s="25" t="s">
        <v>872</v>
      </c>
      <c r="B165" s="25" t="s">
        <v>169</v>
      </c>
      <c r="C165" s="25" t="s">
        <v>93</v>
      </c>
      <c r="D165" s="25" t="s">
        <v>873</v>
      </c>
      <c r="E165" s="25" t="s">
        <v>489</v>
      </c>
      <c r="F165" s="25" t="s">
        <v>362</v>
      </c>
      <c r="G165" s="25" t="s">
        <v>29</v>
      </c>
      <c r="H165" s="25" t="s">
        <v>874</v>
      </c>
      <c r="I165" s="25" t="s">
        <v>139</v>
      </c>
      <c r="J165" s="25" t="s">
        <v>107</v>
      </c>
      <c r="K165" s="25" t="s">
        <v>33</v>
      </c>
      <c r="L165" s="25" t="s">
        <v>98</v>
      </c>
      <c r="M165" s="25">
        <v>15</v>
      </c>
      <c r="N165" s="25">
        <v>3500</v>
      </c>
      <c r="O165" s="25">
        <v>15</v>
      </c>
      <c r="P165" s="25">
        <v>44625</v>
      </c>
      <c r="Q165" s="25">
        <v>2</v>
      </c>
      <c r="R165" s="25" t="s">
        <v>89</v>
      </c>
      <c r="S165" s="25" t="s">
        <v>62</v>
      </c>
      <c r="T165" s="25" t="s">
        <v>176</v>
      </c>
      <c r="U165" s="25" t="s">
        <v>875</v>
      </c>
      <c r="V165" s="25" t="s">
        <v>65</v>
      </c>
      <c r="W165" s="26">
        <v>45809</v>
      </c>
    </row>
    <row r="166" spans="1:23" ht="15.75" customHeight="1">
      <c r="A166" s="25" t="s">
        <v>876</v>
      </c>
      <c r="B166" s="25" t="s">
        <v>128</v>
      </c>
      <c r="C166" s="25" t="s">
        <v>93</v>
      </c>
      <c r="D166" s="25" t="s">
        <v>877</v>
      </c>
      <c r="E166" s="25" t="s">
        <v>878</v>
      </c>
      <c r="F166" s="25" t="s">
        <v>201</v>
      </c>
      <c r="G166" s="25" t="s">
        <v>77</v>
      </c>
      <c r="H166" s="25" t="s">
        <v>879</v>
      </c>
      <c r="I166" s="25" t="s">
        <v>295</v>
      </c>
      <c r="J166" s="25" t="s">
        <v>296</v>
      </c>
      <c r="K166" s="25" t="s">
        <v>33</v>
      </c>
      <c r="L166" s="25" t="s">
        <v>98</v>
      </c>
      <c r="M166" s="25">
        <v>19</v>
      </c>
      <c r="N166" s="25">
        <v>3500</v>
      </c>
      <c r="O166" s="25">
        <v>5</v>
      </c>
      <c r="P166" s="25">
        <v>63175</v>
      </c>
      <c r="Q166" s="25">
        <v>2</v>
      </c>
      <c r="R166" s="25" t="s">
        <v>35</v>
      </c>
      <c r="S166" s="25" t="s">
        <v>116</v>
      </c>
      <c r="T166" s="25" t="s">
        <v>133</v>
      </c>
      <c r="U166" s="25" t="s">
        <v>880</v>
      </c>
      <c r="V166" s="25" t="s">
        <v>70</v>
      </c>
      <c r="W166" s="26">
        <v>45717</v>
      </c>
    </row>
    <row r="167" spans="1:23" ht="15.75" customHeight="1">
      <c r="A167" s="25" t="s">
        <v>881</v>
      </c>
      <c r="B167" s="25" t="s">
        <v>328</v>
      </c>
      <c r="C167" s="25" t="s">
        <v>55</v>
      </c>
      <c r="D167" s="25" t="s">
        <v>882</v>
      </c>
      <c r="E167" s="25" t="s">
        <v>641</v>
      </c>
      <c r="F167" s="25" t="s">
        <v>395</v>
      </c>
      <c r="G167" s="25" t="s">
        <v>77</v>
      </c>
      <c r="H167" s="25" t="s">
        <v>883</v>
      </c>
      <c r="I167" s="25" t="s">
        <v>60</v>
      </c>
      <c r="J167" s="25" t="s">
        <v>32</v>
      </c>
      <c r="K167" s="25" t="s">
        <v>47</v>
      </c>
      <c r="L167" s="25" t="s">
        <v>61</v>
      </c>
      <c r="M167" s="25">
        <v>12</v>
      </c>
      <c r="N167" s="25">
        <v>55000</v>
      </c>
      <c r="O167" s="25">
        <v>5</v>
      </c>
      <c r="P167" s="25">
        <v>627000</v>
      </c>
      <c r="Q167" s="25">
        <v>4</v>
      </c>
      <c r="R167" s="25" t="s">
        <v>80</v>
      </c>
      <c r="S167" s="25" t="s">
        <v>62</v>
      </c>
      <c r="T167" s="25" t="s">
        <v>333</v>
      </c>
      <c r="U167" s="25" t="s">
        <v>884</v>
      </c>
      <c r="V167" s="25" t="s">
        <v>70</v>
      </c>
      <c r="W167" s="26">
        <v>45839</v>
      </c>
    </row>
    <row r="168" spans="1:23" ht="15.75" customHeight="1">
      <c r="A168" s="25" t="s">
        <v>885</v>
      </c>
      <c r="B168" s="25" t="s">
        <v>54</v>
      </c>
      <c r="C168" s="25" t="s">
        <v>73</v>
      </c>
      <c r="D168" s="25" t="s">
        <v>588</v>
      </c>
      <c r="E168" s="25" t="s">
        <v>484</v>
      </c>
      <c r="F168" s="25" t="s">
        <v>164</v>
      </c>
      <c r="G168" s="25" t="s">
        <v>29</v>
      </c>
      <c r="H168" s="25" t="s">
        <v>886</v>
      </c>
      <c r="I168" s="25" t="s">
        <v>106</v>
      </c>
      <c r="J168" s="25" t="s">
        <v>107</v>
      </c>
      <c r="K168" s="25" t="s">
        <v>47</v>
      </c>
      <c r="L168" s="25" t="s">
        <v>79</v>
      </c>
      <c r="M168" s="25">
        <v>6</v>
      </c>
      <c r="N168" s="25">
        <v>1200</v>
      </c>
      <c r="O168" s="25">
        <v>10</v>
      </c>
      <c r="P168" s="25">
        <v>6480</v>
      </c>
      <c r="Q168" s="25">
        <v>5</v>
      </c>
      <c r="R168" s="25" t="s">
        <v>49</v>
      </c>
      <c r="S168" s="25" t="s">
        <v>116</v>
      </c>
      <c r="T168" s="25" t="s">
        <v>63</v>
      </c>
      <c r="U168" s="25" t="s">
        <v>887</v>
      </c>
      <c r="V168" s="25" t="s">
        <v>70</v>
      </c>
      <c r="W168" s="26">
        <v>46023</v>
      </c>
    </row>
    <row r="169" spans="1:23" ht="15.75" customHeight="1">
      <c r="A169" s="25" t="s">
        <v>888</v>
      </c>
      <c r="B169" s="25" t="s">
        <v>252</v>
      </c>
      <c r="C169" s="25" t="s">
        <v>170</v>
      </c>
      <c r="D169" s="25" t="s">
        <v>129</v>
      </c>
      <c r="E169" s="25" t="s">
        <v>248</v>
      </c>
      <c r="F169" s="25" t="s">
        <v>255</v>
      </c>
      <c r="G169" s="25" t="s">
        <v>29</v>
      </c>
      <c r="H169" s="25" t="s">
        <v>889</v>
      </c>
      <c r="I169" s="25" t="s">
        <v>31</v>
      </c>
      <c r="J169" s="25" t="s">
        <v>32</v>
      </c>
      <c r="K169" s="25" t="s">
        <v>33</v>
      </c>
      <c r="L169" s="25" t="s">
        <v>175</v>
      </c>
      <c r="M169" s="25">
        <v>1</v>
      </c>
      <c r="N169" s="25">
        <v>8500</v>
      </c>
      <c r="O169" s="25">
        <v>0</v>
      </c>
      <c r="P169" s="25">
        <v>8500</v>
      </c>
      <c r="Q169" s="25">
        <v>1</v>
      </c>
      <c r="R169" s="25" t="s">
        <v>89</v>
      </c>
      <c r="S169" s="25" t="s">
        <v>152</v>
      </c>
      <c r="T169" s="25" t="s">
        <v>257</v>
      </c>
      <c r="U169" s="25" t="s">
        <v>890</v>
      </c>
      <c r="V169" s="25" t="s">
        <v>70</v>
      </c>
      <c r="W169" s="26">
        <v>45901</v>
      </c>
    </row>
    <row r="170" spans="1:23" ht="15.75" customHeight="1">
      <c r="A170" s="25" t="s">
        <v>891</v>
      </c>
      <c r="B170" s="25" t="s">
        <v>128</v>
      </c>
      <c r="C170" s="25" t="s">
        <v>55</v>
      </c>
      <c r="D170" s="25" t="s">
        <v>892</v>
      </c>
      <c r="E170" s="25" t="s">
        <v>893</v>
      </c>
      <c r="F170" s="25" t="s">
        <v>201</v>
      </c>
      <c r="G170" s="25" t="s">
        <v>77</v>
      </c>
      <c r="H170" s="25" t="s">
        <v>894</v>
      </c>
      <c r="I170" s="25" t="s">
        <v>139</v>
      </c>
      <c r="J170" s="25" t="s">
        <v>107</v>
      </c>
      <c r="K170" s="25" t="s">
        <v>47</v>
      </c>
      <c r="L170" s="25" t="s">
        <v>61</v>
      </c>
      <c r="M170" s="25">
        <v>20</v>
      </c>
      <c r="N170" s="25">
        <v>55000</v>
      </c>
      <c r="O170" s="25">
        <v>10</v>
      </c>
      <c r="P170" s="25">
        <v>990000</v>
      </c>
      <c r="Q170" s="25">
        <v>5</v>
      </c>
      <c r="R170" s="25" t="s">
        <v>49</v>
      </c>
      <c r="S170" s="25" t="s">
        <v>152</v>
      </c>
      <c r="T170" s="25" t="s">
        <v>133</v>
      </c>
      <c r="U170" s="25" t="s">
        <v>895</v>
      </c>
      <c r="V170" s="25" t="s">
        <v>39</v>
      </c>
      <c r="W170" s="26">
        <v>46113</v>
      </c>
    </row>
    <row r="171" spans="1:23" ht="15.75" customHeight="1">
      <c r="A171" s="25" t="s">
        <v>896</v>
      </c>
      <c r="B171" s="25" t="s">
        <v>222</v>
      </c>
      <c r="C171" s="25" t="s">
        <v>73</v>
      </c>
      <c r="D171" s="25" t="s">
        <v>662</v>
      </c>
      <c r="E171" s="25" t="s">
        <v>897</v>
      </c>
      <c r="F171" s="25" t="s">
        <v>226</v>
      </c>
      <c r="G171" s="25" t="s">
        <v>77</v>
      </c>
      <c r="H171" s="25" t="s">
        <v>898</v>
      </c>
      <c r="I171" s="25" t="s">
        <v>139</v>
      </c>
      <c r="J171" s="25" t="s">
        <v>107</v>
      </c>
      <c r="K171" s="25" t="s">
        <v>47</v>
      </c>
      <c r="L171" s="25" t="s">
        <v>79</v>
      </c>
      <c r="M171" s="25">
        <v>8</v>
      </c>
      <c r="N171" s="25">
        <v>1200</v>
      </c>
      <c r="O171" s="25">
        <v>15</v>
      </c>
      <c r="P171" s="25">
        <v>8160</v>
      </c>
      <c r="Q171" s="25">
        <v>2</v>
      </c>
      <c r="R171" s="25" t="s">
        <v>89</v>
      </c>
      <c r="S171" s="25" t="s">
        <v>116</v>
      </c>
      <c r="T171" s="25" t="s">
        <v>229</v>
      </c>
      <c r="U171" s="25" t="s">
        <v>899</v>
      </c>
      <c r="V171" s="25" t="s">
        <v>70</v>
      </c>
      <c r="W171" s="26">
        <v>45931</v>
      </c>
    </row>
    <row r="172" spans="1:23" ht="15.75" customHeight="1">
      <c r="A172" s="25" t="s">
        <v>900</v>
      </c>
      <c r="B172" s="25" t="s">
        <v>24</v>
      </c>
      <c r="C172" s="25" t="s">
        <v>93</v>
      </c>
      <c r="D172" s="25" t="s">
        <v>901</v>
      </c>
      <c r="E172" s="25" t="s">
        <v>902</v>
      </c>
      <c r="F172" s="25" t="s">
        <v>28</v>
      </c>
      <c r="G172" s="25" t="s">
        <v>29</v>
      </c>
      <c r="H172" s="25" t="s">
        <v>903</v>
      </c>
      <c r="I172" s="25" t="s">
        <v>213</v>
      </c>
      <c r="J172" s="25" t="s">
        <v>46</v>
      </c>
      <c r="K172" s="25" t="s">
        <v>33</v>
      </c>
      <c r="L172" s="25" t="s">
        <v>98</v>
      </c>
      <c r="M172" s="25">
        <v>19</v>
      </c>
      <c r="N172" s="25">
        <v>3500</v>
      </c>
      <c r="O172" s="25">
        <v>5</v>
      </c>
      <c r="P172" s="25">
        <v>63175</v>
      </c>
      <c r="Q172" s="25">
        <v>4</v>
      </c>
      <c r="R172" s="25" t="s">
        <v>89</v>
      </c>
      <c r="S172" s="25" t="s">
        <v>50</v>
      </c>
      <c r="T172" s="25" t="s">
        <v>51</v>
      </c>
      <c r="U172" s="25" t="s">
        <v>904</v>
      </c>
      <c r="V172" s="25" t="s">
        <v>65</v>
      </c>
      <c r="W172" s="26">
        <v>45689</v>
      </c>
    </row>
    <row r="173" spans="1:23" ht="15.75" customHeight="1">
      <c r="A173" s="25" t="s">
        <v>905</v>
      </c>
      <c r="B173" s="25" t="s">
        <v>222</v>
      </c>
      <c r="C173" s="25" t="s">
        <v>260</v>
      </c>
      <c r="D173" s="25" t="s">
        <v>42</v>
      </c>
      <c r="E173" s="25" t="s">
        <v>607</v>
      </c>
      <c r="F173" s="25" t="s">
        <v>226</v>
      </c>
      <c r="G173" s="25" t="s">
        <v>77</v>
      </c>
      <c r="H173" s="25" t="s">
        <v>907</v>
      </c>
      <c r="I173" s="25" t="s">
        <v>213</v>
      </c>
      <c r="J173" s="25" t="s">
        <v>46</v>
      </c>
      <c r="K173" s="25" t="s">
        <v>123</v>
      </c>
      <c r="L173" s="25" t="s">
        <v>264</v>
      </c>
      <c r="M173" s="25">
        <v>6</v>
      </c>
      <c r="N173" s="25">
        <v>45</v>
      </c>
      <c r="O173" s="25">
        <v>20</v>
      </c>
      <c r="P173" s="25">
        <v>216</v>
      </c>
      <c r="Q173" s="25">
        <v>1</v>
      </c>
      <c r="R173" s="25" t="s">
        <v>80</v>
      </c>
      <c r="S173" s="25" t="s">
        <v>50</v>
      </c>
      <c r="T173" s="25" t="s">
        <v>908</v>
      </c>
      <c r="U173" s="25" t="s">
        <v>909</v>
      </c>
      <c r="V173" s="25" t="s">
        <v>65</v>
      </c>
      <c r="W173" s="26">
        <v>45748</v>
      </c>
    </row>
    <row r="174" spans="1:23" ht="15.75" customHeight="1">
      <c r="A174" s="25" t="s">
        <v>910</v>
      </c>
      <c r="B174" s="25" t="s">
        <v>252</v>
      </c>
      <c r="C174" s="25" t="s">
        <v>260</v>
      </c>
      <c r="D174" s="25" t="s">
        <v>911</v>
      </c>
      <c r="E174" s="25" t="s">
        <v>120</v>
      </c>
      <c r="F174" s="25" t="s">
        <v>255</v>
      </c>
      <c r="G174" s="25" t="s">
        <v>29</v>
      </c>
      <c r="H174" s="25" t="s">
        <v>912</v>
      </c>
      <c r="I174" s="25" t="s">
        <v>115</v>
      </c>
      <c r="J174" s="25" t="s">
        <v>107</v>
      </c>
      <c r="K174" s="25" t="s">
        <v>123</v>
      </c>
      <c r="L174" s="25" t="s">
        <v>264</v>
      </c>
      <c r="M174" s="25">
        <v>17</v>
      </c>
      <c r="N174" s="25">
        <v>45</v>
      </c>
      <c r="O174" s="25">
        <v>15</v>
      </c>
      <c r="P174" s="25">
        <v>650.25</v>
      </c>
      <c r="Q174" s="25">
        <v>5</v>
      </c>
      <c r="R174" s="25" t="s">
        <v>35</v>
      </c>
      <c r="S174" s="25" t="s">
        <v>116</v>
      </c>
      <c r="T174" s="25" t="s">
        <v>257</v>
      </c>
      <c r="U174" s="25" t="s">
        <v>913</v>
      </c>
      <c r="V174" s="25" t="s">
        <v>65</v>
      </c>
      <c r="W174" s="26">
        <v>45717</v>
      </c>
    </row>
    <row r="175" spans="1:23" ht="15.75" customHeight="1">
      <c r="A175" s="25" t="s">
        <v>914</v>
      </c>
      <c r="B175" s="25" t="s">
        <v>24</v>
      </c>
      <c r="C175" s="25" t="s">
        <v>223</v>
      </c>
      <c r="D175" s="25" t="s">
        <v>277</v>
      </c>
      <c r="E175" s="25" t="s">
        <v>915</v>
      </c>
      <c r="F175" s="25" t="s">
        <v>28</v>
      </c>
      <c r="G175" s="25" t="s">
        <v>29</v>
      </c>
      <c r="H175" s="25" t="s">
        <v>916</v>
      </c>
      <c r="I175" s="25" t="s">
        <v>115</v>
      </c>
      <c r="J175" s="25" t="s">
        <v>107</v>
      </c>
      <c r="K175" s="25" t="s">
        <v>123</v>
      </c>
      <c r="L175" s="25" t="s">
        <v>228</v>
      </c>
      <c r="M175" s="25">
        <v>19</v>
      </c>
      <c r="N175" s="25">
        <v>20</v>
      </c>
      <c r="O175" s="25">
        <v>5</v>
      </c>
      <c r="P175" s="25">
        <v>361</v>
      </c>
      <c r="Q175" s="25">
        <v>4</v>
      </c>
      <c r="R175" s="25" t="s">
        <v>35</v>
      </c>
      <c r="S175" s="25" t="s">
        <v>36</v>
      </c>
      <c r="T175" s="25" t="s">
        <v>51</v>
      </c>
      <c r="U175" s="25" t="s">
        <v>917</v>
      </c>
      <c r="V175" s="25" t="s">
        <v>65</v>
      </c>
      <c r="W175" s="26">
        <v>45839</v>
      </c>
    </row>
    <row r="176" spans="1:23" ht="15.75" customHeight="1">
      <c r="A176" s="25" t="s">
        <v>918</v>
      </c>
      <c r="B176" s="25" t="s">
        <v>252</v>
      </c>
      <c r="C176" s="25" t="s">
        <v>223</v>
      </c>
      <c r="D176" s="25" t="s">
        <v>919</v>
      </c>
      <c r="E176" s="25" t="s">
        <v>353</v>
      </c>
      <c r="F176" s="25" t="s">
        <v>255</v>
      </c>
      <c r="G176" s="25" t="s">
        <v>29</v>
      </c>
      <c r="H176" s="25" t="s">
        <v>921</v>
      </c>
      <c r="I176" s="25" t="s">
        <v>139</v>
      </c>
      <c r="J176" s="25" t="s">
        <v>107</v>
      </c>
      <c r="K176" s="25" t="s">
        <v>123</v>
      </c>
      <c r="L176" s="25" t="s">
        <v>228</v>
      </c>
      <c r="M176" s="25">
        <v>11</v>
      </c>
      <c r="N176" s="25">
        <v>20</v>
      </c>
      <c r="O176" s="25">
        <v>0</v>
      </c>
      <c r="P176" s="25">
        <v>220</v>
      </c>
      <c r="Q176" s="25">
        <v>3</v>
      </c>
      <c r="R176" s="25" t="s">
        <v>49</v>
      </c>
      <c r="S176" s="25" t="s">
        <v>50</v>
      </c>
      <c r="T176" s="25" t="s">
        <v>257</v>
      </c>
      <c r="U176" s="25" t="s">
        <v>922</v>
      </c>
      <c r="V176" s="25" t="s">
        <v>39</v>
      </c>
      <c r="W176" s="26">
        <v>45992</v>
      </c>
    </row>
    <row r="177" spans="1:23" ht="15.75" customHeight="1">
      <c r="A177" s="25" t="s">
        <v>923</v>
      </c>
      <c r="B177" s="25" t="s">
        <v>169</v>
      </c>
      <c r="C177" s="25" t="s">
        <v>119</v>
      </c>
      <c r="D177" s="25" t="s">
        <v>324</v>
      </c>
      <c r="E177" s="25" t="s">
        <v>924</v>
      </c>
      <c r="F177" s="25" t="s">
        <v>362</v>
      </c>
      <c r="G177" s="25" t="s">
        <v>29</v>
      </c>
      <c r="H177" s="25" t="s">
        <v>925</v>
      </c>
      <c r="I177" s="25" t="s">
        <v>45</v>
      </c>
      <c r="J177" s="25" t="s">
        <v>46</v>
      </c>
      <c r="K177" s="25" t="s">
        <v>123</v>
      </c>
      <c r="L177" s="25" t="s">
        <v>124</v>
      </c>
      <c r="M177" s="25">
        <v>12</v>
      </c>
      <c r="N177" s="25">
        <v>60</v>
      </c>
      <c r="O177" s="25">
        <v>0</v>
      </c>
      <c r="P177" s="25">
        <v>720</v>
      </c>
      <c r="Q177" s="25">
        <v>2</v>
      </c>
      <c r="R177" s="25" t="s">
        <v>49</v>
      </c>
      <c r="S177" s="25" t="s">
        <v>50</v>
      </c>
      <c r="T177" s="25" t="s">
        <v>176</v>
      </c>
      <c r="U177" s="25" t="s">
        <v>926</v>
      </c>
      <c r="V177" s="25" t="s">
        <v>39</v>
      </c>
      <c r="W177" s="26">
        <v>46054</v>
      </c>
    </row>
    <row r="178" spans="1:23" ht="15.75" customHeight="1">
      <c r="A178" s="25" t="s">
        <v>927</v>
      </c>
      <c r="B178" s="25" t="s">
        <v>222</v>
      </c>
      <c r="C178" s="25" t="s">
        <v>260</v>
      </c>
      <c r="D178" s="25" t="s">
        <v>928</v>
      </c>
      <c r="E178" s="25" t="s">
        <v>866</v>
      </c>
      <c r="F178" s="25" t="s">
        <v>104</v>
      </c>
      <c r="G178" s="25" t="s">
        <v>77</v>
      </c>
      <c r="H178" s="25" t="s">
        <v>930</v>
      </c>
      <c r="I178" s="25" t="s">
        <v>295</v>
      </c>
      <c r="J178" s="25" t="s">
        <v>296</v>
      </c>
      <c r="K178" s="25" t="s">
        <v>123</v>
      </c>
      <c r="L178" s="25" t="s">
        <v>264</v>
      </c>
      <c r="M178" s="25">
        <v>14</v>
      </c>
      <c r="N178" s="25">
        <v>45</v>
      </c>
      <c r="O178" s="25">
        <v>15</v>
      </c>
      <c r="P178" s="25">
        <v>535.5</v>
      </c>
      <c r="Q178" s="25">
        <v>5</v>
      </c>
      <c r="R178" s="25" t="s">
        <v>89</v>
      </c>
      <c r="S178" s="25" t="s">
        <v>116</v>
      </c>
      <c r="T178" s="25" t="s">
        <v>229</v>
      </c>
      <c r="U178" s="25" t="s">
        <v>931</v>
      </c>
      <c r="V178" s="25" t="s">
        <v>65</v>
      </c>
      <c r="W178" s="26">
        <v>45962</v>
      </c>
    </row>
    <row r="179" spans="1:23" ht="15.75" customHeight="1">
      <c r="A179" s="25" t="s">
        <v>932</v>
      </c>
      <c r="B179" s="25" t="s">
        <v>24</v>
      </c>
      <c r="C179" s="25" t="s">
        <v>185</v>
      </c>
      <c r="D179" s="25" t="s">
        <v>933</v>
      </c>
      <c r="E179" s="25" t="s">
        <v>304</v>
      </c>
      <c r="F179" s="25" t="s">
        <v>28</v>
      </c>
      <c r="G179" s="25" t="s">
        <v>29</v>
      </c>
      <c r="H179" s="25" t="s">
        <v>934</v>
      </c>
      <c r="I179" s="25" t="s">
        <v>31</v>
      </c>
      <c r="J179" s="25" t="s">
        <v>32</v>
      </c>
      <c r="K179" s="25" t="s">
        <v>47</v>
      </c>
      <c r="L179" s="25" t="s">
        <v>190</v>
      </c>
      <c r="M179" s="25">
        <v>15</v>
      </c>
      <c r="N179" s="25">
        <v>700</v>
      </c>
      <c r="O179" s="25">
        <v>10</v>
      </c>
      <c r="P179" s="25">
        <v>9450</v>
      </c>
      <c r="Q179" s="25">
        <v>3</v>
      </c>
      <c r="R179" s="25" t="s">
        <v>49</v>
      </c>
      <c r="S179" s="25" t="s">
        <v>50</v>
      </c>
      <c r="T179" s="25" t="s">
        <v>51</v>
      </c>
      <c r="U179" s="25" t="s">
        <v>935</v>
      </c>
      <c r="V179" s="25" t="s">
        <v>65</v>
      </c>
      <c r="W179" s="26">
        <v>45689</v>
      </c>
    </row>
    <row r="180" spans="1:23" ht="15.75" customHeight="1">
      <c r="A180" s="25" t="s">
        <v>936</v>
      </c>
      <c r="B180" s="25" t="s">
        <v>101</v>
      </c>
      <c r="C180" s="25" t="s">
        <v>170</v>
      </c>
      <c r="D180" s="25" t="s">
        <v>937</v>
      </c>
      <c r="E180" s="25" t="s">
        <v>684</v>
      </c>
      <c r="F180" s="25" t="s">
        <v>104</v>
      </c>
      <c r="G180" s="25" t="s">
        <v>29</v>
      </c>
      <c r="H180" s="25" t="s">
        <v>938</v>
      </c>
      <c r="I180" s="25" t="s">
        <v>139</v>
      </c>
      <c r="J180" s="25" t="s">
        <v>107</v>
      </c>
      <c r="K180" s="25" t="s">
        <v>33</v>
      </c>
      <c r="L180" s="25" t="s">
        <v>175</v>
      </c>
      <c r="M180" s="25">
        <v>19</v>
      </c>
      <c r="N180" s="25">
        <v>8500</v>
      </c>
      <c r="O180" s="25">
        <v>15</v>
      </c>
      <c r="P180" s="25">
        <v>137275</v>
      </c>
      <c r="Q180" s="25">
        <v>2</v>
      </c>
      <c r="R180" s="25" t="s">
        <v>35</v>
      </c>
      <c r="S180" s="25" t="s">
        <v>36</v>
      </c>
      <c r="T180" s="25" t="s">
        <v>145</v>
      </c>
      <c r="U180" s="25" t="s">
        <v>939</v>
      </c>
      <c r="V180" s="25" t="s">
        <v>70</v>
      </c>
      <c r="W180" s="26">
        <v>45778</v>
      </c>
    </row>
    <row r="181" spans="1:23" ht="15.75" customHeight="1">
      <c r="A181" s="25" t="s">
        <v>940</v>
      </c>
      <c r="B181" s="25" t="s">
        <v>252</v>
      </c>
      <c r="C181" s="25" t="s">
        <v>119</v>
      </c>
      <c r="D181" s="25" t="s">
        <v>941</v>
      </c>
      <c r="E181" s="25" t="s">
        <v>942</v>
      </c>
      <c r="F181" s="25" t="s">
        <v>255</v>
      </c>
      <c r="G181" s="25" t="s">
        <v>29</v>
      </c>
      <c r="H181" s="25" t="s">
        <v>912</v>
      </c>
      <c r="I181" s="25" t="s">
        <v>213</v>
      </c>
      <c r="J181" s="25" t="s">
        <v>46</v>
      </c>
      <c r="K181" s="25" t="s">
        <v>123</v>
      </c>
      <c r="L181" s="25" t="s">
        <v>124</v>
      </c>
      <c r="M181" s="25">
        <v>19</v>
      </c>
      <c r="N181" s="25">
        <v>60</v>
      </c>
      <c r="O181" s="25">
        <v>20</v>
      </c>
      <c r="P181" s="25">
        <v>912</v>
      </c>
      <c r="Q181" s="25">
        <v>4</v>
      </c>
      <c r="R181" s="25" t="s">
        <v>80</v>
      </c>
      <c r="S181" s="25" t="s">
        <v>50</v>
      </c>
      <c r="T181" s="25" t="s">
        <v>257</v>
      </c>
      <c r="U181" s="25" t="s">
        <v>943</v>
      </c>
      <c r="V181" s="25" t="s">
        <v>65</v>
      </c>
      <c r="W181" s="26">
        <v>45931</v>
      </c>
    </row>
    <row r="182" spans="1:23" ht="15.75" customHeight="1">
      <c r="A182" s="25" t="s">
        <v>944</v>
      </c>
      <c r="B182" s="25" t="s">
        <v>101</v>
      </c>
      <c r="C182" s="25" t="s">
        <v>260</v>
      </c>
      <c r="D182" s="25" t="s">
        <v>945</v>
      </c>
      <c r="E182" s="25" t="s">
        <v>937</v>
      </c>
      <c r="F182" s="25" t="s">
        <v>104</v>
      </c>
      <c r="G182" s="25" t="s">
        <v>29</v>
      </c>
      <c r="H182" s="25" t="s">
        <v>946</v>
      </c>
      <c r="I182" s="25" t="s">
        <v>60</v>
      </c>
      <c r="J182" s="25" t="s">
        <v>32</v>
      </c>
      <c r="K182" s="25" t="s">
        <v>123</v>
      </c>
      <c r="L182" s="25" t="s">
        <v>264</v>
      </c>
      <c r="M182" s="25">
        <v>10</v>
      </c>
      <c r="N182" s="25">
        <v>45</v>
      </c>
      <c r="O182" s="25">
        <v>15</v>
      </c>
      <c r="P182" s="25">
        <v>382.5</v>
      </c>
      <c r="Q182" s="25">
        <v>4</v>
      </c>
      <c r="R182" s="25" t="s">
        <v>35</v>
      </c>
      <c r="S182" s="25" t="s">
        <v>152</v>
      </c>
      <c r="T182" s="25" t="s">
        <v>145</v>
      </c>
      <c r="U182" s="25" t="s">
        <v>947</v>
      </c>
      <c r="V182" s="25" t="s">
        <v>39</v>
      </c>
      <c r="W182" s="26">
        <v>45778</v>
      </c>
    </row>
    <row r="183" spans="1:23" ht="15.75" customHeight="1">
      <c r="A183" s="25" t="s">
        <v>948</v>
      </c>
      <c r="B183" s="25" t="s">
        <v>72</v>
      </c>
      <c r="C183" s="25" t="s">
        <v>25</v>
      </c>
      <c r="D183" s="25" t="s">
        <v>949</v>
      </c>
      <c r="E183" s="25" t="s">
        <v>950</v>
      </c>
      <c r="F183" s="25" t="s">
        <v>218</v>
      </c>
      <c r="G183" s="25" t="s">
        <v>77</v>
      </c>
      <c r="H183" s="25" t="s">
        <v>951</v>
      </c>
      <c r="I183" s="25" t="s">
        <v>45</v>
      </c>
      <c r="J183" s="25" t="s">
        <v>46</v>
      </c>
      <c r="K183" s="25" t="s">
        <v>33</v>
      </c>
      <c r="L183" s="25" t="s">
        <v>34</v>
      </c>
      <c r="M183" s="25">
        <v>7</v>
      </c>
      <c r="N183" s="25">
        <v>2200</v>
      </c>
      <c r="O183" s="25">
        <v>20</v>
      </c>
      <c r="P183" s="25">
        <v>12320</v>
      </c>
      <c r="Q183" s="25">
        <v>5</v>
      </c>
      <c r="R183" s="25" t="s">
        <v>89</v>
      </c>
      <c r="S183" s="25" t="s">
        <v>50</v>
      </c>
      <c r="T183" s="25" t="s">
        <v>81</v>
      </c>
      <c r="U183" s="25" t="s">
        <v>952</v>
      </c>
      <c r="V183" s="25" t="s">
        <v>65</v>
      </c>
      <c r="W183" s="26">
        <v>45809</v>
      </c>
    </row>
    <row r="184" spans="1:23" ht="15.75" customHeight="1">
      <c r="A184" s="25" t="s">
        <v>953</v>
      </c>
      <c r="B184" s="25" t="s">
        <v>101</v>
      </c>
      <c r="C184" s="25" t="s">
        <v>170</v>
      </c>
      <c r="D184" s="25" t="s">
        <v>954</v>
      </c>
      <c r="E184" s="25" t="s">
        <v>43</v>
      </c>
      <c r="F184" s="25" t="s">
        <v>104</v>
      </c>
      <c r="G184" s="25" t="s">
        <v>29</v>
      </c>
      <c r="H184" s="25" t="s">
        <v>955</v>
      </c>
      <c r="I184" s="25" t="s">
        <v>295</v>
      </c>
      <c r="J184" s="25" t="s">
        <v>296</v>
      </c>
      <c r="K184" s="25" t="s">
        <v>33</v>
      </c>
      <c r="L184" s="25" t="s">
        <v>175</v>
      </c>
      <c r="M184" s="25">
        <v>20</v>
      </c>
      <c r="N184" s="25">
        <v>8500</v>
      </c>
      <c r="O184" s="25">
        <v>20</v>
      </c>
      <c r="P184" s="25">
        <v>136000</v>
      </c>
      <c r="Q184" s="25">
        <v>4</v>
      </c>
      <c r="R184" s="25" t="s">
        <v>49</v>
      </c>
      <c r="S184" s="25" t="s">
        <v>36</v>
      </c>
      <c r="T184" s="25" t="s">
        <v>145</v>
      </c>
      <c r="U184" s="25" t="s">
        <v>956</v>
      </c>
      <c r="V184" s="25" t="s">
        <v>39</v>
      </c>
      <c r="W184" s="26">
        <v>45748</v>
      </c>
    </row>
    <row r="185" spans="1:23" ht="15.75" customHeight="1">
      <c r="A185" s="25" t="s">
        <v>957</v>
      </c>
      <c r="B185" s="25" t="s">
        <v>252</v>
      </c>
      <c r="C185" s="25" t="s">
        <v>25</v>
      </c>
      <c r="D185" s="25" t="s">
        <v>771</v>
      </c>
      <c r="E185" s="25" t="s">
        <v>958</v>
      </c>
      <c r="F185" s="25" t="s">
        <v>255</v>
      </c>
      <c r="G185" s="25" t="s">
        <v>29</v>
      </c>
      <c r="H185" s="25" t="s">
        <v>959</v>
      </c>
      <c r="I185" s="25" t="s">
        <v>31</v>
      </c>
      <c r="J185" s="25" t="s">
        <v>32</v>
      </c>
      <c r="K185" s="25" t="s">
        <v>33</v>
      </c>
      <c r="L185" s="25" t="s">
        <v>34</v>
      </c>
      <c r="M185" s="25">
        <v>10</v>
      </c>
      <c r="N185" s="25">
        <v>2200</v>
      </c>
      <c r="O185" s="25">
        <v>5</v>
      </c>
      <c r="P185" s="25">
        <v>20900</v>
      </c>
      <c r="Q185" s="25">
        <v>2</v>
      </c>
      <c r="R185" s="25" t="s">
        <v>49</v>
      </c>
      <c r="S185" s="25" t="s">
        <v>50</v>
      </c>
      <c r="T185" s="25" t="s">
        <v>257</v>
      </c>
      <c r="U185" s="25" t="s">
        <v>960</v>
      </c>
      <c r="V185" s="25" t="s">
        <v>39</v>
      </c>
      <c r="W185" s="26">
        <v>45658</v>
      </c>
    </row>
    <row r="186" spans="1:23" ht="15.75" customHeight="1">
      <c r="A186" s="25" t="s">
        <v>961</v>
      </c>
      <c r="B186" s="25" t="s">
        <v>128</v>
      </c>
      <c r="C186" s="25" t="s">
        <v>119</v>
      </c>
      <c r="D186" s="25" t="s">
        <v>693</v>
      </c>
      <c r="E186" s="25" t="s">
        <v>962</v>
      </c>
      <c r="F186" s="25" t="s">
        <v>201</v>
      </c>
      <c r="G186" s="25" t="s">
        <v>77</v>
      </c>
      <c r="H186" s="25" t="s">
        <v>963</v>
      </c>
      <c r="I186" s="25" t="s">
        <v>115</v>
      </c>
      <c r="J186" s="25" t="s">
        <v>107</v>
      </c>
      <c r="K186" s="25" t="s">
        <v>123</v>
      </c>
      <c r="L186" s="25" t="s">
        <v>124</v>
      </c>
      <c r="M186" s="25">
        <v>15</v>
      </c>
      <c r="N186" s="25">
        <v>60</v>
      </c>
      <c r="O186" s="25">
        <v>20</v>
      </c>
      <c r="P186" s="25">
        <v>720</v>
      </c>
      <c r="Q186" s="25">
        <v>1</v>
      </c>
      <c r="R186" s="25" t="s">
        <v>80</v>
      </c>
      <c r="S186" s="25" t="s">
        <v>36</v>
      </c>
      <c r="T186" s="25" t="s">
        <v>133</v>
      </c>
      <c r="U186" s="25" t="s">
        <v>964</v>
      </c>
      <c r="V186" s="25" t="s">
        <v>39</v>
      </c>
      <c r="W186" s="26">
        <v>45992</v>
      </c>
    </row>
    <row r="187" spans="1:23" ht="15.75" customHeight="1">
      <c r="A187" s="25" t="s">
        <v>965</v>
      </c>
      <c r="B187" s="25" t="s">
        <v>222</v>
      </c>
      <c r="C187" s="25" t="s">
        <v>93</v>
      </c>
      <c r="D187" s="25" t="s">
        <v>232</v>
      </c>
      <c r="E187" s="25" t="s">
        <v>966</v>
      </c>
      <c r="F187" s="25" t="s">
        <v>226</v>
      </c>
      <c r="G187" s="25" t="s">
        <v>77</v>
      </c>
      <c r="H187" s="25" t="s">
        <v>967</v>
      </c>
      <c r="I187" s="25" t="s">
        <v>31</v>
      </c>
      <c r="J187" s="25" t="s">
        <v>32</v>
      </c>
      <c r="K187" s="25" t="s">
        <v>33</v>
      </c>
      <c r="L187" s="25" t="s">
        <v>98</v>
      </c>
      <c r="M187" s="25">
        <v>18</v>
      </c>
      <c r="N187" s="25">
        <v>3500</v>
      </c>
      <c r="O187" s="25">
        <v>5</v>
      </c>
      <c r="P187" s="25">
        <v>59850</v>
      </c>
      <c r="Q187" s="25">
        <v>1</v>
      </c>
      <c r="R187" s="25" t="s">
        <v>80</v>
      </c>
      <c r="S187" s="25" t="s">
        <v>50</v>
      </c>
      <c r="T187" s="25" t="s">
        <v>229</v>
      </c>
      <c r="U187" s="25" t="s">
        <v>968</v>
      </c>
      <c r="V187" s="25" t="s">
        <v>70</v>
      </c>
      <c r="W187" s="26">
        <v>45809</v>
      </c>
    </row>
    <row r="188" spans="1:23" ht="15.75" customHeight="1">
      <c r="A188" s="25" t="s">
        <v>969</v>
      </c>
      <c r="B188" s="25" t="s">
        <v>328</v>
      </c>
      <c r="C188" s="25" t="s">
        <v>41</v>
      </c>
      <c r="D188" s="25" t="s">
        <v>970</v>
      </c>
      <c r="E188" s="25" t="s">
        <v>971</v>
      </c>
      <c r="F188" s="25" t="s">
        <v>395</v>
      </c>
      <c r="G188" s="25" t="s">
        <v>77</v>
      </c>
      <c r="H188" s="25" t="s">
        <v>972</v>
      </c>
      <c r="I188" s="25" t="s">
        <v>115</v>
      </c>
      <c r="J188" s="25" t="s">
        <v>107</v>
      </c>
      <c r="K188" s="25" t="s">
        <v>47</v>
      </c>
      <c r="L188" s="25" t="s">
        <v>48</v>
      </c>
      <c r="M188" s="25">
        <v>6</v>
      </c>
      <c r="N188" s="25">
        <v>12000</v>
      </c>
      <c r="O188" s="25">
        <v>5</v>
      </c>
      <c r="P188" s="25">
        <v>68400</v>
      </c>
      <c r="Q188" s="25">
        <v>1</v>
      </c>
      <c r="R188" s="25" t="s">
        <v>49</v>
      </c>
      <c r="S188" s="25" t="s">
        <v>50</v>
      </c>
      <c r="T188" s="25" t="s">
        <v>333</v>
      </c>
      <c r="U188" s="25" t="s">
        <v>973</v>
      </c>
      <c r="V188" s="25" t="s">
        <v>70</v>
      </c>
      <c r="W188" s="26">
        <v>46143</v>
      </c>
    </row>
    <row r="189" spans="1:23" ht="15.75" customHeight="1">
      <c r="A189" s="25" t="s">
        <v>974</v>
      </c>
      <c r="B189" s="25" t="s">
        <v>328</v>
      </c>
      <c r="C189" s="25" t="s">
        <v>223</v>
      </c>
      <c r="D189" s="25" t="s">
        <v>324</v>
      </c>
      <c r="E189" s="25" t="s">
        <v>480</v>
      </c>
      <c r="F189" s="25" t="s">
        <v>395</v>
      </c>
      <c r="G189" s="25" t="s">
        <v>77</v>
      </c>
      <c r="H189" s="25" t="s">
        <v>975</v>
      </c>
      <c r="I189" s="25" t="s">
        <v>60</v>
      </c>
      <c r="J189" s="25" t="s">
        <v>32</v>
      </c>
      <c r="K189" s="25" t="s">
        <v>123</v>
      </c>
      <c r="L189" s="25" t="s">
        <v>228</v>
      </c>
      <c r="M189" s="25">
        <v>19</v>
      </c>
      <c r="N189" s="25">
        <v>20</v>
      </c>
      <c r="O189" s="25">
        <v>10</v>
      </c>
      <c r="P189" s="25">
        <v>342</v>
      </c>
      <c r="Q189" s="25">
        <v>2</v>
      </c>
      <c r="R189" s="25" t="s">
        <v>49</v>
      </c>
      <c r="S189" s="25" t="s">
        <v>36</v>
      </c>
      <c r="T189" s="25" t="s">
        <v>333</v>
      </c>
      <c r="U189" s="25" t="s">
        <v>976</v>
      </c>
      <c r="V189" s="25" t="s">
        <v>65</v>
      </c>
      <c r="W189" s="26">
        <v>46054</v>
      </c>
    </row>
    <row r="190" spans="1:23" ht="15.75" customHeight="1">
      <c r="A190" s="25" t="s">
        <v>977</v>
      </c>
      <c r="B190" s="25" t="s">
        <v>222</v>
      </c>
      <c r="C190" s="25" t="s">
        <v>25</v>
      </c>
      <c r="D190" s="25" t="s">
        <v>427</v>
      </c>
      <c r="E190" s="25" t="s">
        <v>428</v>
      </c>
      <c r="F190" s="25" t="s">
        <v>226</v>
      </c>
      <c r="G190" s="25" t="s">
        <v>77</v>
      </c>
      <c r="H190" s="25" t="s">
        <v>978</v>
      </c>
      <c r="I190" s="25" t="s">
        <v>115</v>
      </c>
      <c r="J190" s="25" t="s">
        <v>107</v>
      </c>
      <c r="K190" s="25" t="s">
        <v>33</v>
      </c>
      <c r="L190" s="25" t="s">
        <v>34</v>
      </c>
      <c r="M190" s="25">
        <v>7</v>
      </c>
      <c r="N190" s="25">
        <v>2200</v>
      </c>
      <c r="O190" s="25">
        <v>0</v>
      </c>
      <c r="P190" s="25">
        <v>15400</v>
      </c>
      <c r="Q190" s="25">
        <v>1</v>
      </c>
      <c r="R190" s="25" t="s">
        <v>80</v>
      </c>
      <c r="S190" s="25" t="s">
        <v>116</v>
      </c>
      <c r="T190" s="25" t="s">
        <v>229</v>
      </c>
      <c r="U190" s="25" t="s">
        <v>979</v>
      </c>
      <c r="V190" s="25" t="s">
        <v>70</v>
      </c>
      <c r="W190" s="26">
        <v>46143</v>
      </c>
    </row>
    <row r="191" spans="1:23" ht="15.75" customHeight="1">
      <c r="A191" s="25" t="s">
        <v>980</v>
      </c>
      <c r="B191" s="25" t="s">
        <v>328</v>
      </c>
      <c r="C191" s="25" t="s">
        <v>41</v>
      </c>
      <c r="D191" s="25" t="s">
        <v>504</v>
      </c>
      <c r="E191" s="25" t="s">
        <v>981</v>
      </c>
      <c r="F191" s="25" t="s">
        <v>395</v>
      </c>
      <c r="G191" s="25" t="s">
        <v>77</v>
      </c>
      <c r="H191" s="25" t="s">
        <v>982</v>
      </c>
      <c r="I191" s="25" t="s">
        <v>213</v>
      </c>
      <c r="J191" s="25" t="s">
        <v>46</v>
      </c>
      <c r="K191" s="25" t="s">
        <v>47</v>
      </c>
      <c r="L191" s="25" t="s">
        <v>48</v>
      </c>
      <c r="M191" s="25">
        <v>3</v>
      </c>
      <c r="N191" s="25">
        <v>12000</v>
      </c>
      <c r="O191" s="25">
        <v>5</v>
      </c>
      <c r="P191" s="25">
        <v>34200</v>
      </c>
      <c r="Q191" s="25">
        <v>3</v>
      </c>
      <c r="R191" s="25" t="s">
        <v>80</v>
      </c>
      <c r="S191" s="25" t="s">
        <v>62</v>
      </c>
      <c r="T191" s="25" t="s">
        <v>333</v>
      </c>
      <c r="U191" s="25" t="s">
        <v>983</v>
      </c>
      <c r="V191" s="25" t="s">
        <v>70</v>
      </c>
      <c r="W191" s="26">
        <v>45962</v>
      </c>
    </row>
    <row r="192" spans="1:23" ht="15.75" customHeight="1">
      <c r="A192" s="25" t="s">
        <v>984</v>
      </c>
      <c r="B192" s="25" t="s">
        <v>169</v>
      </c>
      <c r="C192" s="25" t="s">
        <v>25</v>
      </c>
      <c r="D192" s="25" t="s">
        <v>342</v>
      </c>
      <c r="E192" s="25" t="s">
        <v>865</v>
      </c>
      <c r="F192" s="25" t="s">
        <v>362</v>
      </c>
      <c r="G192" s="25" t="s">
        <v>29</v>
      </c>
      <c r="H192" s="25" t="s">
        <v>985</v>
      </c>
      <c r="I192" s="25" t="s">
        <v>213</v>
      </c>
      <c r="J192" s="25" t="s">
        <v>46</v>
      </c>
      <c r="K192" s="25" t="s">
        <v>33</v>
      </c>
      <c r="L192" s="25" t="s">
        <v>34</v>
      </c>
      <c r="M192" s="25">
        <v>16</v>
      </c>
      <c r="N192" s="25">
        <v>2200</v>
      </c>
      <c r="O192" s="25">
        <v>0</v>
      </c>
      <c r="P192" s="25">
        <v>35200</v>
      </c>
      <c r="Q192" s="25">
        <v>5</v>
      </c>
      <c r="R192" s="25" t="s">
        <v>80</v>
      </c>
      <c r="S192" s="25" t="s">
        <v>36</v>
      </c>
      <c r="T192" s="25" t="s">
        <v>176</v>
      </c>
      <c r="U192" s="25" t="s">
        <v>986</v>
      </c>
      <c r="V192" s="25" t="s">
        <v>65</v>
      </c>
      <c r="W192" s="26">
        <v>45931</v>
      </c>
    </row>
    <row r="193" spans="1:23" ht="15.75" customHeight="1">
      <c r="A193" s="25" t="s">
        <v>987</v>
      </c>
      <c r="B193" s="25" t="s">
        <v>252</v>
      </c>
      <c r="C193" s="25" t="s">
        <v>25</v>
      </c>
      <c r="D193" s="25" t="s">
        <v>988</v>
      </c>
      <c r="E193" s="25" t="s">
        <v>989</v>
      </c>
      <c r="F193" s="25" t="s">
        <v>255</v>
      </c>
      <c r="G193" s="25" t="s">
        <v>29</v>
      </c>
      <c r="H193" s="25" t="s">
        <v>990</v>
      </c>
      <c r="I193" s="25" t="s">
        <v>45</v>
      </c>
      <c r="J193" s="25" t="s">
        <v>46</v>
      </c>
      <c r="K193" s="25" t="s">
        <v>33</v>
      </c>
      <c r="L193" s="25" t="s">
        <v>34</v>
      </c>
      <c r="M193" s="25">
        <v>8</v>
      </c>
      <c r="N193" s="25">
        <v>2200</v>
      </c>
      <c r="O193" s="25">
        <v>5</v>
      </c>
      <c r="P193" s="25">
        <v>16720</v>
      </c>
      <c r="Q193" s="25">
        <v>2</v>
      </c>
      <c r="R193" s="25" t="s">
        <v>89</v>
      </c>
      <c r="S193" s="25" t="s">
        <v>152</v>
      </c>
      <c r="T193" s="25" t="s">
        <v>257</v>
      </c>
      <c r="U193" s="25" t="s">
        <v>991</v>
      </c>
      <c r="V193" s="25" t="s">
        <v>39</v>
      </c>
      <c r="W193" s="26">
        <v>45689</v>
      </c>
    </row>
    <row r="194" spans="1:23" ht="15.75" customHeight="1">
      <c r="A194" s="25" t="s">
        <v>992</v>
      </c>
      <c r="B194" s="25" t="s">
        <v>252</v>
      </c>
      <c r="C194" s="25" t="s">
        <v>25</v>
      </c>
      <c r="D194" s="25" t="s">
        <v>611</v>
      </c>
      <c r="E194" s="25" t="s">
        <v>455</v>
      </c>
      <c r="F194" s="25" t="s">
        <v>255</v>
      </c>
      <c r="G194" s="25" t="s">
        <v>29</v>
      </c>
      <c r="H194" s="25" t="s">
        <v>993</v>
      </c>
      <c r="I194" s="25" t="s">
        <v>139</v>
      </c>
      <c r="J194" s="25" t="s">
        <v>107</v>
      </c>
      <c r="K194" s="25" t="s">
        <v>33</v>
      </c>
      <c r="L194" s="25" t="s">
        <v>34</v>
      </c>
      <c r="M194" s="25">
        <v>10</v>
      </c>
      <c r="N194" s="25">
        <v>2200</v>
      </c>
      <c r="O194" s="25">
        <v>10</v>
      </c>
      <c r="P194" s="25">
        <v>19800</v>
      </c>
      <c r="Q194" s="25">
        <v>5</v>
      </c>
      <c r="R194" s="25" t="s">
        <v>49</v>
      </c>
      <c r="S194" s="25" t="s">
        <v>116</v>
      </c>
      <c r="T194" s="25" t="s">
        <v>257</v>
      </c>
      <c r="U194" s="25" t="s">
        <v>994</v>
      </c>
      <c r="V194" s="25" t="s">
        <v>65</v>
      </c>
      <c r="W194" s="26">
        <v>45992</v>
      </c>
    </row>
    <row r="195" spans="1:23" ht="15.75" customHeight="1">
      <c r="A195" s="25" t="s">
        <v>995</v>
      </c>
      <c r="B195" s="25" t="s">
        <v>84</v>
      </c>
      <c r="C195" s="25" t="s">
        <v>223</v>
      </c>
      <c r="D195" s="25" t="s">
        <v>337</v>
      </c>
      <c r="E195" s="25" t="s">
        <v>597</v>
      </c>
      <c r="F195" s="25" t="s">
        <v>181</v>
      </c>
      <c r="G195" s="25" t="s">
        <v>77</v>
      </c>
      <c r="H195" s="25" t="s">
        <v>996</v>
      </c>
      <c r="I195" s="25" t="s">
        <v>45</v>
      </c>
      <c r="J195" s="25" t="s">
        <v>46</v>
      </c>
      <c r="K195" s="25" t="s">
        <v>123</v>
      </c>
      <c r="L195" s="25" t="s">
        <v>228</v>
      </c>
      <c r="M195" s="25">
        <v>7</v>
      </c>
      <c r="N195" s="25">
        <v>20</v>
      </c>
      <c r="O195" s="25">
        <v>10</v>
      </c>
      <c r="P195" s="25">
        <v>126</v>
      </c>
      <c r="Q195" s="25">
        <v>4</v>
      </c>
      <c r="R195" s="25" t="s">
        <v>80</v>
      </c>
      <c r="S195" s="25" t="s">
        <v>62</v>
      </c>
      <c r="T195" s="25" t="s">
        <v>90</v>
      </c>
      <c r="U195" s="25" t="s">
        <v>997</v>
      </c>
      <c r="V195" s="25" t="s">
        <v>39</v>
      </c>
      <c r="W195" s="26">
        <v>45748</v>
      </c>
    </row>
    <row r="196" spans="1:23" ht="15.75" customHeight="1">
      <c r="A196" s="25" t="s">
        <v>998</v>
      </c>
      <c r="B196" s="25" t="s">
        <v>222</v>
      </c>
      <c r="C196" s="25" t="s">
        <v>170</v>
      </c>
      <c r="D196" s="25" t="s">
        <v>253</v>
      </c>
      <c r="E196" s="25" t="s">
        <v>999</v>
      </c>
      <c r="F196" s="25" t="s">
        <v>226</v>
      </c>
      <c r="G196" s="25" t="s">
        <v>77</v>
      </c>
      <c r="H196" s="25" t="s">
        <v>1000</v>
      </c>
      <c r="I196" s="25" t="s">
        <v>31</v>
      </c>
      <c r="J196" s="25" t="s">
        <v>32</v>
      </c>
      <c r="K196" s="25" t="s">
        <v>33</v>
      </c>
      <c r="L196" s="25" t="s">
        <v>175</v>
      </c>
      <c r="M196" s="25">
        <v>19</v>
      </c>
      <c r="N196" s="25">
        <v>8500</v>
      </c>
      <c r="O196" s="25">
        <v>20</v>
      </c>
      <c r="P196" s="25">
        <v>129200</v>
      </c>
      <c r="Q196" s="25">
        <v>3</v>
      </c>
      <c r="R196" s="25" t="s">
        <v>49</v>
      </c>
      <c r="S196" s="25" t="s">
        <v>62</v>
      </c>
      <c r="T196" s="25" t="s">
        <v>229</v>
      </c>
      <c r="U196" s="25" t="s">
        <v>1001</v>
      </c>
      <c r="V196" s="25" t="s">
        <v>65</v>
      </c>
      <c r="W196" s="26">
        <v>46023</v>
      </c>
    </row>
    <row r="197" spans="1:23" ht="15.75" customHeight="1">
      <c r="A197" s="25" t="s">
        <v>1002</v>
      </c>
      <c r="B197" s="25" t="s">
        <v>101</v>
      </c>
      <c r="C197" s="25" t="s">
        <v>119</v>
      </c>
      <c r="D197" s="25" t="s">
        <v>432</v>
      </c>
      <c r="E197" s="25" t="s">
        <v>415</v>
      </c>
      <c r="F197" s="25" t="s">
        <v>104</v>
      </c>
      <c r="G197" s="25" t="s">
        <v>29</v>
      </c>
      <c r="H197" s="25" t="s">
        <v>1003</v>
      </c>
      <c r="I197" s="25" t="s">
        <v>115</v>
      </c>
      <c r="J197" s="25" t="s">
        <v>107</v>
      </c>
      <c r="K197" s="25" t="s">
        <v>123</v>
      </c>
      <c r="L197" s="25" t="s">
        <v>124</v>
      </c>
      <c r="M197" s="25">
        <v>16</v>
      </c>
      <c r="N197" s="25">
        <v>60</v>
      </c>
      <c r="O197" s="25">
        <v>0</v>
      </c>
      <c r="P197" s="25">
        <v>960</v>
      </c>
      <c r="Q197" s="25">
        <v>2</v>
      </c>
      <c r="R197" s="25" t="s">
        <v>49</v>
      </c>
      <c r="S197" s="25" t="s">
        <v>116</v>
      </c>
      <c r="T197" s="25" t="s">
        <v>145</v>
      </c>
      <c r="U197" s="25" t="s">
        <v>1004</v>
      </c>
      <c r="V197" s="25" t="s">
        <v>39</v>
      </c>
      <c r="W197" s="26">
        <v>45717</v>
      </c>
    </row>
    <row r="198" spans="1:23" ht="15.75" customHeight="1">
      <c r="A198" s="25" t="s">
        <v>1005</v>
      </c>
      <c r="B198" s="25" t="s">
        <v>222</v>
      </c>
      <c r="C198" s="25" t="s">
        <v>93</v>
      </c>
      <c r="D198" s="25" t="s">
        <v>1006</v>
      </c>
      <c r="E198" s="25" t="s">
        <v>732</v>
      </c>
      <c r="F198" s="25" t="s">
        <v>226</v>
      </c>
      <c r="G198" s="25" t="s">
        <v>77</v>
      </c>
      <c r="H198" s="25" t="s">
        <v>1007</v>
      </c>
      <c r="I198" s="25" t="s">
        <v>60</v>
      </c>
      <c r="J198" s="25" t="s">
        <v>32</v>
      </c>
      <c r="K198" s="25" t="s">
        <v>123</v>
      </c>
      <c r="L198" s="25" t="s">
        <v>98</v>
      </c>
      <c r="M198" s="25">
        <v>18</v>
      </c>
      <c r="N198" s="25">
        <v>3500</v>
      </c>
      <c r="O198" s="25">
        <v>5</v>
      </c>
      <c r="P198" s="25">
        <v>59850</v>
      </c>
      <c r="Q198" s="25">
        <v>1</v>
      </c>
      <c r="R198" s="25" t="s">
        <v>89</v>
      </c>
      <c r="S198" s="25" t="s">
        <v>116</v>
      </c>
      <c r="T198" s="25" t="s">
        <v>229</v>
      </c>
      <c r="U198" s="25" t="s">
        <v>1009</v>
      </c>
      <c r="V198" s="25" t="s">
        <v>65</v>
      </c>
      <c r="W198" s="26">
        <v>46113</v>
      </c>
    </row>
    <row r="199" spans="1:23" ht="15.75" customHeight="1">
      <c r="A199" s="25" t="s">
        <v>1010</v>
      </c>
      <c r="B199" s="25" t="s">
        <v>101</v>
      </c>
      <c r="C199" s="25" t="s">
        <v>55</v>
      </c>
      <c r="D199" s="25" t="s">
        <v>1011</v>
      </c>
      <c r="E199" s="25" t="s">
        <v>432</v>
      </c>
      <c r="F199" s="25" t="s">
        <v>104</v>
      </c>
      <c r="G199" s="25" t="s">
        <v>29</v>
      </c>
      <c r="H199" s="25" t="s">
        <v>1012</v>
      </c>
      <c r="I199" s="25" t="s">
        <v>213</v>
      </c>
      <c r="J199" s="25" t="s">
        <v>46</v>
      </c>
      <c r="K199" s="25" t="s">
        <v>47</v>
      </c>
      <c r="L199" s="25" t="s">
        <v>61</v>
      </c>
      <c r="M199" s="25">
        <v>16</v>
      </c>
      <c r="N199" s="25">
        <v>55000</v>
      </c>
      <c r="O199" s="25">
        <v>0</v>
      </c>
      <c r="P199" s="25">
        <v>880000</v>
      </c>
      <c r="Q199" s="25">
        <v>1</v>
      </c>
      <c r="R199" s="25" t="s">
        <v>80</v>
      </c>
      <c r="S199" s="25" t="s">
        <v>62</v>
      </c>
      <c r="T199" s="25" t="s">
        <v>145</v>
      </c>
      <c r="U199" s="25" t="s">
        <v>1013</v>
      </c>
      <c r="V199" s="25" t="s">
        <v>70</v>
      </c>
      <c r="W199" s="26">
        <v>45689</v>
      </c>
    </row>
    <row r="200" spans="1:23" ht="15.75" customHeight="1">
      <c r="A200" s="25" t="s">
        <v>1014</v>
      </c>
      <c r="B200" s="25" t="s">
        <v>222</v>
      </c>
      <c r="C200" s="25" t="s">
        <v>73</v>
      </c>
      <c r="D200" s="25" t="s">
        <v>901</v>
      </c>
      <c r="E200" s="25" t="s">
        <v>436</v>
      </c>
      <c r="F200" s="25" t="s">
        <v>226</v>
      </c>
      <c r="G200" s="25" t="s">
        <v>77</v>
      </c>
      <c r="H200" s="25" t="s">
        <v>1015</v>
      </c>
      <c r="I200" s="25" t="s">
        <v>139</v>
      </c>
      <c r="J200" s="25" t="s">
        <v>107</v>
      </c>
      <c r="K200" s="25" t="s">
        <v>47</v>
      </c>
      <c r="L200" s="25" t="s">
        <v>79</v>
      </c>
      <c r="M200" s="25">
        <v>18</v>
      </c>
      <c r="N200" s="25">
        <v>1200</v>
      </c>
      <c r="O200" s="25">
        <v>15</v>
      </c>
      <c r="P200" s="25">
        <v>18360</v>
      </c>
      <c r="Q200" s="25">
        <v>2</v>
      </c>
      <c r="R200" s="25" t="s">
        <v>49</v>
      </c>
      <c r="S200" s="25" t="s">
        <v>36</v>
      </c>
      <c r="T200" s="25" t="s">
        <v>229</v>
      </c>
      <c r="U200" s="25" t="s">
        <v>1016</v>
      </c>
      <c r="V200" s="25" t="s">
        <v>70</v>
      </c>
      <c r="W200" s="26">
        <v>45689</v>
      </c>
    </row>
    <row r="201" spans="1:23" ht="15.75" customHeight="1">
      <c r="A201" s="25" t="s">
        <v>1017</v>
      </c>
      <c r="B201" s="25" t="s">
        <v>72</v>
      </c>
      <c r="C201" s="25" t="s">
        <v>260</v>
      </c>
      <c r="D201" s="25" t="s">
        <v>1018</v>
      </c>
      <c r="E201" s="25" t="s">
        <v>1019</v>
      </c>
      <c r="F201" s="25" t="s">
        <v>218</v>
      </c>
      <c r="G201" s="25" t="s">
        <v>77</v>
      </c>
      <c r="H201" s="25" t="s">
        <v>1020</v>
      </c>
      <c r="I201" s="25" t="s">
        <v>31</v>
      </c>
      <c r="J201" s="25" t="s">
        <v>32</v>
      </c>
      <c r="K201" s="25" t="s">
        <v>123</v>
      </c>
      <c r="L201" s="25" t="s">
        <v>264</v>
      </c>
      <c r="M201" s="25">
        <v>2</v>
      </c>
      <c r="N201" s="25">
        <v>45</v>
      </c>
      <c r="O201" s="25">
        <v>15</v>
      </c>
      <c r="P201" s="25">
        <v>76.5</v>
      </c>
      <c r="Q201" s="25">
        <v>5</v>
      </c>
      <c r="R201" s="25" t="s">
        <v>35</v>
      </c>
      <c r="S201" s="25" t="s">
        <v>62</v>
      </c>
      <c r="T201" s="25" t="s">
        <v>81</v>
      </c>
      <c r="U201" s="25" t="s">
        <v>1021</v>
      </c>
      <c r="V201" s="25" t="s">
        <v>70</v>
      </c>
      <c r="W201" s="26">
        <v>45778</v>
      </c>
    </row>
    <row r="202" spans="1:23" ht="15.75" customHeight="1">
      <c r="A202" s="25" t="s">
        <v>1022</v>
      </c>
      <c r="B202" s="25" t="s">
        <v>54</v>
      </c>
      <c r="C202" s="25" t="s">
        <v>170</v>
      </c>
      <c r="D202" s="25" t="s">
        <v>713</v>
      </c>
      <c r="E202" s="25" t="s">
        <v>86</v>
      </c>
      <c r="F202" s="25" t="s">
        <v>164</v>
      </c>
      <c r="G202" s="25" t="s">
        <v>29</v>
      </c>
      <c r="H202" s="25" t="s">
        <v>1023</v>
      </c>
      <c r="I202" s="25" t="s">
        <v>60</v>
      </c>
      <c r="J202" s="25" t="s">
        <v>32</v>
      </c>
      <c r="K202" s="25" t="s">
        <v>33</v>
      </c>
      <c r="L202" s="25" t="s">
        <v>175</v>
      </c>
      <c r="M202" s="25">
        <v>20</v>
      </c>
      <c r="N202" s="25">
        <v>8500</v>
      </c>
      <c r="O202" s="25">
        <v>0</v>
      </c>
      <c r="P202" s="25">
        <v>170000</v>
      </c>
      <c r="Q202" s="25">
        <v>4</v>
      </c>
      <c r="R202" s="25" t="s">
        <v>49</v>
      </c>
      <c r="S202" s="25" t="s">
        <v>62</v>
      </c>
      <c r="T202" s="25" t="s">
        <v>63</v>
      </c>
      <c r="U202" s="25" t="s">
        <v>1024</v>
      </c>
      <c r="V202" s="25" t="s">
        <v>70</v>
      </c>
      <c r="W202" s="26">
        <v>46023</v>
      </c>
    </row>
    <row r="203" spans="1:23" ht="15.75" customHeight="1">
      <c r="A203" s="25" t="s">
        <v>1025</v>
      </c>
      <c r="B203" s="25" t="s">
        <v>128</v>
      </c>
      <c r="C203" s="25" t="s">
        <v>93</v>
      </c>
      <c r="D203" s="25" t="s">
        <v>299</v>
      </c>
      <c r="E203" s="25" t="s">
        <v>1026</v>
      </c>
      <c r="F203" s="25" t="s">
        <v>201</v>
      </c>
      <c r="G203" s="25" t="s">
        <v>77</v>
      </c>
      <c r="H203" s="25" t="s">
        <v>495</v>
      </c>
      <c r="I203" s="25" t="s">
        <v>213</v>
      </c>
      <c r="J203" s="25" t="s">
        <v>46</v>
      </c>
      <c r="K203" s="25" t="s">
        <v>33</v>
      </c>
      <c r="L203" s="25" t="s">
        <v>98</v>
      </c>
      <c r="M203" s="25">
        <v>6</v>
      </c>
      <c r="N203" s="25">
        <v>3500</v>
      </c>
      <c r="O203" s="25">
        <v>5</v>
      </c>
      <c r="P203" s="25">
        <v>19950</v>
      </c>
      <c r="Q203" s="25">
        <v>1</v>
      </c>
      <c r="R203" s="25" t="s">
        <v>35</v>
      </c>
      <c r="S203" s="25" t="s">
        <v>152</v>
      </c>
      <c r="T203" s="25" t="s">
        <v>133</v>
      </c>
      <c r="U203" s="25" t="s">
        <v>1027</v>
      </c>
      <c r="V203" s="25" t="s">
        <v>39</v>
      </c>
      <c r="W203" s="26">
        <v>46082</v>
      </c>
    </row>
    <row r="204" spans="1:23" ht="15.75" customHeight="1">
      <c r="A204" s="25" t="s">
        <v>1028</v>
      </c>
      <c r="B204" s="25" t="s">
        <v>169</v>
      </c>
      <c r="C204" s="25" t="s">
        <v>260</v>
      </c>
      <c r="D204" s="25" t="s">
        <v>309</v>
      </c>
      <c r="E204" s="25" t="s">
        <v>282</v>
      </c>
      <c r="F204" s="25" t="s">
        <v>362</v>
      </c>
      <c r="G204" s="25" t="s">
        <v>29</v>
      </c>
      <c r="H204" s="25" t="s">
        <v>1029</v>
      </c>
      <c r="I204" s="25" t="s">
        <v>115</v>
      </c>
      <c r="J204" s="25" t="s">
        <v>107</v>
      </c>
      <c r="K204" s="25" t="s">
        <v>123</v>
      </c>
      <c r="L204" s="25" t="s">
        <v>264</v>
      </c>
      <c r="M204" s="25">
        <v>8</v>
      </c>
      <c r="N204" s="25">
        <v>45</v>
      </c>
      <c r="O204" s="25">
        <v>5</v>
      </c>
      <c r="P204" s="25">
        <v>342</v>
      </c>
      <c r="Q204" s="25">
        <v>2</v>
      </c>
      <c r="R204" s="25" t="s">
        <v>35</v>
      </c>
      <c r="S204" s="25" t="s">
        <v>50</v>
      </c>
      <c r="T204" s="25" t="s">
        <v>176</v>
      </c>
      <c r="U204" s="25" t="s">
        <v>1030</v>
      </c>
      <c r="V204" s="25" t="s">
        <v>65</v>
      </c>
      <c r="W204" s="26">
        <v>45931</v>
      </c>
    </row>
    <row r="205" spans="1:23" ht="15.75" customHeight="1">
      <c r="A205" s="25" t="s">
        <v>1031</v>
      </c>
      <c r="B205" s="25" t="s">
        <v>328</v>
      </c>
      <c r="C205" s="25" t="s">
        <v>25</v>
      </c>
      <c r="D205" s="25" t="s">
        <v>415</v>
      </c>
      <c r="E205" s="25" t="s">
        <v>1032</v>
      </c>
      <c r="F205" s="25" t="s">
        <v>395</v>
      </c>
      <c r="G205" s="25" t="s">
        <v>77</v>
      </c>
      <c r="H205" s="25" t="s">
        <v>1033</v>
      </c>
      <c r="I205" s="25" t="s">
        <v>106</v>
      </c>
      <c r="J205" s="25" t="s">
        <v>107</v>
      </c>
      <c r="K205" s="25" t="s">
        <v>33</v>
      </c>
      <c r="L205" s="25" t="s">
        <v>34</v>
      </c>
      <c r="M205" s="25">
        <v>18</v>
      </c>
      <c r="N205" s="25">
        <v>2200</v>
      </c>
      <c r="O205" s="25">
        <v>15</v>
      </c>
      <c r="P205" s="25">
        <v>33660</v>
      </c>
      <c r="Q205" s="25">
        <v>4</v>
      </c>
      <c r="R205" s="25" t="s">
        <v>80</v>
      </c>
      <c r="S205" s="25" t="s">
        <v>62</v>
      </c>
      <c r="T205" s="25" t="s">
        <v>333</v>
      </c>
      <c r="U205" s="25" t="s">
        <v>1034</v>
      </c>
      <c r="V205" s="25" t="s">
        <v>65</v>
      </c>
      <c r="W205" s="26">
        <v>45717</v>
      </c>
    </row>
    <row r="206" spans="1:23" ht="15.75" customHeight="1">
      <c r="A206" s="25" t="s">
        <v>1035</v>
      </c>
      <c r="B206" s="25" t="s">
        <v>222</v>
      </c>
      <c r="C206" s="25" t="s">
        <v>185</v>
      </c>
      <c r="D206" s="25" t="s">
        <v>1036</v>
      </c>
      <c r="E206" s="25" t="s">
        <v>1006</v>
      </c>
      <c r="F206" s="25" t="s">
        <v>226</v>
      </c>
      <c r="G206" s="25" t="s">
        <v>77</v>
      </c>
      <c r="H206" s="25" t="s">
        <v>1037</v>
      </c>
      <c r="I206" s="25" t="s">
        <v>31</v>
      </c>
      <c r="J206" s="25" t="s">
        <v>32</v>
      </c>
      <c r="K206" s="25" t="s">
        <v>47</v>
      </c>
      <c r="L206" s="25" t="s">
        <v>190</v>
      </c>
      <c r="M206" s="25">
        <v>18</v>
      </c>
      <c r="N206" s="25">
        <v>700</v>
      </c>
      <c r="O206" s="25">
        <v>15</v>
      </c>
      <c r="P206" s="25">
        <v>10710</v>
      </c>
      <c r="Q206" s="25">
        <v>3</v>
      </c>
      <c r="R206" s="25" t="s">
        <v>80</v>
      </c>
      <c r="S206" s="25" t="s">
        <v>152</v>
      </c>
      <c r="T206" s="25" t="s">
        <v>229</v>
      </c>
      <c r="U206" s="25" t="s">
        <v>1038</v>
      </c>
      <c r="V206" s="25" t="s">
        <v>70</v>
      </c>
      <c r="W206" s="26">
        <v>46113</v>
      </c>
    </row>
    <row r="207" spans="1:23" ht="15.75" customHeight="1">
      <c r="A207" s="25" t="s">
        <v>1039</v>
      </c>
      <c r="B207" s="25" t="s">
        <v>328</v>
      </c>
      <c r="C207" s="25" t="s">
        <v>55</v>
      </c>
      <c r="D207" s="25" t="s">
        <v>1040</v>
      </c>
      <c r="E207" s="25" t="s">
        <v>1041</v>
      </c>
      <c r="F207" s="25" t="s">
        <v>395</v>
      </c>
      <c r="G207" s="25" t="s">
        <v>77</v>
      </c>
      <c r="H207" s="25" t="s">
        <v>1042</v>
      </c>
      <c r="I207" s="25" t="s">
        <v>115</v>
      </c>
      <c r="J207" s="25" t="s">
        <v>107</v>
      </c>
      <c r="K207" s="25" t="s">
        <v>47</v>
      </c>
      <c r="L207" s="25" t="s">
        <v>61</v>
      </c>
      <c r="M207" s="25">
        <v>12</v>
      </c>
      <c r="N207" s="25">
        <v>55000</v>
      </c>
      <c r="O207" s="25">
        <v>0</v>
      </c>
      <c r="P207" s="25">
        <v>660000</v>
      </c>
      <c r="Q207" s="25">
        <v>2</v>
      </c>
      <c r="R207" s="25" t="s">
        <v>89</v>
      </c>
      <c r="S207" s="25" t="s">
        <v>50</v>
      </c>
      <c r="T207" s="25" t="s">
        <v>333</v>
      </c>
      <c r="U207" s="25" t="s">
        <v>1043</v>
      </c>
      <c r="V207" s="25" t="s">
        <v>70</v>
      </c>
      <c r="W207" s="26">
        <v>46023</v>
      </c>
    </row>
    <row r="208" spans="1:23" ht="15.75" customHeight="1">
      <c r="A208" s="25" t="s">
        <v>1044</v>
      </c>
      <c r="B208" s="25" t="s">
        <v>24</v>
      </c>
      <c r="C208" s="25" t="s">
        <v>41</v>
      </c>
      <c r="D208" s="25" t="s">
        <v>503</v>
      </c>
      <c r="E208" s="25" t="s">
        <v>1045</v>
      </c>
      <c r="F208" s="25" t="s">
        <v>28</v>
      </c>
      <c r="G208" s="25" t="s">
        <v>29</v>
      </c>
      <c r="H208" s="25" t="s">
        <v>1046</v>
      </c>
      <c r="I208" s="25" t="s">
        <v>106</v>
      </c>
      <c r="J208" s="25" t="s">
        <v>107</v>
      </c>
      <c r="K208" s="25" t="s">
        <v>47</v>
      </c>
      <c r="L208" s="25" t="s">
        <v>48</v>
      </c>
      <c r="M208" s="25">
        <v>7</v>
      </c>
      <c r="N208" s="25">
        <v>12000</v>
      </c>
      <c r="O208" s="25">
        <v>5</v>
      </c>
      <c r="P208" s="25">
        <v>79800</v>
      </c>
      <c r="Q208" s="25">
        <v>3</v>
      </c>
      <c r="R208" s="25" t="s">
        <v>80</v>
      </c>
      <c r="S208" s="25" t="s">
        <v>152</v>
      </c>
      <c r="T208" s="25" t="s">
        <v>51</v>
      </c>
      <c r="U208" s="25" t="s">
        <v>1047</v>
      </c>
      <c r="V208" s="25" t="s">
        <v>65</v>
      </c>
      <c r="W208" s="26">
        <v>45962</v>
      </c>
    </row>
    <row r="209" spans="1:23" ht="15.75" customHeight="1">
      <c r="A209" s="25" t="s">
        <v>1048</v>
      </c>
      <c r="B209" s="25" t="s">
        <v>252</v>
      </c>
      <c r="C209" s="25" t="s">
        <v>41</v>
      </c>
      <c r="D209" s="25" t="s">
        <v>1049</v>
      </c>
      <c r="E209" s="25" t="s">
        <v>130</v>
      </c>
      <c r="F209" s="25" t="s">
        <v>255</v>
      </c>
      <c r="G209" s="25" t="s">
        <v>29</v>
      </c>
      <c r="H209" s="25" t="s">
        <v>1050</v>
      </c>
      <c r="I209" s="25" t="s">
        <v>106</v>
      </c>
      <c r="J209" s="25" t="s">
        <v>107</v>
      </c>
      <c r="K209" s="25" t="s">
        <v>47</v>
      </c>
      <c r="L209" s="25" t="s">
        <v>48</v>
      </c>
      <c r="M209" s="25">
        <v>8</v>
      </c>
      <c r="N209" s="25">
        <v>12000</v>
      </c>
      <c r="O209" s="25">
        <v>15</v>
      </c>
      <c r="P209" s="25">
        <v>81600</v>
      </c>
      <c r="Q209" s="25">
        <v>4</v>
      </c>
      <c r="R209" s="25" t="s">
        <v>80</v>
      </c>
      <c r="S209" s="25" t="s">
        <v>50</v>
      </c>
      <c r="T209" s="25" t="s">
        <v>257</v>
      </c>
      <c r="U209" s="25" t="s">
        <v>1051</v>
      </c>
      <c r="V209" s="25" t="s">
        <v>39</v>
      </c>
      <c r="W209" s="26">
        <v>45901</v>
      </c>
    </row>
    <row r="210" spans="1:23" ht="15.75" customHeight="1">
      <c r="A210" s="25" t="s">
        <v>1052</v>
      </c>
      <c r="B210" s="25" t="s">
        <v>328</v>
      </c>
      <c r="C210" s="25" t="s">
        <v>93</v>
      </c>
      <c r="D210" s="25" t="s">
        <v>789</v>
      </c>
      <c r="E210" s="25" t="s">
        <v>1053</v>
      </c>
      <c r="F210" s="25" t="s">
        <v>395</v>
      </c>
      <c r="G210" s="25" t="s">
        <v>77</v>
      </c>
      <c r="H210" s="25" t="s">
        <v>1054</v>
      </c>
      <c r="I210" s="25" t="s">
        <v>106</v>
      </c>
      <c r="J210" s="25" t="s">
        <v>107</v>
      </c>
      <c r="K210" s="25" t="s">
        <v>33</v>
      </c>
      <c r="L210" s="25" t="s">
        <v>98</v>
      </c>
      <c r="M210" s="25">
        <v>19</v>
      </c>
      <c r="N210" s="25">
        <v>3500</v>
      </c>
      <c r="O210" s="25">
        <v>5</v>
      </c>
      <c r="P210" s="25">
        <v>63175</v>
      </c>
      <c r="Q210" s="25">
        <v>3</v>
      </c>
      <c r="R210" s="25" t="s">
        <v>80</v>
      </c>
      <c r="S210" s="25" t="s">
        <v>62</v>
      </c>
      <c r="T210" s="25" t="s">
        <v>333</v>
      </c>
      <c r="U210" s="25" t="s">
        <v>1055</v>
      </c>
      <c r="V210" s="25" t="s">
        <v>65</v>
      </c>
      <c r="W210" s="26">
        <v>45992</v>
      </c>
    </row>
    <row r="211" spans="1:23" ht="15.75" customHeight="1">
      <c r="A211" s="25" t="s">
        <v>1056</v>
      </c>
      <c r="B211" s="25" t="s">
        <v>252</v>
      </c>
      <c r="C211" s="25" t="s">
        <v>260</v>
      </c>
      <c r="D211" s="25" t="s">
        <v>901</v>
      </c>
      <c r="E211" s="25" t="s">
        <v>988</v>
      </c>
      <c r="F211" s="25" t="s">
        <v>255</v>
      </c>
      <c r="G211" s="25" t="s">
        <v>29</v>
      </c>
      <c r="H211" s="25" t="s">
        <v>1057</v>
      </c>
      <c r="I211" s="25" t="s">
        <v>139</v>
      </c>
      <c r="J211" s="25" t="s">
        <v>107</v>
      </c>
      <c r="K211" s="25" t="s">
        <v>123</v>
      </c>
      <c r="L211" s="25" t="s">
        <v>264</v>
      </c>
      <c r="M211" s="25">
        <v>7</v>
      </c>
      <c r="N211" s="25">
        <v>45</v>
      </c>
      <c r="O211" s="25">
        <v>5</v>
      </c>
      <c r="P211" s="25">
        <v>299.25</v>
      </c>
      <c r="Q211" s="25">
        <v>3</v>
      </c>
      <c r="R211" s="25" t="s">
        <v>80</v>
      </c>
      <c r="S211" s="25" t="s">
        <v>36</v>
      </c>
      <c r="T211" s="25" t="s">
        <v>257</v>
      </c>
      <c r="U211" s="25" t="s">
        <v>1058</v>
      </c>
      <c r="V211" s="25" t="s">
        <v>70</v>
      </c>
      <c r="W211" s="26">
        <v>45689</v>
      </c>
    </row>
    <row r="212" spans="1:23" ht="15.75" customHeight="1">
      <c r="A212" s="25" t="s">
        <v>1059</v>
      </c>
      <c r="B212" s="25" t="s">
        <v>24</v>
      </c>
      <c r="C212" s="25" t="s">
        <v>119</v>
      </c>
      <c r="D212" s="25" t="s">
        <v>685</v>
      </c>
      <c r="E212" s="25" t="s">
        <v>751</v>
      </c>
      <c r="F212" s="25" t="s">
        <v>28</v>
      </c>
      <c r="G212" s="25" t="s">
        <v>29</v>
      </c>
      <c r="H212" s="25" t="s">
        <v>332</v>
      </c>
      <c r="I212" s="25" t="s">
        <v>31</v>
      </c>
      <c r="J212" s="25" t="s">
        <v>32</v>
      </c>
      <c r="K212" s="25" t="s">
        <v>123</v>
      </c>
      <c r="L212" s="25" t="s">
        <v>124</v>
      </c>
      <c r="M212" s="25">
        <v>3</v>
      </c>
      <c r="N212" s="25">
        <v>60</v>
      </c>
      <c r="O212" s="25">
        <v>15</v>
      </c>
      <c r="P212" s="25">
        <v>153</v>
      </c>
      <c r="Q212" s="25">
        <v>3</v>
      </c>
      <c r="R212" s="25" t="s">
        <v>49</v>
      </c>
      <c r="S212" s="25" t="s">
        <v>50</v>
      </c>
      <c r="T212" s="25" t="s">
        <v>51</v>
      </c>
      <c r="U212" s="25" t="s">
        <v>1060</v>
      </c>
      <c r="V212" s="25" t="s">
        <v>70</v>
      </c>
      <c r="W212" s="26">
        <v>45809</v>
      </c>
    </row>
    <row r="213" spans="1:23" ht="15.75" customHeight="1">
      <c r="A213" s="25" t="s">
        <v>1061</v>
      </c>
      <c r="B213" s="25" t="s">
        <v>54</v>
      </c>
      <c r="C213" s="25" t="s">
        <v>260</v>
      </c>
      <c r="D213" s="25" t="s">
        <v>1062</v>
      </c>
      <c r="E213" s="25" t="s">
        <v>583</v>
      </c>
      <c r="F213" s="25" t="s">
        <v>164</v>
      </c>
      <c r="G213" s="25" t="s">
        <v>29</v>
      </c>
      <c r="H213" s="25" t="s">
        <v>1063</v>
      </c>
      <c r="I213" s="25" t="s">
        <v>115</v>
      </c>
      <c r="J213" s="25" t="s">
        <v>107</v>
      </c>
      <c r="K213" s="25" t="s">
        <v>123</v>
      </c>
      <c r="L213" s="25" t="s">
        <v>264</v>
      </c>
      <c r="M213" s="25">
        <v>19</v>
      </c>
      <c r="N213" s="25">
        <v>45</v>
      </c>
      <c r="O213" s="25">
        <v>0</v>
      </c>
      <c r="P213" s="25">
        <v>855</v>
      </c>
      <c r="Q213" s="25">
        <v>2</v>
      </c>
      <c r="R213" s="25" t="s">
        <v>35</v>
      </c>
      <c r="S213" s="25" t="s">
        <v>62</v>
      </c>
      <c r="T213" s="25" t="s">
        <v>63</v>
      </c>
      <c r="U213" s="25" t="s">
        <v>1064</v>
      </c>
      <c r="V213" s="25" t="s">
        <v>39</v>
      </c>
      <c r="W213" s="26">
        <v>46113</v>
      </c>
    </row>
    <row r="214" spans="1:23" ht="15.75" customHeight="1">
      <c r="A214" s="25" t="s">
        <v>1065</v>
      </c>
      <c r="B214" s="25" t="s">
        <v>101</v>
      </c>
      <c r="C214" s="25" t="s">
        <v>41</v>
      </c>
      <c r="D214" s="25" t="s">
        <v>1066</v>
      </c>
      <c r="E214" s="25" t="s">
        <v>544</v>
      </c>
      <c r="F214" s="25" t="s">
        <v>104</v>
      </c>
      <c r="G214" s="25" t="s">
        <v>29</v>
      </c>
      <c r="H214" s="25" t="s">
        <v>1067</v>
      </c>
      <c r="I214" s="25" t="s">
        <v>60</v>
      </c>
      <c r="J214" s="25" t="s">
        <v>32</v>
      </c>
      <c r="K214" s="25" t="s">
        <v>47</v>
      </c>
      <c r="L214" s="25" t="s">
        <v>48</v>
      </c>
      <c r="M214" s="25">
        <v>10</v>
      </c>
      <c r="N214" s="25">
        <v>12000</v>
      </c>
      <c r="O214" s="25">
        <v>5</v>
      </c>
      <c r="P214" s="25">
        <v>114000</v>
      </c>
      <c r="Q214" s="25">
        <v>1</v>
      </c>
      <c r="R214" s="25" t="s">
        <v>80</v>
      </c>
      <c r="S214" s="25" t="s">
        <v>116</v>
      </c>
      <c r="T214" s="25" t="s">
        <v>145</v>
      </c>
      <c r="U214" s="25" t="s">
        <v>1068</v>
      </c>
      <c r="V214" s="25" t="s">
        <v>70</v>
      </c>
      <c r="W214" s="26">
        <v>46082</v>
      </c>
    </row>
    <row r="215" spans="1:23" ht="15.75" customHeight="1">
      <c r="A215" s="25" t="s">
        <v>1069</v>
      </c>
      <c r="B215" s="25" t="s">
        <v>24</v>
      </c>
      <c r="C215" s="25" t="s">
        <v>73</v>
      </c>
      <c r="D215" s="25" t="s">
        <v>1070</v>
      </c>
      <c r="E215" s="25" t="s">
        <v>1032</v>
      </c>
      <c r="F215" s="25" t="s">
        <v>28</v>
      </c>
      <c r="G215" s="25" t="s">
        <v>29</v>
      </c>
      <c r="H215" s="25" t="s">
        <v>1071</v>
      </c>
      <c r="I215" s="25" t="s">
        <v>295</v>
      </c>
      <c r="J215" s="25" t="s">
        <v>296</v>
      </c>
      <c r="K215" s="25" t="s">
        <v>47</v>
      </c>
      <c r="L215" s="25" t="s">
        <v>79</v>
      </c>
      <c r="M215" s="25">
        <v>4</v>
      </c>
      <c r="N215" s="25">
        <v>1200</v>
      </c>
      <c r="O215" s="25">
        <v>0</v>
      </c>
      <c r="P215" s="25">
        <v>4800</v>
      </c>
      <c r="Q215" s="25">
        <v>4</v>
      </c>
      <c r="R215" s="25" t="s">
        <v>35</v>
      </c>
      <c r="S215" s="25" t="s">
        <v>62</v>
      </c>
      <c r="T215" s="25" t="s">
        <v>51</v>
      </c>
      <c r="U215" s="25" t="s">
        <v>1072</v>
      </c>
      <c r="V215" s="25" t="s">
        <v>39</v>
      </c>
      <c r="W215" s="26">
        <v>45689</v>
      </c>
    </row>
    <row r="216" spans="1:23" ht="15.75" customHeight="1">
      <c r="A216" s="25" t="s">
        <v>1073</v>
      </c>
      <c r="B216" s="25" t="s">
        <v>222</v>
      </c>
      <c r="C216" s="25" t="s">
        <v>170</v>
      </c>
      <c r="D216" s="25" t="s">
        <v>532</v>
      </c>
      <c r="E216" s="25" t="s">
        <v>1074</v>
      </c>
      <c r="F216" s="25" t="s">
        <v>226</v>
      </c>
      <c r="G216" s="25" t="s">
        <v>77</v>
      </c>
      <c r="H216" s="25" t="s">
        <v>1075</v>
      </c>
      <c r="I216" s="25" t="s">
        <v>60</v>
      </c>
      <c r="J216" s="25" t="s">
        <v>32</v>
      </c>
      <c r="K216" s="25" t="s">
        <v>33</v>
      </c>
      <c r="L216" s="25" t="s">
        <v>175</v>
      </c>
      <c r="M216" s="25">
        <v>2</v>
      </c>
      <c r="N216" s="25">
        <v>8500</v>
      </c>
      <c r="O216" s="25">
        <v>20</v>
      </c>
      <c r="P216" s="25">
        <v>13600</v>
      </c>
      <c r="Q216" s="25">
        <v>3</v>
      </c>
      <c r="R216" s="25" t="s">
        <v>80</v>
      </c>
      <c r="S216" s="25" t="s">
        <v>152</v>
      </c>
      <c r="T216" s="25" t="s">
        <v>229</v>
      </c>
      <c r="U216" s="25" t="s">
        <v>1076</v>
      </c>
      <c r="V216" s="25" t="s">
        <v>39</v>
      </c>
      <c r="W216" s="26">
        <v>45931</v>
      </c>
    </row>
    <row r="217" spans="1:23" ht="15.75" customHeight="1">
      <c r="A217" s="25" t="s">
        <v>1077</v>
      </c>
      <c r="B217" s="25" t="s">
        <v>84</v>
      </c>
      <c r="C217" s="25" t="s">
        <v>185</v>
      </c>
      <c r="D217" s="25" t="s">
        <v>1078</v>
      </c>
      <c r="E217" s="25" t="s">
        <v>323</v>
      </c>
      <c r="F217" s="25" t="s">
        <v>181</v>
      </c>
      <c r="G217" s="25" t="s">
        <v>77</v>
      </c>
      <c r="H217" s="25" t="s">
        <v>1079</v>
      </c>
      <c r="I217" s="25" t="s">
        <v>295</v>
      </c>
      <c r="J217" s="25" t="s">
        <v>296</v>
      </c>
      <c r="K217" s="25" t="s">
        <v>47</v>
      </c>
      <c r="L217" s="25" t="s">
        <v>190</v>
      </c>
      <c r="M217" s="25">
        <v>7</v>
      </c>
      <c r="N217" s="25">
        <v>700</v>
      </c>
      <c r="O217" s="25">
        <v>20</v>
      </c>
      <c r="P217" s="25">
        <v>3920</v>
      </c>
      <c r="Q217" s="25">
        <v>2</v>
      </c>
      <c r="R217" s="25" t="s">
        <v>80</v>
      </c>
      <c r="S217" s="25" t="s">
        <v>152</v>
      </c>
      <c r="T217" s="25" t="s">
        <v>90</v>
      </c>
      <c r="U217" s="25" t="s">
        <v>1080</v>
      </c>
      <c r="V217" s="25" t="s">
        <v>65</v>
      </c>
      <c r="W217" s="26">
        <v>46023</v>
      </c>
    </row>
    <row r="218" spans="1:23" ht="15.75" customHeight="1">
      <c r="A218" s="25" t="s">
        <v>1081</v>
      </c>
      <c r="B218" s="25" t="s">
        <v>54</v>
      </c>
      <c r="C218" s="25" t="s">
        <v>223</v>
      </c>
      <c r="D218" s="25" t="s">
        <v>1082</v>
      </c>
      <c r="E218" s="25" t="s">
        <v>519</v>
      </c>
      <c r="F218" s="25" t="s">
        <v>164</v>
      </c>
      <c r="G218" s="25" t="s">
        <v>29</v>
      </c>
      <c r="H218" s="25" t="s">
        <v>1083</v>
      </c>
      <c r="I218" s="25" t="s">
        <v>115</v>
      </c>
      <c r="J218" s="25" t="s">
        <v>107</v>
      </c>
      <c r="K218" s="25" t="s">
        <v>123</v>
      </c>
      <c r="L218" s="25" t="s">
        <v>228</v>
      </c>
      <c r="M218" s="25">
        <v>9</v>
      </c>
      <c r="N218" s="25">
        <v>20</v>
      </c>
      <c r="O218" s="25">
        <v>15</v>
      </c>
      <c r="P218" s="25">
        <v>153</v>
      </c>
      <c r="Q218" s="25">
        <v>3</v>
      </c>
      <c r="R218" s="25" t="s">
        <v>49</v>
      </c>
      <c r="S218" s="25" t="s">
        <v>116</v>
      </c>
      <c r="T218" s="25" t="s">
        <v>63</v>
      </c>
      <c r="U218" s="25" t="s">
        <v>1084</v>
      </c>
      <c r="V218" s="25" t="s">
        <v>39</v>
      </c>
      <c r="W218" s="26">
        <v>46113</v>
      </c>
    </row>
    <row r="219" spans="1:23" ht="15.75" customHeight="1">
      <c r="A219" s="25" t="s">
        <v>1085</v>
      </c>
      <c r="B219" s="25" t="s">
        <v>101</v>
      </c>
      <c r="C219" s="25" t="s">
        <v>170</v>
      </c>
      <c r="D219" s="25" t="s">
        <v>1086</v>
      </c>
      <c r="E219" s="25" t="s">
        <v>1087</v>
      </c>
      <c r="F219" s="25" t="s">
        <v>104</v>
      </c>
      <c r="G219" s="25" t="s">
        <v>29</v>
      </c>
      <c r="H219" s="25" t="s">
        <v>1088</v>
      </c>
      <c r="I219" s="25" t="s">
        <v>295</v>
      </c>
      <c r="J219" s="25" t="s">
        <v>296</v>
      </c>
      <c r="K219" s="25" t="s">
        <v>33</v>
      </c>
      <c r="L219" s="25" t="s">
        <v>175</v>
      </c>
      <c r="M219" s="25">
        <v>16</v>
      </c>
      <c r="N219" s="25">
        <v>8500</v>
      </c>
      <c r="O219" s="25">
        <v>0</v>
      </c>
      <c r="P219" s="25">
        <v>136000</v>
      </c>
      <c r="Q219" s="25">
        <v>4</v>
      </c>
      <c r="R219" s="25" t="s">
        <v>49</v>
      </c>
      <c r="S219" s="25" t="s">
        <v>36</v>
      </c>
      <c r="T219" s="25" t="s">
        <v>145</v>
      </c>
      <c r="U219" s="25" t="s">
        <v>1089</v>
      </c>
      <c r="V219" s="25" t="s">
        <v>39</v>
      </c>
      <c r="W219" s="26">
        <v>45778</v>
      </c>
    </row>
    <row r="220" spans="1:23" ht="15.75" customHeight="1">
      <c r="A220" s="25" t="s">
        <v>1090</v>
      </c>
      <c r="B220" s="25" t="s">
        <v>252</v>
      </c>
      <c r="C220" s="25" t="s">
        <v>93</v>
      </c>
      <c r="D220" s="25" t="s">
        <v>545</v>
      </c>
      <c r="E220" s="25" t="s">
        <v>1091</v>
      </c>
      <c r="F220" s="25" t="s">
        <v>255</v>
      </c>
      <c r="G220" s="25" t="s">
        <v>29</v>
      </c>
      <c r="H220" s="25" t="s">
        <v>1092</v>
      </c>
      <c r="I220" s="25" t="s">
        <v>45</v>
      </c>
      <c r="J220" s="25" t="s">
        <v>46</v>
      </c>
      <c r="K220" s="25" t="s">
        <v>33</v>
      </c>
      <c r="L220" s="25" t="s">
        <v>98</v>
      </c>
      <c r="M220" s="25">
        <v>10</v>
      </c>
      <c r="N220" s="25">
        <v>3500</v>
      </c>
      <c r="O220" s="25">
        <v>5</v>
      </c>
      <c r="P220" s="25">
        <v>33250</v>
      </c>
      <c r="Q220" s="25">
        <v>3</v>
      </c>
      <c r="R220" s="25" t="s">
        <v>49</v>
      </c>
      <c r="S220" s="25" t="s">
        <v>116</v>
      </c>
      <c r="T220" s="25" t="s">
        <v>257</v>
      </c>
      <c r="U220" s="25" t="s">
        <v>1093</v>
      </c>
      <c r="V220" s="25" t="s">
        <v>39</v>
      </c>
      <c r="W220" s="26">
        <v>46082</v>
      </c>
    </row>
    <row r="221" spans="1:23" ht="15.75" customHeight="1">
      <c r="A221" s="25" t="s">
        <v>1094</v>
      </c>
      <c r="B221" s="25" t="s">
        <v>54</v>
      </c>
      <c r="C221" s="25" t="s">
        <v>41</v>
      </c>
      <c r="D221" s="25" t="s">
        <v>1095</v>
      </c>
      <c r="E221" s="25" t="s">
        <v>589</v>
      </c>
      <c r="F221" s="25" t="s">
        <v>164</v>
      </c>
      <c r="G221" s="25" t="s">
        <v>29</v>
      </c>
      <c r="H221" s="25" t="s">
        <v>1096</v>
      </c>
      <c r="I221" s="25" t="s">
        <v>295</v>
      </c>
      <c r="J221" s="25" t="s">
        <v>296</v>
      </c>
      <c r="K221" s="25" t="s">
        <v>47</v>
      </c>
      <c r="L221" s="25" t="s">
        <v>48</v>
      </c>
      <c r="M221" s="25">
        <v>1</v>
      </c>
      <c r="N221" s="25">
        <v>12000</v>
      </c>
      <c r="O221" s="25">
        <v>0</v>
      </c>
      <c r="P221" s="25">
        <v>12000</v>
      </c>
      <c r="Q221" s="25">
        <v>5</v>
      </c>
      <c r="R221" s="25" t="s">
        <v>89</v>
      </c>
      <c r="S221" s="25" t="s">
        <v>116</v>
      </c>
      <c r="T221" s="25" t="s">
        <v>63</v>
      </c>
      <c r="U221" s="25" t="s">
        <v>1097</v>
      </c>
      <c r="V221" s="25" t="s">
        <v>65</v>
      </c>
      <c r="W221" s="26">
        <v>46023</v>
      </c>
    </row>
    <row r="222" spans="1:23" ht="15.75" customHeight="1">
      <c r="A222" s="25" t="s">
        <v>1098</v>
      </c>
      <c r="B222" s="25" t="s">
        <v>328</v>
      </c>
      <c r="C222" s="25" t="s">
        <v>260</v>
      </c>
      <c r="D222" s="25" t="s">
        <v>1099</v>
      </c>
      <c r="E222" s="25" t="s">
        <v>602</v>
      </c>
      <c r="F222" s="25" t="s">
        <v>395</v>
      </c>
      <c r="G222" s="25" t="s">
        <v>77</v>
      </c>
      <c r="H222" s="25" t="s">
        <v>1100</v>
      </c>
      <c r="I222" s="25" t="s">
        <v>295</v>
      </c>
      <c r="J222" s="25" t="s">
        <v>296</v>
      </c>
      <c r="K222" s="25" t="s">
        <v>123</v>
      </c>
      <c r="L222" s="25" t="s">
        <v>264</v>
      </c>
      <c r="M222" s="25">
        <v>19</v>
      </c>
      <c r="N222" s="25">
        <v>45</v>
      </c>
      <c r="O222" s="25">
        <v>15</v>
      </c>
      <c r="P222" s="25">
        <v>726.75</v>
      </c>
      <c r="Q222" s="25">
        <v>2</v>
      </c>
      <c r="R222" s="25" t="s">
        <v>89</v>
      </c>
      <c r="S222" s="25" t="s">
        <v>152</v>
      </c>
      <c r="T222" s="25" t="s">
        <v>333</v>
      </c>
      <c r="U222" s="25" t="s">
        <v>1101</v>
      </c>
      <c r="V222" s="25" t="s">
        <v>65</v>
      </c>
      <c r="W222" s="26">
        <v>46143</v>
      </c>
    </row>
    <row r="223" spans="1:23" ht="15.75" customHeight="1">
      <c r="A223" s="25" t="s">
        <v>1102</v>
      </c>
      <c r="B223" s="25" t="s">
        <v>24</v>
      </c>
      <c r="C223" s="25" t="s">
        <v>55</v>
      </c>
      <c r="D223" s="25" t="s">
        <v>532</v>
      </c>
      <c r="E223" s="25" t="s">
        <v>1103</v>
      </c>
      <c r="F223" s="25" t="s">
        <v>28</v>
      </c>
      <c r="G223" s="25" t="s">
        <v>29</v>
      </c>
      <c r="H223" s="25" t="s">
        <v>1104</v>
      </c>
      <c r="I223" s="25" t="s">
        <v>45</v>
      </c>
      <c r="J223" s="25" t="s">
        <v>46</v>
      </c>
      <c r="K223" s="25" t="s">
        <v>47</v>
      </c>
      <c r="L223" s="25" t="s">
        <v>61</v>
      </c>
      <c r="M223" s="25">
        <v>13</v>
      </c>
      <c r="N223" s="25">
        <v>55000</v>
      </c>
      <c r="O223" s="25">
        <v>5</v>
      </c>
      <c r="P223" s="25">
        <v>679250</v>
      </c>
      <c r="Q223" s="25">
        <v>4</v>
      </c>
      <c r="R223" s="25" t="s">
        <v>80</v>
      </c>
      <c r="S223" s="25" t="s">
        <v>50</v>
      </c>
      <c r="T223" s="25" t="s">
        <v>51</v>
      </c>
      <c r="U223" s="25" t="s">
        <v>1105</v>
      </c>
      <c r="V223" s="25" t="s">
        <v>70</v>
      </c>
      <c r="W223" s="26">
        <v>45931</v>
      </c>
    </row>
    <row r="224" spans="1:23" ht="15.75" customHeight="1">
      <c r="A224" s="25" t="s">
        <v>1106</v>
      </c>
      <c r="B224" s="25" t="s">
        <v>84</v>
      </c>
      <c r="C224" s="25" t="s">
        <v>260</v>
      </c>
      <c r="D224" s="25" t="s">
        <v>1107</v>
      </c>
      <c r="E224" s="25" t="s">
        <v>156</v>
      </c>
      <c r="F224" s="25" t="s">
        <v>181</v>
      </c>
      <c r="G224" s="25" t="s">
        <v>77</v>
      </c>
      <c r="H224" s="25" t="s">
        <v>1108</v>
      </c>
      <c r="I224" s="25" t="s">
        <v>106</v>
      </c>
      <c r="J224" s="25" t="s">
        <v>107</v>
      </c>
      <c r="K224" s="25" t="s">
        <v>123</v>
      </c>
      <c r="L224" s="25" t="s">
        <v>264</v>
      </c>
      <c r="M224" s="25">
        <v>2</v>
      </c>
      <c r="N224" s="25">
        <v>45</v>
      </c>
      <c r="O224" s="25">
        <v>15</v>
      </c>
      <c r="P224" s="25">
        <v>76.5</v>
      </c>
      <c r="Q224" s="25">
        <v>1</v>
      </c>
      <c r="R224" s="25" t="s">
        <v>49</v>
      </c>
      <c r="S224" s="25" t="s">
        <v>116</v>
      </c>
      <c r="T224" s="25" t="s">
        <v>90</v>
      </c>
      <c r="U224" s="25" t="s">
        <v>1109</v>
      </c>
      <c r="V224" s="25" t="s">
        <v>39</v>
      </c>
      <c r="W224" s="26">
        <v>45839</v>
      </c>
    </row>
    <row r="225" spans="1:23" ht="15.75" customHeight="1">
      <c r="A225" s="25" t="s">
        <v>1110</v>
      </c>
      <c r="B225" s="25" t="s">
        <v>101</v>
      </c>
      <c r="C225" s="25" t="s">
        <v>223</v>
      </c>
      <c r="D225" s="25" t="s">
        <v>304</v>
      </c>
      <c r="E225" s="25" t="s">
        <v>1111</v>
      </c>
      <c r="F225" s="25" t="s">
        <v>104</v>
      </c>
      <c r="G225" s="25" t="s">
        <v>29</v>
      </c>
      <c r="H225" s="25" t="s">
        <v>1112</v>
      </c>
      <c r="I225" s="25" t="s">
        <v>31</v>
      </c>
      <c r="J225" s="25" t="s">
        <v>32</v>
      </c>
      <c r="K225" s="25" t="s">
        <v>123</v>
      </c>
      <c r="L225" s="25" t="s">
        <v>228</v>
      </c>
      <c r="M225" s="25">
        <v>8</v>
      </c>
      <c r="N225" s="25">
        <v>20</v>
      </c>
      <c r="O225" s="25">
        <v>15</v>
      </c>
      <c r="P225" s="25">
        <v>136</v>
      </c>
      <c r="Q225" s="25">
        <v>1</v>
      </c>
      <c r="R225" s="25" t="s">
        <v>80</v>
      </c>
      <c r="S225" s="25" t="s">
        <v>36</v>
      </c>
      <c r="T225" s="25" t="s">
        <v>145</v>
      </c>
      <c r="U225" s="25" t="s">
        <v>1113</v>
      </c>
      <c r="V225" s="25" t="s">
        <v>65</v>
      </c>
      <c r="W225" s="26">
        <v>45689</v>
      </c>
    </row>
    <row r="226" spans="1:23" ht="15.75" customHeight="1">
      <c r="A226" s="25" t="s">
        <v>1114</v>
      </c>
      <c r="B226" s="25" t="s">
        <v>169</v>
      </c>
      <c r="C226" s="25" t="s">
        <v>41</v>
      </c>
      <c r="D226" s="25" t="s">
        <v>1115</v>
      </c>
      <c r="E226" s="25" t="s">
        <v>1116</v>
      </c>
      <c r="F226" s="25" t="s">
        <v>362</v>
      </c>
      <c r="G226" s="25" t="s">
        <v>29</v>
      </c>
      <c r="H226" s="25" t="s">
        <v>1117</v>
      </c>
      <c r="I226" s="25" t="s">
        <v>31</v>
      </c>
      <c r="J226" s="25" t="s">
        <v>32</v>
      </c>
      <c r="K226" s="25" t="s">
        <v>47</v>
      </c>
      <c r="L226" s="25" t="s">
        <v>48</v>
      </c>
      <c r="M226" s="25">
        <v>9</v>
      </c>
      <c r="N226" s="25">
        <v>12000</v>
      </c>
      <c r="O226" s="25">
        <v>5</v>
      </c>
      <c r="P226" s="25">
        <v>102600</v>
      </c>
      <c r="Q226" s="25">
        <v>2</v>
      </c>
      <c r="R226" s="25" t="s">
        <v>80</v>
      </c>
      <c r="S226" s="25" t="s">
        <v>36</v>
      </c>
      <c r="T226" s="25" t="s">
        <v>176</v>
      </c>
      <c r="U226" s="25" t="s">
        <v>1118</v>
      </c>
      <c r="V226" s="25" t="s">
        <v>70</v>
      </c>
      <c r="W226" s="26">
        <v>45748</v>
      </c>
    </row>
    <row r="227" spans="1:23" ht="15.75" customHeight="1">
      <c r="A227" s="25" t="s">
        <v>1119</v>
      </c>
      <c r="B227" s="25" t="s">
        <v>72</v>
      </c>
      <c r="C227" s="25" t="s">
        <v>93</v>
      </c>
      <c r="D227" s="25" t="s">
        <v>1120</v>
      </c>
      <c r="E227" s="25" t="s">
        <v>1121</v>
      </c>
      <c r="F227" s="25" t="s">
        <v>218</v>
      </c>
      <c r="G227" s="25" t="s">
        <v>77</v>
      </c>
      <c r="H227" s="25" t="s">
        <v>1122</v>
      </c>
      <c r="I227" s="25" t="s">
        <v>295</v>
      </c>
      <c r="J227" s="25" t="s">
        <v>296</v>
      </c>
      <c r="K227" s="25" t="s">
        <v>33</v>
      </c>
      <c r="L227" s="25" t="s">
        <v>98</v>
      </c>
      <c r="M227" s="25">
        <v>3</v>
      </c>
      <c r="N227" s="25">
        <v>3500</v>
      </c>
      <c r="O227" s="25">
        <v>15</v>
      </c>
      <c r="P227" s="25">
        <v>8925</v>
      </c>
      <c r="Q227" s="25">
        <v>1</v>
      </c>
      <c r="R227" s="25" t="s">
        <v>35</v>
      </c>
      <c r="S227" s="25" t="s">
        <v>50</v>
      </c>
      <c r="T227" s="25" t="s">
        <v>81</v>
      </c>
      <c r="U227" s="25" t="s">
        <v>1123</v>
      </c>
      <c r="V227" s="25" t="s">
        <v>70</v>
      </c>
      <c r="W227" s="26">
        <v>45809</v>
      </c>
    </row>
    <row r="228" spans="1:23" ht="15.75" customHeight="1">
      <c r="A228" s="25" t="s">
        <v>1124</v>
      </c>
      <c r="B228" s="25" t="s">
        <v>101</v>
      </c>
      <c r="C228" s="25" t="s">
        <v>185</v>
      </c>
      <c r="D228" s="25" t="s">
        <v>1087</v>
      </c>
      <c r="E228" s="25" t="s">
        <v>1125</v>
      </c>
      <c r="F228" s="25" t="s">
        <v>104</v>
      </c>
      <c r="G228" s="25" t="s">
        <v>29</v>
      </c>
      <c r="H228" s="25" t="s">
        <v>1126</v>
      </c>
      <c r="I228" s="25" t="s">
        <v>31</v>
      </c>
      <c r="J228" s="25" t="s">
        <v>32</v>
      </c>
      <c r="K228" s="25" t="s">
        <v>47</v>
      </c>
      <c r="L228" s="25" t="s">
        <v>190</v>
      </c>
      <c r="M228" s="25">
        <v>18</v>
      </c>
      <c r="N228" s="25">
        <v>700</v>
      </c>
      <c r="O228" s="25">
        <v>20</v>
      </c>
      <c r="P228" s="25">
        <v>10080</v>
      </c>
      <c r="Q228" s="25">
        <v>1</v>
      </c>
      <c r="R228" s="25" t="s">
        <v>80</v>
      </c>
      <c r="S228" s="25" t="s">
        <v>152</v>
      </c>
      <c r="T228" s="25" t="s">
        <v>145</v>
      </c>
      <c r="U228" s="25" t="s">
        <v>1127</v>
      </c>
      <c r="V228" s="25" t="s">
        <v>39</v>
      </c>
      <c r="W228" s="26">
        <v>45778</v>
      </c>
    </row>
    <row r="229" spans="1:23" ht="15.75" customHeight="1">
      <c r="A229" s="25" t="s">
        <v>1128</v>
      </c>
      <c r="B229" s="25" t="s">
        <v>72</v>
      </c>
      <c r="C229" s="25" t="s">
        <v>93</v>
      </c>
      <c r="D229" s="25" t="s">
        <v>1129</v>
      </c>
      <c r="E229" s="25" t="s">
        <v>111</v>
      </c>
      <c r="F229" s="25" t="s">
        <v>218</v>
      </c>
      <c r="G229" s="25" t="s">
        <v>77</v>
      </c>
      <c r="H229" s="25" t="s">
        <v>1130</v>
      </c>
      <c r="I229" s="25" t="s">
        <v>115</v>
      </c>
      <c r="J229" s="25" t="s">
        <v>107</v>
      </c>
      <c r="K229" s="25" t="s">
        <v>33</v>
      </c>
      <c r="L229" s="25" t="s">
        <v>98</v>
      </c>
      <c r="M229" s="25">
        <v>14</v>
      </c>
      <c r="N229" s="25">
        <v>3500</v>
      </c>
      <c r="O229" s="25">
        <v>5</v>
      </c>
      <c r="P229" s="25">
        <v>46550</v>
      </c>
      <c r="Q229" s="25">
        <v>1</v>
      </c>
      <c r="R229" s="25" t="s">
        <v>35</v>
      </c>
      <c r="S229" s="25" t="s">
        <v>62</v>
      </c>
      <c r="T229" s="25" t="s">
        <v>81</v>
      </c>
      <c r="U229" s="25" t="s">
        <v>1131</v>
      </c>
      <c r="V229" s="25" t="s">
        <v>39</v>
      </c>
      <c r="W229" s="26">
        <v>46023</v>
      </c>
    </row>
    <row r="230" spans="1:23" ht="15.75" customHeight="1">
      <c r="A230" s="25" t="s">
        <v>1132</v>
      </c>
      <c r="B230" s="25" t="s">
        <v>101</v>
      </c>
      <c r="C230" s="25" t="s">
        <v>185</v>
      </c>
      <c r="D230" s="25" t="s">
        <v>685</v>
      </c>
      <c r="E230" s="25" t="s">
        <v>319</v>
      </c>
      <c r="F230" s="25" t="s">
        <v>104</v>
      </c>
      <c r="G230" s="25" t="s">
        <v>29</v>
      </c>
      <c r="H230" s="25" t="s">
        <v>1133</v>
      </c>
      <c r="I230" s="25" t="s">
        <v>295</v>
      </c>
      <c r="J230" s="25" t="s">
        <v>296</v>
      </c>
      <c r="K230" s="25" t="s">
        <v>47</v>
      </c>
      <c r="L230" s="25" t="s">
        <v>190</v>
      </c>
      <c r="M230" s="25">
        <v>6</v>
      </c>
      <c r="N230" s="25">
        <v>700</v>
      </c>
      <c r="O230" s="25">
        <v>5</v>
      </c>
      <c r="P230" s="25">
        <v>3990</v>
      </c>
      <c r="Q230" s="25">
        <v>5</v>
      </c>
      <c r="R230" s="25" t="s">
        <v>35</v>
      </c>
      <c r="S230" s="25" t="s">
        <v>36</v>
      </c>
      <c r="T230" s="25" t="s">
        <v>145</v>
      </c>
      <c r="U230" s="25" t="s">
        <v>1134</v>
      </c>
      <c r="V230" s="25" t="s">
        <v>39</v>
      </c>
      <c r="W230" s="26">
        <v>45809</v>
      </c>
    </row>
    <row r="231" spans="1:23" ht="15.75" customHeight="1">
      <c r="A231" s="25" t="s">
        <v>1135</v>
      </c>
      <c r="B231" s="25" t="s">
        <v>101</v>
      </c>
      <c r="C231" s="25" t="s">
        <v>93</v>
      </c>
      <c r="D231" s="25" t="s">
        <v>680</v>
      </c>
      <c r="E231" s="25" t="s">
        <v>873</v>
      </c>
      <c r="F231" s="25" t="s">
        <v>104</v>
      </c>
      <c r="G231" s="25" t="s">
        <v>29</v>
      </c>
      <c r="H231" s="25" t="s">
        <v>1136</v>
      </c>
      <c r="I231" s="25" t="s">
        <v>106</v>
      </c>
      <c r="J231" s="25" t="s">
        <v>107</v>
      </c>
      <c r="K231" s="25" t="s">
        <v>33</v>
      </c>
      <c r="L231" s="25" t="s">
        <v>98</v>
      </c>
      <c r="M231" s="25">
        <v>17</v>
      </c>
      <c r="N231" s="25">
        <v>3500</v>
      </c>
      <c r="O231" s="25">
        <v>15</v>
      </c>
      <c r="P231" s="25">
        <v>50575</v>
      </c>
      <c r="Q231" s="25">
        <v>3</v>
      </c>
      <c r="R231" s="25" t="s">
        <v>49</v>
      </c>
      <c r="S231" s="25" t="s">
        <v>50</v>
      </c>
      <c r="T231" s="25" t="s">
        <v>145</v>
      </c>
      <c r="U231" s="25" t="s">
        <v>1137</v>
      </c>
      <c r="V231" s="25" t="s">
        <v>65</v>
      </c>
      <c r="W231" s="26">
        <v>45809</v>
      </c>
    </row>
    <row r="232" spans="1:23" ht="15.75" customHeight="1">
      <c r="A232" s="25" t="s">
        <v>1138</v>
      </c>
      <c r="B232" s="25" t="s">
        <v>252</v>
      </c>
      <c r="C232" s="25" t="s">
        <v>223</v>
      </c>
      <c r="D232" s="25" t="s">
        <v>254</v>
      </c>
      <c r="E232" s="25" t="s">
        <v>1129</v>
      </c>
      <c r="F232" s="25" t="s">
        <v>255</v>
      </c>
      <c r="G232" s="25" t="s">
        <v>29</v>
      </c>
      <c r="H232" s="25" t="s">
        <v>1139</v>
      </c>
      <c r="I232" s="25" t="s">
        <v>295</v>
      </c>
      <c r="J232" s="25" t="s">
        <v>296</v>
      </c>
      <c r="K232" s="25" t="s">
        <v>123</v>
      </c>
      <c r="L232" s="25" t="s">
        <v>228</v>
      </c>
      <c r="M232" s="25">
        <v>7</v>
      </c>
      <c r="N232" s="25">
        <v>20</v>
      </c>
      <c r="O232" s="25">
        <v>5</v>
      </c>
      <c r="P232" s="25">
        <v>133</v>
      </c>
      <c r="Q232" s="25">
        <v>2</v>
      </c>
      <c r="R232" s="25" t="s">
        <v>89</v>
      </c>
      <c r="S232" s="25" t="s">
        <v>152</v>
      </c>
      <c r="T232" s="25" t="s">
        <v>257</v>
      </c>
      <c r="U232" s="25" t="s">
        <v>1140</v>
      </c>
      <c r="V232" s="25" t="s">
        <v>39</v>
      </c>
      <c r="W232" s="26">
        <v>46023</v>
      </c>
    </row>
    <row r="233" spans="1:23" ht="15.75" customHeight="1">
      <c r="A233" s="25" t="s">
        <v>1141</v>
      </c>
      <c r="B233" s="25" t="s">
        <v>24</v>
      </c>
      <c r="C233" s="25" t="s">
        <v>25</v>
      </c>
      <c r="D233" s="25" t="s">
        <v>1142</v>
      </c>
      <c r="E233" s="25" t="s">
        <v>1143</v>
      </c>
      <c r="F233" s="25" t="s">
        <v>28</v>
      </c>
      <c r="G233" s="25" t="s">
        <v>29</v>
      </c>
      <c r="H233" s="25" t="s">
        <v>1144</v>
      </c>
      <c r="I233" s="25" t="s">
        <v>60</v>
      </c>
      <c r="J233" s="25" t="s">
        <v>32</v>
      </c>
      <c r="K233" s="25" t="s">
        <v>33</v>
      </c>
      <c r="L233" s="25" t="s">
        <v>34</v>
      </c>
      <c r="M233" s="25">
        <v>15</v>
      </c>
      <c r="N233" s="25">
        <v>2200</v>
      </c>
      <c r="O233" s="25">
        <v>20</v>
      </c>
      <c r="P233" s="25">
        <v>26400</v>
      </c>
      <c r="Q233" s="25">
        <v>2</v>
      </c>
      <c r="R233" s="25" t="s">
        <v>35</v>
      </c>
      <c r="S233" s="25" t="s">
        <v>62</v>
      </c>
      <c r="T233" s="25" t="s">
        <v>51</v>
      </c>
      <c r="U233" s="25" t="s">
        <v>1145</v>
      </c>
      <c r="V233" s="25" t="s">
        <v>39</v>
      </c>
      <c r="W233" s="26">
        <v>46054</v>
      </c>
    </row>
    <row r="234" spans="1:23" ht="15.75" customHeight="1">
      <c r="A234" s="25" t="s">
        <v>1146</v>
      </c>
      <c r="B234" s="25" t="s">
        <v>72</v>
      </c>
      <c r="C234" s="25" t="s">
        <v>223</v>
      </c>
      <c r="D234" s="25" t="s">
        <v>737</v>
      </c>
      <c r="E234" s="25" t="s">
        <v>95</v>
      </c>
      <c r="F234" s="25" t="s">
        <v>218</v>
      </c>
      <c r="G234" s="25" t="s">
        <v>77</v>
      </c>
      <c r="H234" s="25" t="s">
        <v>1147</v>
      </c>
      <c r="I234" s="25" t="s">
        <v>106</v>
      </c>
      <c r="J234" s="25" t="s">
        <v>107</v>
      </c>
      <c r="K234" s="25" t="s">
        <v>123</v>
      </c>
      <c r="L234" s="25" t="s">
        <v>228</v>
      </c>
      <c r="M234" s="25">
        <v>5</v>
      </c>
      <c r="N234" s="25">
        <v>20</v>
      </c>
      <c r="O234" s="25">
        <v>0</v>
      </c>
      <c r="P234" s="25">
        <v>100</v>
      </c>
      <c r="Q234" s="25">
        <v>3</v>
      </c>
      <c r="R234" s="25" t="s">
        <v>35</v>
      </c>
      <c r="S234" s="25" t="s">
        <v>152</v>
      </c>
      <c r="T234" s="25" t="s">
        <v>81</v>
      </c>
      <c r="U234" s="25" t="s">
        <v>1148</v>
      </c>
      <c r="V234" s="25" t="s">
        <v>39</v>
      </c>
      <c r="W234" s="26">
        <v>46054</v>
      </c>
    </row>
    <row r="235" spans="1:23" ht="15.75" customHeight="1">
      <c r="A235" s="25" t="s">
        <v>1149</v>
      </c>
      <c r="B235" s="25" t="s">
        <v>128</v>
      </c>
      <c r="C235" s="25" t="s">
        <v>41</v>
      </c>
      <c r="D235" s="25" t="s">
        <v>1150</v>
      </c>
      <c r="E235" s="25" t="s">
        <v>780</v>
      </c>
      <c r="F235" s="25" t="s">
        <v>201</v>
      </c>
      <c r="G235" s="25" t="s">
        <v>77</v>
      </c>
      <c r="H235" s="25" t="s">
        <v>1151</v>
      </c>
      <c r="I235" s="25" t="s">
        <v>45</v>
      </c>
      <c r="J235" s="25" t="s">
        <v>46</v>
      </c>
      <c r="K235" s="25" t="s">
        <v>47</v>
      </c>
      <c r="L235" s="25" t="s">
        <v>48</v>
      </c>
      <c r="M235" s="25">
        <v>8</v>
      </c>
      <c r="N235" s="25">
        <v>12000</v>
      </c>
      <c r="O235" s="25">
        <v>20</v>
      </c>
      <c r="P235" s="25">
        <v>76800</v>
      </c>
      <c r="Q235" s="25">
        <v>3</v>
      </c>
      <c r="R235" s="25" t="s">
        <v>80</v>
      </c>
      <c r="S235" s="25" t="s">
        <v>62</v>
      </c>
      <c r="T235" s="25" t="s">
        <v>133</v>
      </c>
      <c r="U235" s="25" t="s">
        <v>1152</v>
      </c>
      <c r="V235" s="25" t="s">
        <v>65</v>
      </c>
      <c r="W235" s="26">
        <v>45839</v>
      </c>
    </row>
    <row r="236" spans="1:23" ht="15.75" customHeight="1">
      <c r="A236" s="25" t="s">
        <v>1153</v>
      </c>
      <c r="B236" s="25" t="s">
        <v>128</v>
      </c>
      <c r="C236" s="25" t="s">
        <v>93</v>
      </c>
      <c r="D236" s="25" t="s">
        <v>1154</v>
      </c>
      <c r="E236" s="25" t="s">
        <v>988</v>
      </c>
      <c r="F236" s="25" t="s">
        <v>201</v>
      </c>
      <c r="G236" s="25" t="s">
        <v>77</v>
      </c>
      <c r="H236" s="25" t="s">
        <v>1155</v>
      </c>
      <c r="I236" s="25" t="s">
        <v>106</v>
      </c>
      <c r="J236" s="25" t="s">
        <v>107</v>
      </c>
      <c r="K236" s="25" t="s">
        <v>33</v>
      </c>
      <c r="L236" s="25" t="s">
        <v>98</v>
      </c>
      <c r="M236" s="25">
        <v>4</v>
      </c>
      <c r="N236" s="25">
        <v>3500</v>
      </c>
      <c r="O236" s="25">
        <v>20</v>
      </c>
      <c r="P236" s="25">
        <v>11200</v>
      </c>
      <c r="Q236" s="25">
        <v>1</v>
      </c>
      <c r="R236" s="25" t="s">
        <v>80</v>
      </c>
      <c r="S236" s="25" t="s">
        <v>116</v>
      </c>
      <c r="T236" s="25" t="s">
        <v>133</v>
      </c>
      <c r="U236" s="25" t="s">
        <v>1156</v>
      </c>
      <c r="V236" s="25" t="s">
        <v>39</v>
      </c>
      <c r="W236" s="26">
        <v>45689</v>
      </c>
    </row>
    <row r="237" spans="1:23" ht="15.75" customHeight="1">
      <c r="A237" s="25" t="s">
        <v>1157</v>
      </c>
      <c r="B237" s="25" t="s">
        <v>222</v>
      </c>
      <c r="C237" s="25" t="s">
        <v>260</v>
      </c>
      <c r="D237" s="25" t="s">
        <v>629</v>
      </c>
      <c r="E237" s="25" t="s">
        <v>1158</v>
      </c>
      <c r="F237" s="25" t="s">
        <v>226</v>
      </c>
      <c r="G237" s="25" t="s">
        <v>77</v>
      </c>
      <c r="H237" s="25" t="s">
        <v>1159</v>
      </c>
      <c r="I237" s="25" t="s">
        <v>31</v>
      </c>
      <c r="J237" s="25" t="s">
        <v>32</v>
      </c>
      <c r="K237" s="25" t="s">
        <v>123</v>
      </c>
      <c r="L237" s="25" t="s">
        <v>264</v>
      </c>
      <c r="M237" s="25">
        <v>19</v>
      </c>
      <c r="N237" s="25">
        <v>45</v>
      </c>
      <c r="O237" s="25">
        <v>10</v>
      </c>
      <c r="P237" s="25">
        <v>769.5</v>
      </c>
      <c r="Q237" s="25">
        <v>1</v>
      </c>
      <c r="R237" s="25" t="s">
        <v>35</v>
      </c>
      <c r="S237" s="25" t="s">
        <v>116</v>
      </c>
      <c r="T237" s="25" t="s">
        <v>229</v>
      </c>
      <c r="U237" s="25" t="s">
        <v>1160</v>
      </c>
      <c r="V237" s="25" t="s">
        <v>39</v>
      </c>
      <c r="W237" s="26">
        <v>45689</v>
      </c>
    </row>
    <row r="238" spans="1:23" ht="15.75" customHeight="1">
      <c r="A238" s="25" t="s">
        <v>1161</v>
      </c>
      <c r="B238" s="25" t="s">
        <v>54</v>
      </c>
      <c r="C238" s="25" t="s">
        <v>260</v>
      </c>
      <c r="D238" s="25" t="s">
        <v>589</v>
      </c>
      <c r="E238" s="25" t="s">
        <v>1162</v>
      </c>
      <c r="F238" s="25" t="s">
        <v>164</v>
      </c>
      <c r="G238" s="25" t="s">
        <v>29</v>
      </c>
      <c r="H238" s="25" t="s">
        <v>1163</v>
      </c>
      <c r="I238" s="25" t="s">
        <v>115</v>
      </c>
      <c r="J238" s="25" t="s">
        <v>107</v>
      </c>
      <c r="K238" s="25" t="s">
        <v>123</v>
      </c>
      <c r="L238" s="25" t="s">
        <v>264</v>
      </c>
      <c r="M238" s="25">
        <v>10</v>
      </c>
      <c r="N238" s="25">
        <v>45</v>
      </c>
      <c r="O238" s="25">
        <v>0</v>
      </c>
      <c r="P238" s="25">
        <v>450</v>
      </c>
      <c r="Q238" s="25">
        <v>4</v>
      </c>
      <c r="R238" s="25" t="s">
        <v>89</v>
      </c>
      <c r="S238" s="25" t="s">
        <v>62</v>
      </c>
      <c r="T238" s="25" t="s">
        <v>63</v>
      </c>
      <c r="U238" s="25" t="s">
        <v>1164</v>
      </c>
      <c r="V238" s="25" t="s">
        <v>39</v>
      </c>
      <c r="W238" s="26">
        <v>46023</v>
      </c>
    </row>
    <row r="239" spans="1:23" ht="15.75" customHeight="1">
      <c r="A239" s="25" t="s">
        <v>1165</v>
      </c>
      <c r="B239" s="25" t="s">
        <v>54</v>
      </c>
      <c r="C239" s="25" t="s">
        <v>260</v>
      </c>
      <c r="D239" s="25" t="s">
        <v>1166</v>
      </c>
      <c r="E239" s="25" t="s">
        <v>1040</v>
      </c>
      <c r="F239" s="25" t="s">
        <v>164</v>
      </c>
      <c r="G239" s="25" t="s">
        <v>29</v>
      </c>
      <c r="H239" s="25" t="s">
        <v>1167</v>
      </c>
      <c r="I239" s="25" t="s">
        <v>31</v>
      </c>
      <c r="J239" s="25" t="s">
        <v>32</v>
      </c>
      <c r="K239" s="25" t="s">
        <v>123</v>
      </c>
      <c r="L239" s="25" t="s">
        <v>264</v>
      </c>
      <c r="M239" s="25">
        <v>16</v>
      </c>
      <c r="N239" s="25">
        <v>45</v>
      </c>
      <c r="O239" s="25">
        <v>15</v>
      </c>
      <c r="P239" s="25">
        <v>612</v>
      </c>
      <c r="Q239" s="25">
        <v>3</v>
      </c>
      <c r="R239" s="25" t="s">
        <v>35</v>
      </c>
      <c r="S239" s="25" t="s">
        <v>116</v>
      </c>
      <c r="T239" s="25" t="s">
        <v>63</v>
      </c>
      <c r="U239" s="25" t="s">
        <v>1168</v>
      </c>
      <c r="V239" s="25" t="s">
        <v>70</v>
      </c>
      <c r="W239" s="26">
        <v>46023</v>
      </c>
    </row>
    <row r="240" spans="1:23" ht="15.75" customHeight="1">
      <c r="A240" s="25" t="s">
        <v>1169</v>
      </c>
      <c r="B240" s="25" t="s">
        <v>169</v>
      </c>
      <c r="C240" s="25" t="s">
        <v>170</v>
      </c>
      <c r="D240" s="25" t="s">
        <v>120</v>
      </c>
      <c r="E240" s="25" t="s">
        <v>121</v>
      </c>
      <c r="F240" s="25" t="s">
        <v>362</v>
      </c>
      <c r="G240" s="25" t="s">
        <v>29</v>
      </c>
      <c r="H240" s="25" t="s">
        <v>1170</v>
      </c>
      <c r="I240" s="25" t="s">
        <v>115</v>
      </c>
      <c r="J240" s="25" t="s">
        <v>107</v>
      </c>
      <c r="K240" s="25" t="s">
        <v>33</v>
      </c>
      <c r="L240" s="25" t="s">
        <v>175</v>
      </c>
      <c r="M240" s="25">
        <v>16</v>
      </c>
      <c r="N240" s="25">
        <v>8500</v>
      </c>
      <c r="O240" s="25">
        <v>15</v>
      </c>
      <c r="P240" s="25">
        <v>115600</v>
      </c>
      <c r="Q240" s="25">
        <v>4</v>
      </c>
      <c r="R240" s="25" t="s">
        <v>49</v>
      </c>
      <c r="S240" s="25" t="s">
        <v>36</v>
      </c>
      <c r="T240" s="25" t="s">
        <v>176</v>
      </c>
      <c r="U240" s="25" t="s">
        <v>1171</v>
      </c>
      <c r="V240" s="25" t="s">
        <v>70</v>
      </c>
      <c r="W240" s="26">
        <v>45717</v>
      </c>
    </row>
    <row r="241" spans="1:23" ht="15.75" customHeight="1">
      <c r="A241" s="25" t="s">
        <v>1172</v>
      </c>
      <c r="B241" s="25" t="s">
        <v>169</v>
      </c>
      <c r="C241" s="25" t="s">
        <v>223</v>
      </c>
      <c r="D241" s="25" t="s">
        <v>446</v>
      </c>
      <c r="E241" s="25" t="s">
        <v>1173</v>
      </c>
      <c r="F241" s="25" t="s">
        <v>362</v>
      </c>
      <c r="G241" s="25" t="s">
        <v>29</v>
      </c>
      <c r="H241" s="25" t="s">
        <v>1174</v>
      </c>
      <c r="I241" s="25" t="s">
        <v>295</v>
      </c>
      <c r="J241" s="25" t="s">
        <v>296</v>
      </c>
      <c r="K241" s="25" t="s">
        <v>123</v>
      </c>
      <c r="L241" s="25" t="s">
        <v>228</v>
      </c>
      <c r="M241" s="25">
        <v>15</v>
      </c>
      <c r="N241" s="25">
        <v>20</v>
      </c>
      <c r="O241" s="25">
        <v>20</v>
      </c>
      <c r="P241" s="25">
        <v>240</v>
      </c>
      <c r="Q241" s="25">
        <v>3</v>
      </c>
      <c r="R241" s="25" t="s">
        <v>49</v>
      </c>
      <c r="S241" s="25" t="s">
        <v>50</v>
      </c>
      <c r="T241" s="25" t="s">
        <v>176</v>
      </c>
      <c r="U241" s="25" t="s">
        <v>1175</v>
      </c>
      <c r="V241" s="25" t="s">
        <v>70</v>
      </c>
      <c r="W241" s="26">
        <v>45901</v>
      </c>
    </row>
    <row r="242" spans="1:23" ht="15.75" customHeight="1">
      <c r="A242" s="25" t="s">
        <v>1176</v>
      </c>
      <c r="B242" s="25" t="s">
        <v>84</v>
      </c>
      <c r="C242" s="25" t="s">
        <v>119</v>
      </c>
      <c r="D242" s="25" t="s">
        <v>441</v>
      </c>
      <c r="E242" s="25" t="s">
        <v>1177</v>
      </c>
      <c r="F242" s="25" t="s">
        <v>181</v>
      </c>
      <c r="G242" s="25" t="s">
        <v>77</v>
      </c>
      <c r="H242" s="25" t="s">
        <v>1178</v>
      </c>
      <c r="I242" s="25" t="s">
        <v>60</v>
      </c>
      <c r="J242" s="25" t="s">
        <v>32</v>
      </c>
      <c r="K242" s="25" t="s">
        <v>123</v>
      </c>
      <c r="L242" s="25" t="s">
        <v>124</v>
      </c>
      <c r="M242" s="25">
        <v>14</v>
      </c>
      <c r="N242" s="25">
        <v>60</v>
      </c>
      <c r="O242" s="25">
        <v>5</v>
      </c>
      <c r="P242" s="25">
        <v>798</v>
      </c>
      <c r="Q242" s="25">
        <v>4</v>
      </c>
      <c r="R242" s="25" t="s">
        <v>35</v>
      </c>
      <c r="S242" s="25" t="s">
        <v>50</v>
      </c>
      <c r="T242" s="25" t="s">
        <v>90</v>
      </c>
      <c r="U242" s="25" t="s">
        <v>1179</v>
      </c>
      <c r="V242" s="25" t="s">
        <v>39</v>
      </c>
      <c r="W242" s="26">
        <v>46023</v>
      </c>
    </row>
    <row r="243" spans="1:23" ht="15.75" customHeight="1">
      <c r="A243" s="25" t="s">
        <v>1180</v>
      </c>
      <c r="B243" s="25" t="s">
        <v>54</v>
      </c>
      <c r="C243" s="25" t="s">
        <v>73</v>
      </c>
      <c r="D243" s="25" t="s">
        <v>1181</v>
      </c>
      <c r="E243" s="25" t="s">
        <v>1182</v>
      </c>
      <c r="F243" s="25" t="s">
        <v>164</v>
      </c>
      <c r="G243" s="25" t="s">
        <v>29</v>
      </c>
      <c r="H243" s="25" t="s">
        <v>1183</v>
      </c>
      <c r="I243" s="25" t="s">
        <v>106</v>
      </c>
      <c r="J243" s="25" t="s">
        <v>107</v>
      </c>
      <c r="K243" s="25" t="s">
        <v>47</v>
      </c>
      <c r="L243" s="25" t="s">
        <v>79</v>
      </c>
      <c r="M243" s="25">
        <v>19</v>
      </c>
      <c r="N243" s="25">
        <v>1200</v>
      </c>
      <c r="O243" s="25">
        <v>20</v>
      </c>
      <c r="P243" s="25">
        <v>18240</v>
      </c>
      <c r="Q243" s="25">
        <v>2</v>
      </c>
      <c r="R243" s="25" t="s">
        <v>35</v>
      </c>
      <c r="S243" s="25" t="s">
        <v>116</v>
      </c>
      <c r="T243" s="25" t="s">
        <v>63</v>
      </c>
      <c r="U243" s="25" t="s">
        <v>1184</v>
      </c>
      <c r="V243" s="25" t="s">
        <v>70</v>
      </c>
      <c r="W243" s="26">
        <v>46143</v>
      </c>
    </row>
    <row r="244" spans="1:23" ht="15.75" customHeight="1">
      <c r="A244" s="25" t="s">
        <v>1185</v>
      </c>
      <c r="B244" s="25" t="s">
        <v>24</v>
      </c>
      <c r="C244" s="25" t="s">
        <v>260</v>
      </c>
      <c r="D244" s="25" t="s">
        <v>341</v>
      </c>
      <c r="E244" s="25" t="s">
        <v>347</v>
      </c>
      <c r="F244" s="25" t="s">
        <v>28</v>
      </c>
      <c r="G244" s="25" t="s">
        <v>29</v>
      </c>
      <c r="H244" s="25" t="s">
        <v>1186</v>
      </c>
      <c r="I244" s="25" t="s">
        <v>60</v>
      </c>
      <c r="J244" s="25" t="s">
        <v>32</v>
      </c>
      <c r="K244" s="25" t="s">
        <v>123</v>
      </c>
      <c r="L244" s="25" t="s">
        <v>264</v>
      </c>
      <c r="M244" s="25">
        <v>5</v>
      </c>
      <c r="N244" s="25">
        <v>45</v>
      </c>
      <c r="O244" s="25">
        <v>15</v>
      </c>
      <c r="P244" s="25">
        <v>191.25</v>
      </c>
      <c r="Q244" s="25">
        <v>2</v>
      </c>
      <c r="R244" s="25" t="s">
        <v>35</v>
      </c>
      <c r="S244" s="25" t="s">
        <v>62</v>
      </c>
      <c r="T244" s="25" t="s">
        <v>51</v>
      </c>
      <c r="U244" s="25" t="s">
        <v>1187</v>
      </c>
      <c r="V244" s="25" t="s">
        <v>70</v>
      </c>
      <c r="W244" s="26">
        <v>45931</v>
      </c>
    </row>
    <row r="245" spans="1:23" ht="15.75" customHeight="1">
      <c r="A245" s="25" t="s">
        <v>1188</v>
      </c>
      <c r="B245" s="25" t="s">
        <v>328</v>
      </c>
      <c r="C245" s="25" t="s">
        <v>185</v>
      </c>
      <c r="D245" s="25" t="s">
        <v>238</v>
      </c>
      <c r="E245" s="25" t="s">
        <v>1189</v>
      </c>
      <c r="F245" s="25" t="s">
        <v>395</v>
      </c>
      <c r="G245" s="25" t="s">
        <v>77</v>
      </c>
      <c r="H245" s="25" t="s">
        <v>1190</v>
      </c>
      <c r="I245" s="25" t="s">
        <v>31</v>
      </c>
      <c r="J245" s="25" t="s">
        <v>32</v>
      </c>
      <c r="K245" s="25" t="s">
        <v>47</v>
      </c>
      <c r="L245" s="25" t="s">
        <v>190</v>
      </c>
      <c r="M245" s="25">
        <v>19</v>
      </c>
      <c r="N245" s="25">
        <v>700</v>
      </c>
      <c r="O245" s="25">
        <v>5</v>
      </c>
      <c r="P245" s="25">
        <v>12635</v>
      </c>
      <c r="Q245" s="25">
        <v>5</v>
      </c>
      <c r="R245" s="25" t="s">
        <v>89</v>
      </c>
      <c r="S245" s="25" t="s">
        <v>152</v>
      </c>
      <c r="T245" s="25" t="s">
        <v>333</v>
      </c>
      <c r="U245" s="25" t="s">
        <v>1191</v>
      </c>
      <c r="V245" s="25" t="s">
        <v>39</v>
      </c>
      <c r="W245" s="26">
        <v>45778</v>
      </c>
    </row>
    <row r="246" spans="1:23" ht="15.75" customHeight="1">
      <c r="A246" s="25" t="s">
        <v>1192</v>
      </c>
      <c r="B246" s="25" t="s">
        <v>128</v>
      </c>
      <c r="C246" s="25" t="s">
        <v>119</v>
      </c>
      <c r="D246" s="25" t="s">
        <v>465</v>
      </c>
      <c r="E246" s="25" t="s">
        <v>85</v>
      </c>
      <c r="F246" s="25" t="s">
        <v>201</v>
      </c>
      <c r="G246" s="25" t="s">
        <v>77</v>
      </c>
      <c r="H246" s="25" t="s">
        <v>1193</v>
      </c>
      <c r="I246" s="25" t="s">
        <v>295</v>
      </c>
      <c r="J246" s="25" t="s">
        <v>296</v>
      </c>
      <c r="K246" s="25" t="s">
        <v>123</v>
      </c>
      <c r="L246" s="25" t="s">
        <v>124</v>
      </c>
      <c r="M246" s="25">
        <v>7</v>
      </c>
      <c r="N246" s="25">
        <v>60</v>
      </c>
      <c r="O246" s="25">
        <v>0</v>
      </c>
      <c r="P246" s="25">
        <v>420</v>
      </c>
      <c r="Q246" s="25">
        <v>4</v>
      </c>
      <c r="R246" s="25" t="s">
        <v>35</v>
      </c>
      <c r="S246" s="25" t="s">
        <v>116</v>
      </c>
      <c r="T246" s="25" t="s">
        <v>133</v>
      </c>
      <c r="U246" s="25" t="s">
        <v>1194</v>
      </c>
      <c r="V246" s="25" t="s">
        <v>65</v>
      </c>
      <c r="W246" s="26">
        <v>46023</v>
      </c>
    </row>
    <row r="247" spans="1:23" ht="15.75" customHeight="1">
      <c r="A247" s="25" t="s">
        <v>1195</v>
      </c>
      <c r="B247" s="25" t="s">
        <v>72</v>
      </c>
      <c r="C247" s="25" t="s">
        <v>25</v>
      </c>
      <c r="D247" s="25" t="s">
        <v>216</v>
      </c>
      <c r="E247" s="25" t="s">
        <v>712</v>
      </c>
      <c r="F247" s="25" t="s">
        <v>218</v>
      </c>
      <c r="G247" s="25" t="s">
        <v>77</v>
      </c>
      <c r="H247" s="25" t="s">
        <v>1196</v>
      </c>
      <c r="I247" s="25" t="s">
        <v>106</v>
      </c>
      <c r="J247" s="25" t="s">
        <v>107</v>
      </c>
      <c r="K247" s="25" t="s">
        <v>33</v>
      </c>
      <c r="L247" s="25" t="s">
        <v>34</v>
      </c>
      <c r="M247" s="25">
        <v>13</v>
      </c>
      <c r="N247" s="25">
        <v>2200</v>
      </c>
      <c r="O247" s="25">
        <v>10</v>
      </c>
      <c r="P247" s="25">
        <v>25740</v>
      </c>
      <c r="Q247" s="25">
        <v>1</v>
      </c>
      <c r="R247" s="25" t="s">
        <v>80</v>
      </c>
      <c r="S247" s="25" t="s">
        <v>152</v>
      </c>
      <c r="T247" s="25" t="s">
        <v>81</v>
      </c>
      <c r="U247" s="25" t="s">
        <v>1197</v>
      </c>
      <c r="V247" s="25" t="s">
        <v>39</v>
      </c>
      <c r="W247" s="26">
        <v>45992</v>
      </c>
    </row>
    <row r="248" spans="1:23" ht="15.75" customHeight="1">
      <c r="A248" s="25" t="s">
        <v>1198</v>
      </c>
      <c r="B248" s="25" t="s">
        <v>72</v>
      </c>
      <c r="C248" s="25" t="s">
        <v>25</v>
      </c>
      <c r="D248" s="25" t="s">
        <v>1199</v>
      </c>
      <c r="E248" s="25" t="s">
        <v>1200</v>
      </c>
      <c r="F248" s="25" t="s">
        <v>218</v>
      </c>
      <c r="G248" s="25" t="s">
        <v>77</v>
      </c>
      <c r="H248" s="25" t="s">
        <v>1201</v>
      </c>
      <c r="I248" s="25" t="s">
        <v>60</v>
      </c>
      <c r="J248" s="25" t="s">
        <v>32</v>
      </c>
      <c r="K248" s="25" t="s">
        <v>33</v>
      </c>
      <c r="L248" s="25" t="s">
        <v>34</v>
      </c>
      <c r="M248" s="25">
        <v>9</v>
      </c>
      <c r="N248" s="25">
        <v>2200</v>
      </c>
      <c r="O248" s="25">
        <v>10</v>
      </c>
      <c r="P248" s="25">
        <v>17820</v>
      </c>
      <c r="Q248" s="25">
        <v>2</v>
      </c>
      <c r="R248" s="25" t="s">
        <v>1202</v>
      </c>
      <c r="S248" s="25" t="s">
        <v>62</v>
      </c>
      <c r="T248" s="25" t="s">
        <v>81</v>
      </c>
      <c r="U248" s="25" t="s">
        <v>1203</v>
      </c>
      <c r="V248" s="25" t="s">
        <v>70</v>
      </c>
      <c r="W248" s="26">
        <v>45992</v>
      </c>
    </row>
    <row r="249" spans="1:23" ht="15.75" customHeight="1">
      <c r="A249" s="25" t="s">
        <v>1204</v>
      </c>
      <c r="B249" s="25" t="s">
        <v>328</v>
      </c>
      <c r="C249" s="25" t="s">
        <v>170</v>
      </c>
      <c r="D249" s="25" t="s">
        <v>945</v>
      </c>
      <c r="E249" s="25" t="s">
        <v>1205</v>
      </c>
      <c r="F249" s="25" t="s">
        <v>395</v>
      </c>
      <c r="G249" s="25" t="s">
        <v>77</v>
      </c>
      <c r="H249" s="25" t="s">
        <v>1206</v>
      </c>
      <c r="I249" s="25" t="s">
        <v>60</v>
      </c>
      <c r="J249" s="25" t="s">
        <v>32</v>
      </c>
      <c r="K249" s="25" t="s">
        <v>33</v>
      </c>
      <c r="L249" s="25" t="s">
        <v>175</v>
      </c>
      <c r="M249" s="25">
        <v>6</v>
      </c>
      <c r="N249" s="25">
        <v>8500</v>
      </c>
      <c r="O249" s="25">
        <v>15</v>
      </c>
      <c r="P249" s="25">
        <v>43350</v>
      </c>
      <c r="Q249" s="25">
        <v>2</v>
      </c>
      <c r="R249" s="25" t="s">
        <v>35</v>
      </c>
      <c r="S249" s="25" t="s">
        <v>152</v>
      </c>
      <c r="T249" s="25" t="s">
        <v>333</v>
      </c>
      <c r="U249" s="25" t="s">
        <v>1207</v>
      </c>
      <c r="V249" s="25" t="s">
        <v>70</v>
      </c>
      <c r="W249" s="26">
        <v>45778</v>
      </c>
    </row>
    <row r="250" spans="1:23" ht="15.75" customHeight="1">
      <c r="A250" s="25" t="s">
        <v>1208</v>
      </c>
      <c r="B250" s="25" t="s">
        <v>222</v>
      </c>
      <c r="C250" s="25" t="s">
        <v>25</v>
      </c>
      <c r="D250" s="25" t="s">
        <v>737</v>
      </c>
      <c r="E250" s="25" t="s">
        <v>95</v>
      </c>
      <c r="F250" s="25" t="s">
        <v>226</v>
      </c>
      <c r="G250" s="25" t="s">
        <v>77</v>
      </c>
      <c r="H250" s="25" t="s">
        <v>1209</v>
      </c>
      <c r="I250" s="25" t="s">
        <v>45</v>
      </c>
      <c r="J250" s="25" t="s">
        <v>46</v>
      </c>
      <c r="K250" s="25" t="s">
        <v>33</v>
      </c>
      <c r="L250" s="25" t="s">
        <v>34</v>
      </c>
      <c r="M250" s="25">
        <v>9</v>
      </c>
      <c r="N250" s="25">
        <v>2200</v>
      </c>
      <c r="O250" s="25">
        <v>10</v>
      </c>
      <c r="P250" s="25">
        <v>17820</v>
      </c>
      <c r="Q250" s="25">
        <v>3</v>
      </c>
      <c r="R250" s="25" t="s">
        <v>80</v>
      </c>
      <c r="S250" s="25" t="s">
        <v>36</v>
      </c>
      <c r="T250" s="25" t="s">
        <v>229</v>
      </c>
      <c r="U250" s="25" t="s">
        <v>1210</v>
      </c>
      <c r="V250" s="25" t="s">
        <v>65</v>
      </c>
      <c r="W250" s="26">
        <v>46054</v>
      </c>
    </row>
    <row r="251" spans="1:23" ht="15.75" customHeight="1">
      <c r="A251" s="25" t="s">
        <v>1211</v>
      </c>
      <c r="B251" s="25" t="s">
        <v>24</v>
      </c>
      <c r="C251" s="25" t="s">
        <v>170</v>
      </c>
      <c r="D251" s="25" t="s">
        <v>826</v>
      </c>
      <c r="E251" s="25" t="s">
        <v>877</v>
      </c>
      <c r="F251" s="25" t="s">
        <v>28</v>
      </c>
      <c r="G251" s="25" t="s">
        <v>29</v>
      </c>
      <c r="H251" s="25" t="s">
        <v>1212</v>
      </c>
      <c r="I251" s="25" t="s">
        <v>295</v>
      </c>
      <c r="J251" s="25" t="s">
        <v>296</v>
      </c>
      <c r="K251" s="25" t="s">
        <v>33</v>
      </c>
      <c r="L251" s="25" t="s">
        <v>175</v>
      </c>
      <c r="M251" s="25">
        <v>16</v>
      </c>
      <c r="N251" s="25">
        <v>8500</v>
      </c>
      <c r="O251" s="25">
        <v>0</v>
      </c>
      <c r="P251" s="25">
        <v>136000</v>
      </c>
      <c r="Q251" s="25">
        <v>5</v>
      </c>
      <c r="R251" s="25" t="s">
        <v>89</v>
      </c>
      <c r="S251" s="25" t="s">
        <v>116</v>
      </c>
      <c r="T251" s="25" t="s">
        <v>51</v>
      </c>
      <c r="U251" s="25" t="s">
        <v>1213</v>
      </c>
      <c r="V251" s="25" t="s">
        <v>70</v>
      </c>
      <c r="W251" s="26">
        <v>45717</v>
      </c>
    </row>
    <row r="252" spans="1:23" ht="15.75" customHeight="1">
      <c r="A252" s="25" t="s">
        <v>1214</v>
      </c>
      <c r="B252" s="25" t="s">
        <v>328</v>
      </c>
      <c r="C252" s="25" t="s">
        <v>73</v>
      </c>
      <c r="D252" s="25" t="s">
        <v>1215</v>
      </c>
      <c r="E252" s="25" t="s">
        <v>693</v>
      </c>
      <c r="F252" s="25" t="s">
        <v>395</v>
      </c>
      <c r="G252" s="25" t="s">
        <v>77</v>
      </c>
      <c r="H252" s="25" t="s">
        <v>1216</v>
      </c>
      <c r="I252" s="25" t="s">
        <v>45</v>
      </c>
      <c r="J252" s="25" t="s">
        <v>46</v>
      </c>
      <c r="K252" s="25" t="s">
        <v>47</v>
      </c>
      <c r="L252" s="25" t="s">
        <v>79</v>
      </c>
      <c r="M252" s="25">
        <v>10</v>
      </c>
      <c r="N252" s="25">
        <v>1200</v>
      </c>
      <c r="O252" s="25">
        <v>15</v>
      </c>
      <c r="P252" s="25">
        <v>10200</v>
      </c>
      <c r="Q252" s="25">
        <v>5</v>
      </c>
      <c r="R252" s="25" t="s">
        <v>35</v>
      </c>
      <c r="S252" s="25" t="s">
        <v>50</v>
      </c>
      <c r="T252" s="25" t="s">
        <v>333</v>
      </c>
      <c r="U252" s="25" t="s">
        <v>1217</v>
      </c>
      <c r="V252" s="25" t="s">
        <v>39</v>
      </c>
      <c r="W252" s="26">
        <v>45992</v>
      </c>
    </row>
    <row r="253" spans="1:23" ht="15.75" customHeight="1">
      <c r="A253" s="25" t="s">
        <v>1218</v>
      </c>
      <c r="B253" s="25" t="s">
        <v>128</v>
      </c>
      <c r="C253" s="25" t="s">
        <v>41</v>
      </c>
      <c r="D253" s="25" t="s">
        <v>414</v>
      </c>
      <c r="E253" s="25" t="s">
        <v>137</v>
      </c>
      <c r="F253" s="25" t="s">
        <v>201</v>
      </c>
      <c r="G253" s="25" t="s">
        <v>77</v>
      </c>
      <c r="H253" s="25" t="s">
        <v>1219</v>
      </c>
      <c r="I253" s="25" t="s">
        <v>295</v>
      </c>
      <c r="J253" s="25" t="s">
        <v>296</v>
      </c>
      <c r="K253" s="25" t="s">
        <v>47</v>
      </c>
      <c r="L253" s="25" t="s">
        <v>48</v>
      </c>
      <c r="M253" s="25">
        <v>7</v>
      </c>
      <c r="N253" s="25">
        <v>12000</v>
      </c>
      <c r="O253" s="25">
        <v>0</v>
      </c>
      <c r="P253" s="25">
        <v>84000</v>
      </c>
      <c r="Q253" s="25">
        <v>1</v>
      </c>
      <c r="R253" s="25" t="s">
        <v>89</v>
      </c>
      <c r="S253" s="25" t="s">
        <v>152</v>
      </c>
      <c r="T253" s="25" t="s">
        <v>133</v>
      </c>
      <c r="U253" s="25" t="s">
        <v>1220</v>
      </c>
      <c r="V253" s="25" t="s">
        <v>65</v>
      </c>
      <c r="W253" s="26">
        <v>45717</v>
      </c>
    </row>
    <row r="254" spans="1:23" ht="15.75" customHeight="1">
      <c r="A254" s="25" t="s">
        <v>1221</v>
      </c>
      <c r="B254" s="25" t="s">
        <v>222</v>
      </c>
      <c r="C254" s="25" t="s">
        <v>41</v>
      </c>
      <c r="D254" s="25" t="s">
        <v>129</v>
      </c>
      <c r="E254" s="25" t="s">
        <v>1222</v>
      </c>
      <c r="F254" s="25" t="s">
        <v>226</v>
      </c>
      <c r="G254" s="25" t="s">
        <v>77</v>
      </c>
      <c r="H254" s="25" t="s">
        <v>1223</v>
      </c>
      <c r="I254" s="25" t="s">
        <v>115</v>
      </c>
      <c r="J254" s="25" t="s">
        <v>107</v>
      </c>
      <c r="K254" s="25" t="s">
        <v>47</v>
      </c>
      <c r="L254" s="25" t="s">
        <v>48</v>
      </c>
      <c r="M254" s="25">
        <v>3</v>
      </c>
      <c r="N254" s="25">
        <v>12000</v>
      </c>
      <c r="O254" s="25">
        <v>10</v>
      </c>
      <c r="P254" s="25">
        <v>32400</v>
      </c>
      <c r="Q254" s="25">
        <v>4</v>
      </c>
      <c r="R254" s="25" t="s">
        <v>80</v>
      </c>
      <c r="S254" s="25" t="s">
        <v>152</v>
      </c>
      <c r="T254" s="25" t="s">
        <v>229</v>
      </c>
      <c r="U254" s="25" t="s">
        <v>1224</v>
      </c>
      <c r="V254" s="25" t="s">
        <v>39</v>
      </c>
      <c r="W254" s="26">
        <v>45901</v>
      </c>
    </row>
    <row r="255" spans="1:23" ht="15.75" customHeight="1">
      <c r="A255" s="25" t="s">
        <v>1225</v>
      </c>
      <c r="B255" s="25" t="s">
        <v>222</v>
      </c>
      <c r="C255" s="25" t="s">
        <v>41</v>
      </c>
      <c r="D255" s="25" t="s">
        <v>1226</v>
      </c>
      <c r="E255" s="25" t="s">
        <v>928</v>
      </c>
      <c r="F255" s="25" t="s">
        <v>226</v>
      </c>
      <c r="G255" s="25" t="s">
        <v>77</v>
      </c>
      <c r="H255" s="25" t="s">
        <v>1227</v>
      </c>
      <c r="I255" s="25" t="s">
        <v>31</v>
      </c>
      <c r="J255" s="25" t="s">
        <v>32</v>
      </c>
      <c r="K255" s="25" t="s">
        <v>47</v>
      </c>
      <c r="L255" s="25" t="s">
        <v>48</v>
      </c>
      <c r="M255" s="25">
        <v>4</v>
      </c>
      <c r="N255" s="25">
        <v>12000</v>
      </c>
      <c r="O255" s="25">
        <v>15</v>
      </c>
      <c r="P255" s="25">
        <v>40800</v>
      </c>
      <c r="Q255" s="25">
        <v>3</v>
      </c>
      <c r="R255" s="25" t="s">
        <v>80</v>
      </c>
      <c r="S255" s="25" t="s">
        <v>36</v>
      </c>
      <c r="T255" s="25" t="s">
        <v>229</v>
      </c>
      <c r="U255" s="25" t="s">
        <v>1228</v>
      </c>
      <c r="V255" s="25" t="s">
        <v>65</v>
      </c>
      <c r="W255" s="26">
        <v>45962</v>
      </c>
    </row>
    <row r="256" spans="1:23" ht="15.75" customHeight="1">
      <c r="A256" s="25" t="s">
        <v>1229</v>
      </c>
      <c r="B256" s="25" t="s">
        <v>128</v>
      </c>
      <c r="C256" s="25" t="s">
        <v>41</v>
      </c>
      <c r="D256" s="25" t="s">
        <v>261</v>
      </c>
      <c r="E256" s="25" t="s">
        <v>499</v>
      </c>
      <c r="F256" s="25" t="s">
        <v>201</v>
      </c>
      <c r="G256" s="25" t="s">
        <v>77</v>
      </c>
      <c r="H256" s="25" t="s">
        <v>1230</v>
      </c>
      <c r="I256" s="25" t="s">
        <v>31</v>
      </c>
      <c r="J256" s="25" t="s">
        <v>32</v>
      </c>
      <c r="K256" s="25" t="s">
        <v>47</v>
      </c>
      <c r="L256" s="25" t="s">
        <v>48</v>
      </c>
      <c r="M256" s="25">
        <v>13</v>
      </c>
      <c r="N256" s="25">
        <v>12000</v>
      </c>
      <c r="O256" s="25">
        <v>10</v>
      </c>
      <c r="P256" s="25">
        <v>140400</v>
      </c>
      <c r="Q256" s="25">
        <v>2</v>
      </c>
      <c r="R256" s="25" t="s">
        <v>35</v>
      </c>
      <c r="S256" s="25" t="s">
        <v>152</v>
      </c>
      <c r="T256" s="25" t="s">
        <v>133</v>
      </c>
      <c r="U256" s="25" t="s">
        <v>1231</v>
      </c>
      <c r="V256" s="25" t="s">
        <v>70</v>
      </c>
      <c r="W256" s="26">
        <v>45809</v>
      </c>
    </row>
    <row r="257" spans="1:23" ht="15.75" customHeight="1">
      <c r="A257" s="25" t="s">
        <v>1232</v>
      </c>
      <c r="B257" s="25" t="s">
        <v>24</v>
      </c>
      <c r="C257" s="25" t="s">
        <v>93</v>
      </c>
      <c r="D257" s="25" t="s">
        <v>319</v>
      </c>
      <c r="E257" s="25" t="s">
        <v>680</v>
      </c>
      <c r="F257" s="25" t="s">
        <v>28</v>
      </c>
      <c r="G257" s="25" t="s">
        <v>29</v>
      </c>
      <c r="H257" s="25" t="s">
        <v>1233</v>
      </c>
      <c r="I257" s="25" t="s">
        <v>60</v>
      </c>
      <c r="J257" s="25" t="s">
        <v>32</v>
      </c>
      <c r="K257" s="25" t="s">
        <v>33</v>
      </c>
      <c r="L257" s="25" t="s">
        <v>98</v>
      </c>
      <c r="M257" s="25">
        <v>19</v>
      </c>
      <c r="N257" s="25">
        <v>3500</v>
      </c>
      <c r="O257" s="25">
        <v>20</v>
      </c>
      <c r="P257" s="25">
        <v>53200</v>
      </c>
      <c r="Q257" s="25">
        <v>1</v>
      </c>
      <c r="R257" s="25" t="s">
        <v>35</v>
      </c>
      <c r="S257" s="25" t="s">
        <v>62</v>
      </c>
      <c r="T257" s="25" t="s">
        <v>51</v>
      </c>
      <c r="U257" s="25" t="s">
        <v>1234</v>
      </c>
      <c r="V257" s="25" t="s">
        <v>70</v>
      </c>
      <c r="W257" s="26">
        <v>45809</v>
      </c>
    </row>
    <row r="258" spans="1:23" ht="15.75" customHeight="1">
      <c r="A258" s="25" t="s">
        <v>1235</v>
      </c>
      <c r="B258" s="25" t="s">
        <v>24</v>
      </c>
      <c r="C258" s="25" t="s">
        <v>25</v>
      </c>
      <c r="D258" s="25" t="s">
        <v>933</v>
      </c>
      <c r="E258" s="25" t="s">
        <v>437</v>
      </c>
      <c r="F258" s="25" t="s">
        <v>28</v>
      </c>
      <c r="G258" s="25" t="s">
        <v>29</v>
      </c>
      <c r="H258" s="25" t="s">
        <v>1236</v>
      </c>
      <c r="I258" s="25" t="s">
        <v>106</v>
      </c>
      <c r="J258" s="25" t="s">
        <v>107</v>
      </c>
      <c r="K258" s="25" t="s">
        <v>33</v>
      </c>
      <c r="L258" s="25" t="s">
        <v>34</v>
      </c>
      <c r="M258" s="25">
        <v>7</v>
      </c>
      <c r="N258" s="25">
        <v>2200</v>
      </c>
      <c r="O258" s="25">
        <v>5</v>
      </c>
      <c r="P258" s="25">
        <v>14630</v>
      </c>
      <c r="Q258" s="25">
        <v>3</v>
      </c>
      <c r="R258" s="25" t="s">
        <v>89</v>
      </c>
      <c r="S258" s="25" t="s">
        <v>62</v>
      </c>
      <c r="T258" s="25" t="s">
        <v>51</v>
      </c>
      <c r="U258" s="25" t="s">
        <v>1237</v>
      </c>
      <c r="V258" s="25" t="s">
        <v>70</v>
      </c>
      <c r="W258" s="26">
        <v>45689</v>
      </c>
    </row>
    <row r="259" spans="1:23" ht="15.75" customHeight="1">
      <c r="A259" s="25" t="s">
        <v>1238</v>
      </c>
      <c r="B259" s="25" t="s">
        <v>84</v>
      </c>
      <c r="C259" s="25" t="s">
        <v>185</v>
      </c>
      <c r="D259" s="25" t="s">
        <v>1239</v>
      </c>
      <c r="E259" s="25" t="s">
        <v>427</v>
      </c>
      <c r="F259" s="25" t="s">
        <v>181</v>
      </c>
      <c r="G259" s="25" t="s">
        <v>77</v>
      </c>
      <c r="H259" s="25" t="s">
        <v>1240</v>
      </c>
      <c r="I259" s="25" t="s">
        <v>213</v>
      </c>
      <c r="J259" s="25" t="s">
        <v>46</v>
      </c>
      <c r="K259" s="25" t="s">
        <v>47</v>
      </c>
      <c r="L259" s="25" t="s">
        <v>190</v>
      </c>
      <c r="M259" s="25">
        <v>18</v>
      </c>
      <c r="N259" s="25">
        <v>700</v>
      </c>
      <c r="O259" s="25">
        <v>5</v>
      </c>
      <c r="P259" s="25">
        <v>11970</v>
      </c>
      <c r="Q259" s="25">
        <v>2</v>
      </c>
      <c r="R259" s="25" t="s">
        <v>89</v>
      </c>
      <c r="S259" s="25" t="s">
        <v>62</v>
      </c>
      <c r="T259" s="25" t="s">
        <v>90</v>
      </c>
      <c r="U259" s="25" t="s">
        <v>1241</v>
      </c>
      <c r="V259" s="25" t="s">
        <v>70</v>
      </c>
      <c r="W259" s="26">
        <v>46143</v>
      </c>
    </row>
    <row r="260" spans="1:23" ht="15.75" customHeight="1">
      <c r="A260" s="25" t="s">
        <v>1242</v>
      </c>
      <c r="B260" s="25" t="s">
        <v>24</v>
      </c>
      <c r="C260" s="25" t="s">
        <v>223</v>
      </c>
      <c r="D260" s="25" t="s">
        <v>1107</v>
      </c>
      <c r="E260" s="25" t="s">
        <v>1243</v>
      </c>
      <c r="F260" s="25" t="s">
        <v>28</v>
      </c>
      <c r="G260" s="25" t="s">
        <v>29</v>
      </c>
      <c r="H260" s="25" t="s">
        <v>1244</v>
      </c>
      <c r="I260" s="25" t="s">
        <v>295</v>
      </c>
      <c r="J260" s="25" t="s">
        <v>296</v>
      </c>
      <c r="K260" s="25" t="s">
        <v>123</v>
      </c>
      <c r="L260" s="25" t="s">
        <v>228</v>
      </c>
      <c r="M260" s="25">
        <v>11</v>
      </c>
      <c r="N260" s="25">
        <v>20</v>
      </c>
      <c r="O260" s="25">
        <v>0</v>
      </c>
      <c r="P260" s="25">
        <v>220</v>
      </c>
      <c r="Q260" s="25">
        <v>2</v>
      </c>
      <c r="R260" s="25" t="s">
        <v>49</v>
      </c>
      <c r="S260" s="25" t="s">
        <v>116</v>
      </c>
      <c r="T260" s="25" t="s">
        <v>51</v>
      </c>
      <c r="U260" s="25" t="s">
        <v>1245</v>
      </c>
      <c r="V260" s="25" t="s">
        <v>70</v>
      </c>
      <c r="W260" s="26">
        <v>45839</v>
      </c>
    </row>
    <row r="261" spans="1:23" ht="15.75" customHeight="1">
      <c r="A261" s="25" t="s">
        <v>1246</v>
      </c>
      <c r="B261" s="25" t="s">
        <v>328</v>
      </c>
      <c r="C261" s="25" t="s">
        <v>41</v>
      </c>
      <c r="D261" s="25" t="s">
        <v>1070</v>
      </c>
      <c r="E261" s="25" t="s">
        <v>273</v>
      </c>
      <c r="F261" s="25" t="s">
        <v>395</v>
      </c>
      <c r="G261" s="25" t="s">
        <v>77</v>
      </c>
      <c r="H261" s="25" t="s">
        <v>1247</v>
      </c>
      <c r="I261" s="25" t="s">
        <v>115</v>
      </c>
      <c r="J261" s="25" t="s">
        <v>107</v>
      </c>
      <c r="K261" s="25" t="s">
        <v>47</v>
      </c>
      <c r="L261" s="25" t="s">
        <v>48</v>
      </c>
      <c r="M261" s="25">
        <v>17</v>
      </c>
      <c r="N261" s="25">
        <v>12000</v>
      </c>
      <c r="O261" s="25">
        <v>20</v>
      </c>
      <c r="P261" s="25">
        <v>163200</v>
      </c>
      <c r="Q261" s="25">
        <v>4</v>
      </c>
      <c r="R261" s="25" t="s">
        <v>89</v>
      </c>
      <c r="S261" s="25" t="s">
        <v>152</v>
      </c>
      <c r="T261" s="25" t="s">
        <v>333</v>
      </c>
      <c r="U261" s="25" t="s">
        <v>1248</v>
      </c>
      <c r="V261" s="25" t="s">
        <v>39</v>
      </c>
      <c r="W261" s="26">
        <v>45689</v>
      </c>
    </row>
    <row r="262" spans="1:23" ht="15.75" customHeight="1">
      <c r="A262" s="25" t="s">
        <v>1249</v>
      </c>
      <c r="B262" s="25" t="s">
        <v>252</v>
      </c>
      <c r="C262" s="25" t="s">
        <v>25</v>
      </c>
      <c r="D262" s="25" t="s">
        <v>1250</v>
      </c>
      <c r="E262" s="25" t="s">
        <v>268</v>
      </c>
      <c r="F262" s="25" t="s">
        <v>255</v>
      </c>
      <c r="G262" s="25" t="s">
        <v>29</v>
      </c>
      <c r="H262" s="25" t="s">
        <v>1251</v>
      </c>
      <c r="I262" s="25" t="s">
        <v>295</v>
      </c>
      <c r="J262" s="25" t="s">
        <v>296</v>
      </c>
      <c r="K262" s="25" t="s">
        <v>33</v>
      </c>
      <c r="L262" s="25" t="s">
        <v>34</v>
      </c>
      <c r="M262" s="25">
        <v>4</v>
      </c>
      <c r="N262" s="25">
        <v>2200</v>
      </c>
      <c r="O262" s="25">
        <v>5</v>
      </c>
      <c r="P262" s="25">
        <v>8360</v>
      </c>
      <c r="Q262" s="25">
        <v>2</v>
      </c>
      <c r="R262" s="25" t="s">
        <v>35</v>
      </c>
      <c r="S262" s="25" t="s">
        <v>36</v>
      </c>
      <c r="T262" s="25" t="s">
        <v>257</v>
      </c>
      <c r="U262" s="25" t="s">
        <v>1252</v>
      </c>
      <c r="V262" s="25" t="s">
        <v>39</v>
      </c>
      <c r="W262" s="26">
        <v>45839</v>
      </c>
    </row>
    <row r="263" spans="1:23" ht="15.75" customHeight="1">
      <c r="A263" s="25" t="s">
        <v>1253</v>
      </c>
      <c r="B263" s="25" t="s">
        <v>24</v>
      </c>
      <c r="C263" s="25" t="s">
        <v>55</v>
      </c>
      <c r="D263" s="25" t="s">
        <v>1254</v>
      </c>
      <c r="E263" s="25" t="s">
        <v>456</v>
      </c>
      <c r="F263" s="25" t="s">
        <v>28</v>
      </c>
      <c r="G263" s="25" t="s">
        <v>29</v>
      </c>
      <c r="H263" s="25" t="s">
        <v>1255</v>
      </c>
      <c r="I263" s="25" t="s">
        <v>139</v>
      </c>
      <c r="J263" s="25" t="s">
        <v>107</v>
      </c>
      <c r="K263" s="25" t="s">
        <v>47</v>
      </c>
      <c r="L263" s="25" t="s">
        <v>61</v>
      </c>
      <c r="M263" s="25">
        <v>6</v>
      </c>
      <c r="N263" s="25">
        <v>55000</v>
      </c>
      <c r="O263" s="25">
        <v>20</v>
      </c>
      <c r="P263" s="25">
        <v>264000</v>
      </c>
      <c r="Q263" s="25">
        <v>2</v>
      </c>
      <c r="R263" s="25" t="s">
        <v>89</v>
      </c>
      <c r="S263" s="25" t="s">
        <v>152</v>
      </c>
      <c r="T263" s="25" t="s">
        <v>51</v>
      </c>
      <c r="U263" s="25" t="s">
        <v>1256</v>
      </c>
      <c r="V263" s="25" t="s">
        <v>70</v>
      </c>
      <c r="W263" s="26">
        <v>45992</v>
      </c>
    </row>
    <row r="264" spans="1:23" ht="15.75" customHeight="1">
      <c r="A264" s="25" t="s">
        <v>1257</v>
      </c>
      <c r="B264" s="25" t="s">
        <v>72</v>
      </c>
      <c r="C264" s="25" t="s">
        <v>170</v>
      </c>
      <c r="D264" s="25" t="s">
        <v>85</v>
      </c>
      <c r="E264" s="25" t="s">
        <v>999</v>
      </c>
      <c r="F264" s="25" t="s">
        <v>218</v>
      </c>
      <c r="G264" s="25" t="s">
        <v>77</v>
      </c>
      <c r="H264" s="25" t="s">
        <v>1258</v>
      </c>
      <c r="I264" s="25" t="s">
        <v>45</v>
      </c>
      <c r="J264" s="25" t="s">
        <v>46</v>
      </c>
      <c r="K264" s="25" t="s">
        <v>33</v>
      </c>
      <c r="L264" s="25" t="s">
        <v>175</v>
      </c>
      <c r="M264" s="25">
        <v>6</v>
      </c>
      <c r="N264" s="25">
        <v>8500</v>
      </c>
      <c r="O264" s="25">
        <v>10</v>
      </c>
      <c r="P264" s="25">
        <v>45900</v>
      </c>
      <c r="Q264" s="25">
        <v>5</v>
      </c>
      <c r="R264" s="25" t="s">
        <v>89</v>
      </c>
      <c r="S264" s="25" t="s">
        <v>62</v>
      </c>
      <c r="T264" s="25" t="s">
        <v>81</v>
      </c>
      <c r="U264" s="25" t="s">
        <v>1259</v>
      </c>
      <c r="V264" s="25" t="s">
        <v>39</v>
      </c>
      <c r="W264" s="26">
        <v>46023</v>
      </c>
    </row>
    <row r="265" spans="1:23" ht="15.75" customHeight="1">
      <c r="A265" s="25" t="s">
        <v>1260</v>
      </c>
      <c r="B265" s="25" t="s">
        <v>24</v>
      </c>
      <c r="C265" s="25" t="s">
        <v>223</v>
      </c>
      <c r="D265" s="25" t="s">
        <v>559</v>
      </c>
      <c r="E265" s="25" t="s">
        <v>372</v>
      </c>
      <c r="F265" s="25" t="s">
        <v>28</v>
      </c>
      <c r="G265" s="25" t="s">
        <v>29</v>
      </c>
      <c r="H265" s="25" t="s">
        <v>1261</v>
      </c>
      <c r="I265" s="25" t="s">
        <v>213</v>
      </c>
      <c r="J265" s="25" t="s">
        <v>46</v>
      </c>
      <c r="K265" s="25" t="s">
        <v>123</v>
      </c>
      <c r="L265" s="25" t="s">
        <v>228</v>
      </c>
      <c r="M265" s="25">
        <v>6</v>
      </c>
      <c r="N265" s="25">
        <v>20</v>
      </c>
      <c r="O265" s="25">
        <v>15</v>
      </c>
      <c r="P265" s="25">
        <v>102</v>
      </c>
      <c r="Q265" s="25">
        <v>2</v>
      </c>
      <c r="R265" s="25" t="s">
        <v>89</v>
      </c>
      <c r="S265" s="25" t="s">
        <v>50</v>
      </c>
      <c r="T265" s="25" t="s">
        <v>51</v>
      </c>
      <c r="U265" s="25" t="s">
        <v>1262</v>
      </c>
      <c r="V265" s="25" t="s">
        <v>70</v>
      </c>
      <c r="W265" s="26">
        <v>45870</v>
      </c>
    </row>
    <row r="266" spans="1:23" ht="15.75" customHeight="1">
      <c r="A266" s="25" t="s">
        <v>1263</v>
      </c>
      <c r="B266" s="25" t="s">
        <v>54</v>
      </c>
      <c r="C266" s="25" t="s">
        <v>119</v>
      </c>
      <c r="D266" s="25" t="s">
        <v>1264</v>
      </c>
      <c r="E266" s="25" t="s">
        <v>598</v>
      </c>
      <c r="F266" s="25" t="s">
        <v>164</v>
      </c>
      <c r="G266" s="25" t="s">
        <v>29</v>
      </c>
      <c r="H266" s="25" t="s">
        <v>1265</v>
      </c>
      <c r="I266" s="25" t="s">
        <v>106</v>
      </c>
      <c r="J266" s="25" t="s">
        <v>107</v>
      </c>
      <c r="K266" s="25" t="s">
        <v>123</v>
      </c>
      <c r="L266" s="25" t="s">
        <v>124</v>
      </c>
      <c r="M266" s="25">
        <v>6</v>
      </c>
      <c r="N266" s="25">
        <v>60</v>
      </c>
      <c r="O266" s="25">
        <v>5</v>
      </c>
      <c r="P266" s="25">
        <v>342</v>
      </c>
      <c r="Q266" s="25">
        <v>1</v>
      </c>
      <c r="R266" s="25" t="s">
        <v>49</v>
      </c>
      <c r="S266" s="25" t="s">
        <v>62</v>
      </c>
      <c r="T266" s="25" t="s">
        <v>63</v>
      </c>
      <c r="U266" s="25" t="s">
        <v>1266</v>
      </c>
      <c r="V266" s="25" t="s">
        <v>39</v>
      </c>
      <c r="W266" s="26">
        <v>45778</v>
      </c>
    </row>
    <row r="267" spans="1:23" ht="15.75" customHeight="1">
      <c r="A267" s="25" t="s">
        <v>1267</v>
      </c>
      <c r="B267" s="25" t="s">
        <v>128</v>
      </c>
      <c r="C267" s="25" t="s">
        <v>170</v>
      </c>
      <c r="D267" s="25" t="s">
        <v>1268</v>
      </c>
      <c r="E267" s="25" t="s">
        <v>1269</v>
      </c>
      <c r="F267" s="25" t="s">
        <v>201</v>
      </c>
      <c r="G267" s="25" t="s">
        <v>77</v>
      </c>
      <c r="H267" s="25" t="s">
        <v>1270</v>
      </c>
      <c r="I267" s="25" t="s">
        <v>31</v>
      </c>
      <c r="J267" s="25" t="s">
        <v>32</v>
      </c>
      <c r="K267" s="25" t="s">
        <v>33</v>
      </c>
      <c r="L267" s="25" t="s">
        <v>175</v>
      </c>
      <c r="M267" s="25">
        <v>19</v>
      </c>
      <c r="N267" s="25">
        <v>8500</v>
      </c>
      <c r="O267" s="25">
        <v>0</v>
      </c>
      <c r="P267" s="25">
        <v>161500</v>
      </c>
      <c r="Q267" s="25">
        <v>5</v>
      </c>
      <c r="R267" s="25" t="s">
        <v>89</v>
      </c>
      <c r="S267" s="25" t="s">
        <v>152</v>
      </c>
      <c r="T267" s="25" t="s">
        <v>133</v>
      </c>
      <c r="U267" s="25" t="s">
        <v>1271</v>
      </c>
      <c r="V267" s="25" t="s">
        <v>39</v>
      </c>
      <c r="W267" s="26">
        <v>45658</v>
      </c>
    </row>
    <row r="268" spans="1:23" ht="15.75" customHeight="1">
      <c r="A268" s="25" t="s">
        <v>1272</v>
      </c>
      <c r="B268" s="25" t="s">
        <v>252</v>
      </c>
      <c r="C268" s="25" t="s">
        <v>55</v>
      </c>
      <c r="D268" s="25" t="s">
        <v>446</v>
      </c>
      <c r="E268" s="25" t="s">
        <v>574</v>
      </c>
      <c r="F268" s="25" t="s">
        <v>255</v>
      </c>
      <c r="G268" s="25" t="s">
        <v>29</v>
      </c>
      <c r="H268" s="25" t="s">
        <v>1273</v>
      </c>
      <c r="I268" s="25" t="s">
        <v>213</v>
      </c>
      <c r="J268" s="25" t="s">
        <v>46</v>
      </c>
      <c r="K268" s="25" t="s">
        <v>47</v>
      </c>
      <c r="L268" s="25" t="s">
        <v>61</v>
      </c>
      <c r="M268" s="25">
        <v>8</v>
      </c>
      <c r="N268" s="25">
        <v>55000</v>
      </c>
      <c r="O268" s="25">
        <v>0</v>
      </c>
      <c r="P268" s="25">
        <v>440000</v>
      </c>
      <c r="Q268" s="25">
        <v>3</v>
      </c>
      <c r="R268" s="25" t="s">
        <v>80</v>
      </c>
      <c r="S268" s="25" t="s">
        <v>116</v>
      </c>
      <c r="T268" s="25" t="s">
        <v>257</v>
      </c>
      <c r="U268" s="25" t="s">
        <v>1274</v>
      </c>
      <c r="V268" s="25" t="s">
        <v>65</v>
      </c>
      <c r="W268" s="26">
        <v>45901</v>
      </c>
    </row>
    <row r="269" spans="1:23" ht="15.75" customHeight="1">
      <c r="A269" s="25" t="s">
        <v>1275</v>
      </c>
      <c r="B269" s="25" t="s">
        <v>72</v>
      </c>
      <c r="C269" s="25" t="s">
        <v>41</v>
      </c>
      <c r="D269" s="25" t="s">
        <v>1099</v>
      </c>
      <c r="E269" s="25" t="s">
        <v>584</v>
      </c>
      <c r="F269" s="25" t="s">
        <v>218</v>
      </c>
      <c r="G269" s="25" t="s">
        <v>77</v>
      </c>
      <c r="H269" s="25" t="s">
        <v>1276</v>
      </c>
      <c r="I269" s="25" t="s">
        <v>295</v>
      </c>
      <c r="J269" s="25" t="s">
        <v>296</v>
      </c>
      <c r="K269" s="25" t="s">
        <v>47</v>
      </c>
      <c r="L269" s="25" t="s">
        <v>48</v>
      </c>
      <c r="M269" s="25">
        <v>18</v>
      </c>
      <c r="N269" s="25">
        <v>12000</v>
      </c>
      <c r="O269" s="25">
        <v>20</v>
      </c>
      <c r="P269" s="25">
        <v>172800</v>
      </c>
      <c r="Q269" s="25">
        <v>5</v>
      </c>
      <c r="R269" s="25" t="s">
        <v>89</v>
      </c>
      <c r="S269" s="25" t="s">
        <v>62</v>
      </c>
      <c r="T269" s="25" t="s">
        <v>81</v>
      </c>
      <c r="U269" s="25" t="s">
        <v>1277</v>
      </c>
      <c r="V269" s="25" t="s">
        <v>70</v>
      </c>
      <c r="W269" s="26">
        <v>46143</v>
      </c>
    </row>
    <row r="270" spans="1:23" ht="15.75" customHeight="1">
      <c r="A270" s="25" t="s">
        <v>1278</v>
      </c>
      <c r="B270" s="25" t="s">
        <v>128</v>
      </c>
      <c r="C270" s="25" t="s">
        <v>170</v>
      </c>
      <c r="D270" s="25" t="s">
        <v>1279</v>
      </c>
      <c r="E270" s="25" t="s">
        <v>199</v>
      </c>
      <c r="F270" s="25" t="s">
        <v>201</v>
      </c>
      <c r="G270" s="25" t="s">
        <v>77</v>
      </c>
      <c r="H270" s="25" t="s">
        <v>1280</v>
      </c>
      <c r="I270" s="25" t="s">
        <v>139</v>
      </c>
      <c r="J270" s="25" t="s">
        <v>107</v>
      </c>
      <c r="K270" s="25" t="s">
        <v>33</v>
      </c>
      <c r="L270" s="25" t="s">
        <v>175</v>
      </c>
      <c r="M270" s="25">
        <v>8</v>
      </c>
      <c r="N270" s="25">
        <v>8500</v>
      </c>
      <c r="O270" s="25">
        <v>5</v>
      </c>
      <c r="P270" s="25">
        <v>64600</v>
      </c>
      <c r="Q270" s="25">
        <v>2</v>
      </c>
      <c r="R270" s="25" t="s">
        <v>80</v>
      </c>
      <c r="S270" s="25" t="s">
        <v>62</v>
      </c>
      <c r="T270" s="25" t="s">
        <v>133</v>
      </c>
      <c r="U270" s="25" t="s">
        <v>1281</v>
      </c>
      <c r="V270" s="25" t="s">
        <v>70</v>
      </c>
      <c r="W270" s="26">
        <v>45748</v>
      </c>
    </row>
    <row r="271" spans="1:23" ht="15.75" customHeight="1">
      <c r="A271" s="25" t="s">
        <v>1282</v>
      </c>
      <c r="B271" s="25" t="s">
        <v>24</v>
      </c>
      <c r="C271" s="25" t="s">
        <v>223</v>
      </c>
      <c r="D271" s="25" t="s">
        <v>1283</v>
      </c>
      <c r="E271" s="25" t="s">
        <v>725</v>
      </c>
      <c r="F271" s="25" t="s">
        <v>28</v>
      </c>
      <c r="G271" s="25" t="s">
        <v>29</v>
      </c>
      <c r="H271" s="25" t="s">
        <v>1284</v>
      </c>
      <c r="I271" s="25" t="s">
        <v>106</v>
      </c>
      <c r="J271" s="25" t="s">
        <v>107</v>
      </c>
      <c r="K271" s="25" t="s">
        <v>123</v>
      </c>
      <c r="L271" s="25" t="s">
        <v>228</v>
      </c>
      <c r="M271" s="25">
        <v>13</v>
      </c>
      <c r="N271" s="25">
        <v>20</v>
      </c>
      <c r="O271" s="25">
        <v>5</v>
      </c>
      <c r="P271" s="25">
        <v>247</v>
      </c>
      <c r="Q271" s="25">
        <v>3</v>
      </c>
      <c r="R271" s="25" t="s">
        <v>49</v>
      </c>
      <c r="S271" s="25" t="s">
        <v>116</v>
      </c>
      <c r="T271" s="25" t="s">
        <v>51</v>
      </c>
      <c r="U271" s="25" t="s">
        <v>1285</v>
      </c>
      <c r="V271" s="25" t="s">
        <v>65</v>
      </c>
      <c r="W271" s="26">
        <v>45870</v>
      </c>
    </row>
    <row r="272" spans="1:23" ht="15.75" customHeight="1">
      <c r="A272" s="25" t="s">
        <v>1286</v>
      </c>
      <c r="B272" s="25" t="s">
        <v>84</v>
      </c>
      <c r="C272" s="25" t="s">
        <v>119</v>
      </c>
      <c r="D272" s="25" t="s">
        <v>741</v>
      </c>
      <c r="E272" s="25" t="s">
        <v>1287</v>
      </c>
      <c r="F272" s="25" t="s">
        <v>181</v>
      </c>
      <c r="G272" s="25" t="s">
        <v>77</v>
      </c>
      <c r="H272" s="25" t="s">
        <v>1288</v>
      </c>
      <c r="I272" s="25" t="s">
        <v>213</v>
      </c>
      <c r="J272" s="25" t="s">
        <v>46</v>
      </c>
      <c r="K272" s="25" t="s">
        <v>123</v>
      </c>
      <c r="L272" s="25" t="s">
        <v>124</v>
      </c>
      <c r="M272" s="25">
        <v>1</v>
      </c>
      <c r="N272" s="25">
        <v>60</v>
      </c>
      <c r="O272" s="25">
        <v>15</v>
      </c>
      <c r="P272" s="25">
        <v>51</v>
      </c>
      <c r="Q272" s="25">
        <v>2</v>
      </c>
      <c r="R272" s="25" t="s">
        <v>80</v>
      </c>
      <c r="S272" s="25" t="s">
        <v>62</v>
      </c>
      <c r="T272" s="25" t="s">
        <v>90</v>
      </c>
      <c r="U272" s="25" t="s">
        <v>1289</v>
      </c>
      <c r="V272" s="25" t="s">
        <v>70</v>
      </c>
      <c r="W272" s="26">
        <v>46113</v>
      </c>
    </row>
    <row r="273" spans="1:23" ht="15.75" customHeight="1">
      <c r="A273" s="25" t="s">
        <v>1290</v>
      </c>
      <c r="B273" s="25" t="s">
        <v>54</v>
      </c>
      <c r="C273" s="25" t="s">
        <v>223</v>
      </c>
      <c r="D273" s="25" t="s">
        <v>1291</v>
      </c>
      <c r="E273" s="25" t="s">
        <v>966</v>
      </c>
      <c r="F273" s="25" t="s">
        <v>164</v>
      </c>
      <c r="G273" s="25" t="s">
        <v>29</v>
      </c>
      <c r="H273" s="25" t="s">
        <v>1292</v>
      </c>
      <c r="I273" s="25" t="s">
        <v>115</v>
      </c>
      <c r="J273" s="25" t="s">
        <v>107</v>
      </c>
      <c r="K273" s="25" t="s">
        <v>123</v>
      </c>
      <c r="L273" s="25" t="s">
        <v>228</v>
      </c>
      <c r="M273" s="25">
        <v>5</v>
      </c>
      <c r="N273" s="25">
        <v>20</v>
      </c>
      <c r="O273" s="25">
        <v>5</v>
      </c>
      <c r="P273" s="25">
        <v>95</v>
      </c>
      <c r="Q273" s="25">
        <v>2</v>
      </c>
      <c r="R273" s="25" t="s">
        <v>49</v>
      </c>
      <c r="S273" s="25" t="s">
        <v>50</v>
      </c>
      <c r="T273" s="25" t="s">
        <v>63</v>
      </c>
      <c r="U273" s="25" t="s">
        <v>1293</v>
      </c>
      <c r="V273" s="25" t="s">
        <v>65</v>
      </c>
      <c r="W273" s="26">
        <v>45809</v>
      </c>
    </row>
    <row r="274" spans="1:23" ht="15.75" customHeight="1">
      <c r="A274" s="25" t="s">
        <v>1294</v>
      </c>
      <c r="B274" s="25" t="s">
        <v>222</v>
      </c>
      <c r="C274" s="25" t="s">
        <v>223</v>
      </c>
      <c r="D274" s="25" t="s">
        <v>1295</v>
      </c>
      <c r="E274" s="25" t="s">
        <v>1018</v>
      </c>
      <c r="F274" s="25" t="s">
        <v>226</v>
      </c>
      <c r="G274" s="25" t="s">
        <v>77</v>
      </c>
      <c r="H274" s="25" t="s">
        <v>1296</v>
      </c>
      <c r="I274" s="25" t="s">
        <v>295</v>
      </c>
      <c r="J274" s="25" t="s">
        <v>296</v>
      </c>
      <c r="K274" s="25" t="s">
        <v>123</v>
      </c>
      <c r="L274" s="25" t="s">
        <v>228</v>
      </c>
      <c r="M274" s="25">
        <v>19</v>
      </c>
      <c r="N274" s="25">
        <v>20</v>
      </c>
      <c r="O274" s="25">
        <v>20</v>
      </c>
      <c r="P274" s="25">
        <v>304</v>
      </c>
      <c r="Q274" s="25">
        <v>3</v>
      </c>
      <c r="R274" s="25" t="s">
        <v>35</v>
      </c>
      <c r="S274" s="25" t="s">
        <v>36</v>
      </c>
      <c r="T274" s="25" t="s">
        <v>229</v>
      </c>
      <c r="U274" s="25" t="s">
        <v>1297</v>
      </c>
      <c r="V274" s="25" t="s">
        <v>70</v>
      </c>
      <c r="W274" s="26">
        <v>45778</v>
      </c>
    </row>
    <row r="275" spans="1:23" ht="15.75" customHeight="1">
      <c r="A275" s="25" t="s">
        <v>1298</v>
      </c>
      <c r="B275" s="25" t="s">
        <v>101</v>
      </c>
      <c r="C275" s="25" t="s">
        <v>260</v>
      </c>
      <c r="D275" s="25" t="s">
        <v>1299</v>
      </c>
      <c r="E275" s="25" t="s">
        <v>367</v>
      </c>
      <c r="F275" s="25" t="s">
        <v>104</v>
      </c>
      <c r="G275" s="25" t="s">
        <v>29</v>
      </c>
      <c r="H275" s="25" t="s">
        <v>1300</v>
      </c>
      <c r="I275" s="25" t="s">
        <v>139</v>
      </c>
      <c r="J275" s="25" t="s">
        <v>107</v>
      </c>
      <c r="K275" s="25" t="s">
        <v>123</v>
      </c>
      <c r="L275" s="25" t="s">
        <v>264</v>
      </c>
      <c r="M275" s="25">
        <v>17</v>
      </c>
      <c r="N275" s="25">
        <v>45</v>
      </c>
      <c r="O275" s="25">
        <v>5</v>
      </c>
      <c r="P275" s="25">
        <v>726.75</v>
      </c>
      <c r="Q275" s="25">
        <v>4</v>
      </c>
      <c r="R275" s="25" t="s">
        <v>35</v>
      </c>
      <c r="S275" s="25" t="s">
        <v>116</v>
      </c>
      <c r="T275" s="25" t="s">
        <v>145</v>
      </c>
      <c r="U275" s="25" t="s">
        <v>1301</v>
      </c>
      <c r="V275" s="25" t="s">
        <v>65</v>
      </c>
      <c r="W275" s="26">
        <v>45717</v>
      </c>
    </row>
    <row r="276" spans="1:23" ht="15.75" customHeight="1">
      <c r="A276" s="25" t="s">
        <v>1302</v>
      </c>
      <c r="B276" s="25" t="s">
        <v>84</v>
      </c>
      <c r="C276" s="25" t="s">
        <v>185</v>
      </c>
      <c r="D276" s="25" t="s">
        <v>1303</v>
      </c>
      <c r="E276" s="25" t="s">
        <v>171</v>
      </c>
      <c r="F276" s="25" t="s">
        <v>181</v>
      </c>
      <c r="G276" s="25" t="s">
        <v>77</v>
      </c>
      <c r="H276" s="25" t="s">
        <v>1304</v>
      </c>
      <c r="I276" s="25" t="s">
        <v>60</v>
      </c>
      <c r="J276" s="25" t="s">
        <v>32</v>
      </c>
      <c r="K276" s="25" t="s">
        <v>47</v>
      </c>
      <c r="L276" s="25" t="s">
        <v>190</v>
      </c>
      <c r="M276" s="25">
        <v>8</v>
      </c>
      <c r="N276" s="25">
        <v>700</v>
      </c>
      <c r="O276" s="25">
        <v>15</v>
      </c>
      <c r="P276" s="25">
        <v>4760</v>
      </c>
      <c r="Q276" s="25">
        <v>4</v>
      </c>
      <c r="R276" s="25" t="s">
        <v>49</v>
      </c>
      <c r="S276" s="25" t="s">
        <v>36</v>
      </c>
      <c r="T276" s="25" t="s">
        <v>90</v>
      </c>
      <c r="U276" s="25" t="s">
        <v>1305</v>
      </c>
      <c r="V276" s="25" t="s">
        <v>65</v>
      </c>
      <c r="W276" s="26">
        <v>46054</v>
      </c>
    </row>
    <row r="277" spans="1:23" ht="15.75" customHeight="1">
      <c r="A277" s="25" t="s">
        <v>1306</v>
      </c>
      <c r="B277" s="25" t="s">
        <v>169</v>
      </c>
      <c r="C277" s="25" t="s">
        <v>25</v>
      </c>
      <c r="D277" s="25" t="s">
        <v>1307</v>
      </c>
      <c r="E277" s="25" t="s">
        <v>1308</v>
      </c>
      <c r="F277" s="25" t="s">
        <v>362</v>
      </c>
      <c r="G277" s="25" t="s">
        <v>29</v>
      </c>
      <c r="H277" s="25" t="s">
        <v>1309</v>
      </c>
      <c r="I277" s="25" t="s">
        <v>106</v>
      </c>
      <c r="J277" s="25" t="s">
        <v>107</v>
      </c>
      <c r="K277" s="25" t="s">
        <v>33</v>
      </c>
      <c r="L277" s="25" t="s">
        <v>34</v>
      </c>
      <c r="M277" s="25">
        <v>15</v>
      </c>
      <c r="N277" s="25">
        <v>2200</v>
      </c>
      <c r="O277" s="25">
        <v>10</v>
      </c>
      <c r="P277" s="25">
        <v>29700</v>
      </c>
      <c r="Q277" s="25">
        <v>5</v>
      </c>
      <c r="R277" s="25" t="s">
        <v>89</v>
      </c>
      <c r="S277" s="25" t="s">
        <v>152</v>
      </c>
      <c r="T277" s="25" t="s">
        <v>176</v>
      </c>
      <c r="U277" s="25" t="s">
        <v>1310</v>
      </c>
      <c r="V277" s="25" t="s">
        <v>39</v>
      </c>
      <c r="W277" s="26">
        <v>46023</v>
      </c>
    </row>
    <row r="278" spans="1:23" ht="15.75" customHeight="1">
      <c r="A278" s="25" t="s">
        <v>1311</v>
      </c>
      <c r="B278" s="25" t="s">
        <v>101</v>
      </c>
      <c r="C278" s="25" t="s">
        <v>25</v>
      </c>
      <c r="D278" s="25" t="s">
        <v>861</v>
      </c>
      <c r="E278" s="25" t="s">
        <v>1312</v>
      </c>
      <c r="F278" s="25" t="s">
        <v>104</v>
      </c>
      <c r="G278" s="25" t="s">
        <v>29</v>
      </c>
      <c r="H278" s="25" t="s">
        <v>1313</v>
      </c>
      <c r="I278" s="25" t="s">
        <v>106</v>
      </c>
      <c r="J278" s="25" t="s">
        <v>107</v>
      </c>
      <c r="K278" s="25" t="s">
        <v>33</v>
      </c>
      <c r="L278" s="25" t="s">
        <v>34</v>
      </c>
      <c r="M278" s="25">
        <v>1</v>
      </c>
      <c r="N278" s="25">
        <v>2200</v>
      </c>
      <c r="O278" s="25">
        <v>0</v>
      </c>
      <c r="P278" s="25">
        <v>2200</v>
      </c>
      <c r="Q278" s="25">
        <v>4</v>
      </c>
      <c r="R278" s="25" t="s">
        <v>35</v>
      </c>
      <c r="S278" s="25" t="s">
        <v>50</v>
      </c>
      <c r="T278" s="25" t="s">
        <v>145</v>
      </c>
      <c r="U278" s="25" t="s">
        <v>1314</v>
      </c>
      <c r="V278" s="25" t="s">
        <v>70</v>
      </c>
      <c r="W278" s="26">
        <v>45901</v>
      </c>
    </row>
    <row r="279" spans="1:23" ht="15.75" customHeight="1">
      <c r="A279" s="25" t="s">
        <v>1315</v>
      </c>
      <c r="B279" s="25" t="s">
        <v>252</v>
      </c>
      <c r="C279" s="25" t="s">
        <v>93</v>
      </c>
      <c r="D279" s="25" t="s">
        <v>873</v>
      </c>
      <c r="E279" s="25" t="s">
        <v>1316</v>
      </c>
      <c r="F279" s="25" t="s">
        <v>255</v>
      </c>
      <c r="G279" s="25" t="s">
        <v>29</v>
      </c>
      <c r="H279" s="25" t="s">
        <v>1317</v>
      </c>
      <c r="I279" s="25" t="s">
        <v>139</v>
      </c>
      <c r="J279" s="25" t="s">
        <v>107</v>
      </c>
      <c r="K279" s="25" t="s">
        <v>33</v>
      </c>
      <c r="L279" s="25" t="s">
        <v>98</v>
      </c>
      <c r="M279" s="25">
        <v>10</v>
      </c>
      <c r="N279" s="25">
        <v>3500</v>
      </c>
      <c r="O279" s="25">
        <v>10</v>
      </c>
      <c r="P279" s="25">
        <v>31500</v>
      </c>
      <c r="Q279" s="25">
        <v>4</v>
      </c>
      <c r="R279" s="25" t="s">
        <v>49</v>
      </c>
      <c r="S279" s="25" t="s">
        <v>36</v>
      </c>
      <c r="T279" s="25" t="s">
        <v>257</v>
      </c>
      <c r="U279" s="25" t="s">
        <v>1318</v>
      </c>
      <c r="V279" s="25" t="s">
        <v>70</v>
      </c>
      <c r="W279" s="26">
        <v>45809</v>
      </c>
    </row>
    <row r="280" spans="1:23" ht="15.75" customHeight="1">
      <c r="A280" s="25" t="s">
        <v>1319</v>
      </c>
      <c r="B280" s="25" t="s">
        <v>72</v>
      </c>
      <c r="C280" s="25" t="s">
        <v>93</v>
      </c>
      <c r="D280" s="25" t="s">
        <v>1320</v>
      </c>
      <c r="E280" s="25" t="s">
        <v>1321</v>
      </c>
      <c r="F280" s="25" t="s">
        <v>218</v>
      </c>
      <c r="G280" s="25" t="s">
        <v>77</v>
      </c>
      <c r="H280" s="25" t="s">
        <v>1322</v>
      </c>
      <c r="I280" s="25" t="s">
        <v>213</v>
      </c>
      <c r="J280" s="25" t="s">
        <v>46</v>
      </c>
      <c r="K280" s="25" t="s">
        <v>33</v>
      </c>
      <c r="L280" s="25" t="s">
        <v>98</v>
      </c>
      <c r="M280" s="25">
        <v>16</v>
      </c>
      <c r="N280" s="25">
        <v>3500</v>
      </c>
      <c r="O280" s="25">
        <v>15</v>
      </c>
      <c r="P280" s="25">
        <v>47600</v>
      </c>
      <c r="Q280" s="25">
        <v>1</v>
      </c>
      <c r="R280" s="25" t="s">
        <v>80</v>
      </c>
      <c r="S280" s="25" t="s">
        <v>116</v>
      </c>
      <c r="T280" s="25" t="s">
        <v>81</v>
      </c>
      <c r="U280" s="25" t="s">
        <v>1323</v>
      </c>
      <c r="V280" s="25" t="s">
        <v>65</v>
      </c>
      <c r="W280" s="26">
        <v>45778</v>
      </c>
    </row>
    <row r="281" spans="1:23" ht="15.75" customHeight="1">
      <c r="A281" s="25" t="s">
        <v>1324</v>
      </c>
      <c r="B281" s="25" t="s">
        <v>252</v>
      </c>
      <c r="C281" s="25" t="s">
        <v>41</v>
      </c>
      <c r="D281" s="25" t="s">
        <v>1325</v>
      </c>
      <c r="E281" s="25" t="s">
        <v>26</v>
      </c>
      <c r="F281" s="25" t="s">
        <v>255</v>
      </c>
      <c r="G281" s="25" t="s">
        <v>29</v>
      </c>
      <c r="H281" s="25" t="s">
        <v>1326</v>
      </c>
      <c r="I281" s="25" t="s">
        <v>213</v>
      </c>
      <c r="J281" s="25" t="s">
        <v>46</v>
      </c>
      <c r="K281" s="25" t="s">
        <v>47</v>
      </c>
      <c r="L281" s="25" t="s">
        <v>48</v>
      </c>
      <c r="M281" s="25">
        <v>1</v>
      </c>
      <c r="N281" s="25">
        <v>12000</v>
      </c>
      <c r="O281" s="25">
        <v>0</v>
      </c>
      <c r="P281" s="25">
        <v>12000</v>
      </c>
      <c r="Q281" s="25">
        <v>4</v>
      </c>
      <c r="R281" s="25" t="s">
        <v>49</v>
      </c>
      <c r="S281" s="25" t="s">
        <v>116</v>
      </c>
      <c r="T281" s="25" t="s">
        <v>257</v>
      </c>
      <c r="U281" s="25" t="s">
        <v>1327</v>
      </c>
      <c r="V281" s="25" t="s">
        <v>70</v>
      </c>
      <c r="W281" s="26">
        <v>45901</v>
      </c>
    </row>
    <row r="282" spans="1:23" ht="15.75" customHeight="1">
      <c r="A282" s="25" t="s">
        <v>1328</v>
      </c>
      <c r="B282" s="25" t="s">
        <v>84</v>
      </c>
      <c r="C282" s="25" t="s">
        <v>185</v>
      </c>
      <c r="D282" s="25" t="s">
        <v>1329</v>
      </c>
      <c r="E282" s="25" t="s">
        <v>607</v>
      </c>
      <c r="F282" s="25" t="s">
        <v>181</v>
      </c>
      <c r="G282" s="25" t="s">
        <v>77</v>
      </c>
      <c r="H282" s="25" t="s">
        <v>1330</v>
      </c>
      <c r="I282" s="25" t="s">
        <v>106</v>
      </c>
      <c r="J282" s="25" t="s">
        <v>107</v>
      </c>
      <c r="K282" s="25" t="s">
        <v>47</v>
      </c>
      <c r="L282" s="25" t="s">
        <v>190</v>
      </c>
      <c r="M282" s="25">
        <v>6</v>
      </c>
      <c r="N282" s="25">
        <v>700</v>
      </c>
      <c r="O282" s="25">
        <v>20</v>
      </c>
      <c r="P282" s="25">
        <v>3360</v>
      </c>
      <c r="Q282" s="25">
        <v>2</v>
      </c>
      <c r="R282" s="25" t="s">
        <v>49</v>
      </c>
      <c r="S282" s="25" t="s">
        <v>116</v>
      </c>
      <c r="T282" s="25" t="s">
        <v>90</v>
      </c>
      <c r="U282" s="25" t="s">
        <v>1331</v>
      </c>
      <c r="V282" s="25" t="s">
        <v>65</v>
      </c>
      <c r="W282" s="26">
        <v>45748</v>
      </c>
    </row>
    <row r="283" spans="1:23" ht="15.75" customHeight="1">
      <c r="A283" s="25" t="s">
        <v>1332</v>
      </c>
      <c r="B283" s="25" t="s">
        <v>72</v>
      </c>
      <c r="C283" s="25" t="s">
        <v>25</v>
      </c>
      <c r="D283" s="25" t="s">
        <v>924</v>
      </c>
      <c r="E283" s="25" t="s">
        <v>1333</v>
      </c>
      <c r="F283" s="25" t="s">
        <v>218</v>
      </c>
      <c r="G283" s="25" t="s">
        <v>77</v>
      </c>
      <c r="H283" s="25" t="s">
        <v>1334</v>
      </c>
      <c r="I283" s="25" t="s">
        <v>139</v>
      </c>
      <c r="J283" s="25" t="s">
        <v>107</v>
      </c>
      <c r="K283" s="25" t="s">
        <v>33</v>
      </c>
      <c r="L283" s="25" t="s">
        <v>34</v>
      </c>
      <c r="M283" s="25">
        <v>3</v>
      </c>
      <c r="N283" s="25">
        <v>2200</v>
      </c>
      <c r="O283" s="25">
        <v>0</v>
      </c>
      <c r="P283" s="25">
        <v>6600</v>
      </c>
      <c r="Q283" s="25">
        <v>4</v>
      </c>
      <c r="R283" s="25" t="s">
        <v>80</v>
      </c>
      <c r="S283" s="25" t="s">
        <v>36</v>
      </c>
      <c r="T283" s="25" t="s">
        <v>81</v>
      </c>
      <c r="U283" s="25" t="s">
        <v>1335</v>
      </c>
      <c r="V283" s="25" t="s">
        <v>39</v>
      </c>
      <c r="W283" s="26">
        <v>46054</v>
      </c>
    </row>
    <row r="284" spans="1:23" ht="15.75" customHeight="1">
      <c r="A284" s="25" t="s">
        <v>1336</v>
      </c>
      <c r="B284" s="25" t="s">
        <v>252</v>
      </c>
      <c r="C284" s="25" t="s">
        <v>260</v>
      </c>
      <c r="D284" s="25" t="s">
        <v>1199</v>
      </c>
      <c r="E284" s="25" t="s">
        <v>217</v>
      </c>
      <c r="F284" s="25" t="s">
        <v>255</v>
      </c>
      <c r="G284" s="25" t="s">
        <v>29</v>
      </c>
      <c r="H284" s="25" t="s">
        <v>1337</v>
      </c>
      <c r="I284" s="25" t="s">
        <v>31</v>
      </c>
      <c r="J284" s="25" t="s">
        <v>32</v>
      </c>
      <c r="K284" s="25" t="s">
        <v>123</v>
      </c>
      <c r="L284" s="25" t="s">
        <v>264</v>
      </c>
      <c r="M284" s="25">
        <v>6</v>
      </c>
      <c r="N284" s="25">
        <v>45</v>
      </c>
      <c r="O284" s="25">
        <v>15</v>
      </c>
      <c r="P284" s="25">
        <v>229.5</v>
      </c>
      <c r="Q284" s="25">
        <v>1</v>
      </c>
      <c r="R284" s="25" t="s">
        <v>89</v>
      </c>
      <c r="S284" s="25" t="s">
        <v>50</v>
      </c>
      <c r="T284" s="25" t="s">
        <v>257</v>
      </c>
      <c r="U284" s="25" t="s">
        <v>1338</v>
      </c>
      <c r="V284" s="25" t="s">
        <v>39</v>
      </c>
      <c r="W284" s="26">
        <v>45992</v>
      </c>
    </row>
    <row r="285" spans="1:23" ht="15.75" customHeight="1">
      <c r="A285" s="25" t="s">
        <v>1339</v>
      </c>
      <c r="B285" s="25" t="s">
        <v>252</v>
      </c>
      <c r="C285" s="25" t="s">
        <v>73</v>
      </c>
      <c r="D285" s="25" t="s">
        <v>27</v>
      </c>
      <c r="E285" s="25" t="s">
        <v>1340</v>
      </c>
      <c r="F285" s="25" t="s">
        <v>255</v>
      </c>
      <c r="G285" s="25" t="s">
        <v>29</v>
      </c>
      <c r="H285" s="25" t="s">
        <v>1341</v>
      </c>
      <c r="I285" s="25" t="s">
        <v>60</v>
      </c>
      <c r="J285" s="25" t="s">
        <v>32</v>
      </c>
      <c r="K285" s="25" t="s">
        <v>47</v>
      </c>
      <c r="L285" s="25" t="s">
        <v>79</v>
      </c>
      <c r="M285" s="25">
        <v>2</v>
      </c>
      <c r="N285" s="25">
        <v>1200</v>
      </c>
      <c r="O285" s="25">
        <v>0</v>
      </c>
      <c r="P285" s="25">
        <v>2400</v>
      </c>
      <c r="Q285" s="25">
        <v>1</v>
      </c>
      <c r="R285" s="25" t="s">
        <v>35</v>
      </c>
      <c r="S285" s="25" t="s">
        <v>152</v>
      </c>
      <c r="T285" s="25" t="s">
        <v>257</v>
      </c>
      <c r="U285" s="25" t="s">
        <v>1342</v>
      </c>
      <c r="V285" s="25" t="s">
        <v>70</v>
      </c>
      <c r="W285" s="26">
        <v>45901</v>
      </c>
    </row>
    <row r="286" spans="1:23" ht="15.75" customHeight="1">
      <c r="A286" s="25" t="s">
        <v>1343</v>
      </c>
      <c r="B286" s="25" t="s">
        <v>169</v>
      </c>
      <c r="C286" s="25" t="s">
        <v>185</v>
      </c>
      <c r="D286" s="25" t="s">
        <v>1344</v>
      </c>
      <c r="E286" s="25" t="s">
        <v>1345</v>
      </c>
      <c r="F286" s="25" t="s">
        <v>362</v>
      </c>
      <c r="G286" s="25" t="s">
        <v>29</v>
      </c>
      <c r="H286" s="25" t="s">
        <v>1346</v>
      </c>
      <c r="I286" s="25" t="s">
        <v>31</v>
      </c>
      <c r="J286" s="25" t="s">
        <v>32</v>
      </c>
      <c r="K286" s="25" t="s">
        <v>47</v>
      </c>
      <c r="L286" s="25" t="s">
        <v>190</v>
      </c>
      <c r="M286" s="25">
        <v>14</v>
      </c>
      <c r="N286" s="25">
        <v>700</v>
      </c>
      <c r="O286" s="25">
        <v>15</v>
      </c>
      <c r="P286" s="25">
        <v>8330</v>
      </c>
      <c r="Q286" s="25">
        <v>5</v>
      </c>
      <c r="R286" s="25" t="s">
        <v>35</v>
      </c>
      <c r="S286" s="25" t="s">
        <v>116</v>
      </c>
      <c r="T286" s="25" t="s">
        <v>176</v>
      </c>
      <c r="U286" s="25" t="s">
        <v>1347</v>
      </c>
      <c r="V286" s="25" t="s">
        <v>65</v>
      </c>
      <c r="W286" s="26">
        <v>46143</v>
      </c>
    </row>
    <row r="287" spans="1:23" ht="15.75" customHeight="1">
      <c r="A287" s="25" t="s">
        <v>1348</v>
      </c>
      <c r="B287" s="25" t="s">
        <v>101</v>
      </c>
      <c r="C287" s="25" t="s">
        <v>223</v>
      </c>
      <c r="D287" s="25" t="s">
        <v>292</v>
      </c>
      <c r="E287" s="25" t="s">
        <v>508</v>
      </c>
      <c r="F287" s="25" t="s">
        <v>104</v>
      </c>
      <c r="G287" s="25" t="s">
        <v>29</v>
      </c>
      <c r="H287" s="25" t="s">
        <v>1349</v>
      </c>
      <c r="I287" s="25" t="s">
        <v>106</v>
      </c>
      <c r="J287" s="25" t="s">
        <v>107</v>
      </c>
      <c r="K287" s="25" t="s">
        <v>123</v>
      </c>
      <c r="L287" s="25" t="s">
        <v>228</v>
      </c>
      <c r="M287" s="25">
        <v>13</v>
      </c>
      <c r="N287" s="25">
        <v>20</v>
      </c>
      <c r="O287" s="25">
        <v>5</v>
      </c>
      <c r="P287" s="25">
        <v>247</v>
      </c>
      <c r="Q287" s="25">
        <v>1</v>
      </c>
      <c r="R287" s="25" t="s">
        <v>80</v>
      </c>
      <c r="S287" s="25" t="s">
        <v>36</v>
      </c>
      <c r="T287" s="25" t="s">
        <v>1350</v>
      </c>
      <c r="U287" s="25" t="s">
        <v>1351</v>
      </c>
      <c r="V287" s="25" t="s">
        <v>65</v>
      </c>
      <c r="W287" s="26">
        <v>45962</v>
      </c>
    </row>
    <row r="288" spans="1:23" ht="15.75" customHeight="1">
      <c r="A288" s="25" t="s">
        <v>1352</v>
      </c>
      <c r="B288" s="25" t="s">
        <v>72</v>
      </c>
      <c r="C288" s="25" t="s">
        <v>25</v>
      </c>
      <c r="D288" s="25" t="s">
        <v>136</v>
      </c>
      <c r="E288" s="25" t="s">
        <v>137</v>
      </c>
      <c r="F288" s="25" t="s">
        <v>218</v>
      </c>
      <c r="G288" s="25" t="s">
        <v>77</v>
      </c>
      <c r="H288" s="25" t="s">
        <v>1353</v>
      </c>
      <c r="I288" s="25" t="s">
        <v>115</v>
      </c>
      <c r="J288" s="25" t="s">
        <v>107</v>
      </c>
      <c r="K288" s="25" t="s">
        <v>33</v>
      </c>
      <c r="L288" s="25" t="s">
        <v>34</v>
      </c>
      <c r="M288" s="25">
        <v>3</v>
      </c>
      <c r="N288" s="25">
        <v>2200</v>
      </c>
      <c r="O288" s="25">
        <v>0</v>
      </c>
      <c r="P288" s="25">
        <v>6600</v>
      </c>
      <c r="Q288" s="25">
        <v>4</v>
      </c>
      <c r="R288" s="25" t="s">
        <v>49</v>
      </c>
      <c r="S288" s="25" t="s">
        <v>62</v>
      </c>
      <c r="T288" s="25" t="s">
        <v>81</v>
      </c>
      <c r="U288" s="25" t="s">
        <v>1354</v>
      </c>
      <c r="V288" s="25" t="s">
        <v>70</v>
      </c>
      <c r="W288" s="26">
        <v>45717</v>
      </c>
    </row>
    <row r="289" spans="1:23" ht="15.75" customHeight="1">
      <c r="A289" s="25" t="s">
        <v>1355</v>
      </c>
      <c r="B289" s="25" t="s">
        <v>72</v>
      </c>
      <c r="C289" s="25" t="s">
        <v>119</v>
      </c>
      <c r="D289" s="25" t="s">
        <v>451</v>
      </c>
      <c r="E289" s="25" t="s">
        <v>924</v>
      </c>
      <c r="F289" s="25" t="s">
        <v>218</v>
      </c>
      <c r="G289" s="25" t="s">
        <v>77</v>
      </c>
      <c r="H289" s="25" t="s">
        <v>1356</v>
      </c>
      <c r="I289" s="25" t="s">
        <v>115</v>
      </c>
      <c r="J289" s="25" t="s">
        <v>107</v>
      </c>
      <c r="K289" s="25" t="s">
        <v>123</v>
      </c>
      <c r="L289" s="25" t="s">
        <v>124</v>
      </c>
      <c r="M289" s="25">
        <v>3</v>
      </c>
      <c r="N289" s="25">
        <v>60</v>
      </c>
      <c r="O289" s="25">
        <v>15</v>
      </c>
      <c r="P289" s="25">
        <v>153</v>
      </c>
      <c r="Q289" s="25">
        <v>4</v>
      </c>
      <c r="R289" s="25" t="s">
        <v>89</v>
      </c>
      <c r="S289" s="25" t="s">
        <v>116</v>
      </c>
      <c r="T289" s="25" t="s">
        <v>81</v>
      </c>
      <c r="U289" s="25" t="s">
        <v>1357</v>
      </c>
      <c r="V289" s="25" t="s">
        <v>39</v>
      </c>
      <c r="W289" s="26">
        <v>46054</v>
      </c>
    </row>
    <row r="290" spans="1:23" ht="15.75" customHeight="1">
      <c r="A290" s="25" t="s">
        <v>1358</v>
      </c>
      <c r="B290" s="25" t="s">
        <v>128</v>
      </c>
      <c r="C290" s="25" t="s">
        <v>93</v>
      </c>
      <c r="D290" s="25" t="s">
        <v>625</v>
      </c>
      <c r="E290" s="25" t="s">
        <v>826</v>
      </c>
      <c r="F290" s="25" t="s">
        <v>201</v>
      </c>
      <c r="G290" s="25" t="s">
        <v>77</v>
      </c>
      <c r="H290" s="25" t="s">
        <v>585</v>
      </c>
      <c r="I290" s="25" t="s">
        <v>106</v>
      </c>
      <c r="J290" s="25" t="s">
        <v>107</v>
      </c>
      <c r="K290" s="25" t="s">
        <v>33</v>
      </c>
      <c r="L290" s="25" t="s">
        <v>98</v>
      </c>
      <c r="M290" s="25">
        <v>9</v>
      </c>
      <c r="N290" s="25">
        <v>3500</v>
      </c>
      <c r="O290" s="25">
        <v>5</v>
      </c>
      <c r="P290" s="25">
        <v>29925</v>
      </c>
      <c r="Q290" s="25">
        <v>1</v>
      </c>
      <c r="R290" s="25" t="s">
        <v>35</v>
      </c>
      <c r="S290" s="25" t="s">
        <v>62</v>
      </c>
      <c r="T290" s="25" t="s">
        <v>133</v>
      </c>
      <c r="U290" s="25" t="s">
        <v>1359</v>
      </c>
      <c r="V290" s="25" t="s">
        <v>65</v>
      </c>
      <c r="W290" s="26">
        <v>45717</v>
      </c>
    </row>
    <row r="291" spans="1:23" ht="15.75" customHeight="1">
      <c r="A291" s="25" t="s">
        <v>1360</v>
      </c>
      <c r="B291" s="25" t="s">
        <v>328</v>
      </c>
      <c r="C291" s="25" t="s">
        <v>73</v>
      </c>
      <c r="D291" s="25" t="s">
        <v>121</v>
      </c>
      <c r="E291" s="25" t="s">
        <v>1361</v>
      </c>
      <c r="F291" s="25" t="s">
        <v>395</v>
      </c>
      <c r="G291" s="25" t="s">
        <v>77</v>
      </c>
      <c r="H291" s="25" t="s">
        <v>1362</v>
      </c>
      <c r="I291" s="25" t="s">
        <v>213</v>
      </c>
      <c r="J291" s="25" t="s">
        <v>46</v>
      </c>
      <c r="K291" s="25" t="s">
        <v>47</v>
      </c>
      <c r="L291" s="25" t="s">
        <v>79</v>
      </c>
      <c r="M291" s="25">
        <v>5</v>
      </c>
      <c r="N291" s="25">
        <v>1200</v>
      </c>
      <c r="O291" s="25">
        <v>20</v>
      </c>
      <c r="P291" s="25">
        <v>4800</v>
      </c>
      <c r="Q291" s="25">
        <v>2</v>
      </c>
      <c r="R291" s="25" t="s">
        <v>89</v>
      </c>
      <c r="S291" s="25" t="s">
        <v>116</v>
      </c>
      <c r="T291" s="25" t="s">
        <v>333</v>
      </c>
      <c r="U291" s="25" t="s">
        <v>1363</v>
      </c>
      <c r="V291" s="25" t="s">
        <v>65</v>
      </c>
      <c r="W291" s="26">
        <v>45717</v>
      </c>
    </row>
    <row r="292" spans="1:23" ht="15.75" customHeight="1">
      <c r="A292" s="25" t="s">
        <v>1364</v>
      </c>
      <c r="B292" s="25" t="s">
        <v>54</v>
      </c>
      <c r="C292" s="25" t="s">
        <v>73</v>
      </c>
      <c r="D292" s="25" t="s">
        <v>1032</v>
      </c>
      <c r="E292" s="25" t="s">
        <v>911</v>
      </c>
      <c r="F292" s="25" t="s">
        <v>164</v>
      </c>
      <c r="G292" s="25" t="s">
        <v>29</v>
      </c>
      <c r="H292" s="25" t="s">
        <v>1365</v>
      </c>
      <c r="I292" s="25" t="s">
        <v>213</v>
      </c>
      <c r="J292" s="25" t="s">
        <v>46</v>
      </c>
      <c r="K292" s="25" t="s">
        <v>47</v>
      </c>
      <c r="L292" s="25" t="s">
        <v>79</v>
      </c>
      <c r="M292" s="25">
        <v>10</v>
      </c>
      <c r="N292" s="25">
        <v>1200</v>
      </c>
      <c r="O292" s="25">
        <v>20</v>
      </c>
      <c r="P292" s="25">
        <v>9600</v>
      </c>
      <c r="Q292" s="25">
        <v>4</v>
      </c>
      <c r="R292" s="25" t="s">
        <v>35</v>
      </c>
      <c r="S292" s="25" t="s">
        <v>50</v>
      </c>
      <c r="T292" s="25" t="s">
        <v>1366</v>
      </c>
      <c r="U292" s="25" t="s">
        <v>1367</v>
      </c>
      <c r="V292" s="25" t="s">
        <v>39</v>
      </c>
      <c r="W292" s="26">
        <v>45717</v>
      </c>
    </row>
    <row r="293" spans="1:23" ht="15.75" customHeight="1">
      <c r="A293" s="25" t="s">
        <v>1368</v>
      </c>
      <c r="B293" s="25" t="s">
        <v>24</v>
      </c>
      <c r="C293" s="25" t="s">
        <v>73</v>
      </c>
      <c r="D293" s="25" t="s">
        <v>1369</v>
      </c>
      <c r="E293" s="25" t="s">
        <v>1370</v>
      </c>
      <c r="F293" s="25" t="s">
        <v>28</v>
      </c>
      <c r="G293" s="25" t="s">
        <v>29</v>
      </c>
      <c r="H293" s="25" t="s">
        <v>1371</v>
      </c>
      <c r="I293" s="25" t="s">
        <v>139</v>
      </c>
      <c r="J293" s="25" t="s">
        <v>107</v>
      </c>
      <c r="K293" s="25" t="s">
        <v>47</v>
      </c>
      <c r="L293" s="25" t="s">
        <v>79</v>
      </c>
      <c r="M293" s="25">
        <v>5</v>
      </c>
      <c r="N293" s="25">
        <v>1200</v>
      </c>
      <c r="O293" s="25">
        <v>20</v>
      </c>
      <c r="P293" s="25">
        <v>4800</v>
      </c>
      <c r="Q293" s="25">
        <v>3</v>
      </c>
      <c r="R293" s="25" t="s">
        <v>49</v>
      </c>
      <c r="S293" s="25" t="s">
        <v>152</v>
      </c>
      <c r="T293" s="25" t="s">
        <v>51</v>
      </c>
      <c r="U293" s="25" t="s">
        <v>1372</v>
      </c>
      <c r="V293" s="25" t="s">
        <v>39</v>
      </c>
      <c r="W293" s="26">
        <v>46054</v>
      </c>
    </row>
    <row r="294" spans="1:23" ht="15.75" customHeight="1">
      <c r="A294" s="25" t="s">
        <v>1373</v>
      </c>
      <c r="B294" s="25" t="s">
        <v>169</v>
      </c>
      <c r="C294" s="25" t="s">
        <v>223</v>
      </c>
      <c r="D294" s="25" t="s">
        <v>1374</v>
      </c>
      <c r="E294" s="25" t="s">
        <v>1375</v>
      </c>
      <c r="F294" s="25" t="s">
        <v>362</v>
      </c>
      <c r="G294" s="25" t="s">
        <v>29</v>
      </c>
      <c r="H294" s="25" t="s">
        <v>1376</v>
      </c>
      <c r="I294" s="25" t="s">
        <v>106</v>
      </c>
      <c r="J294" s="25" t="s">
        <v>107</v>
      </c>
      <c r="K294" s="25" t="s">
        <v>123</v>
      </c>
      <c r="L294" s="25" t="s">
        <v>228</v>
      </c>
      <c r="M294" s="25">
        <v>10</v>
      </c>
      <c r="N294" s="25">
        <v>20</v>
      </c>
      <c r="O294" s="25">
        <v>5</v>
      </c>
      <c r="P294" s="25">
        <v>190</v>
      </c>
      <c r="Q294" s="25">
        <v>4</v>
      </c>
      <c r="R294" s="25" t="s">
        <v>35</v>
      </c>
      <c r="S294" s="25" t="s">
        <v>152</v>
      </c>
      <c r="T294" s="25" t="s">
        <v>176</v>
      </c>
      <c r="U294" s="25" t="s">
        <v>1377</v>
      </c>
      <c r="V294" s="25" t="s">
        <v>65</v>
      </c>
      <c r="W294" s="26">
        <v>45689</v>
      </c>
    </row>
    <row r="295" spans="1:23" ht="15.75" customHeight="1">
      <c r="A295" s="25" t="s">
        <v>1378</v>
      </c>
      <c r="B295" s="25" t="s">
        <v>101</v>
      </c>
      <c r="C295" s="25" t="s">
        <v>119</v>
      </c>
      <c r="D295" s="25" t="s">
        <v>1379</v>
      </c>
      <c r="E295" s="25" t="s">
        <v>1380</v>
      </c>
      <c r="F295" s="25" t="s">
        <v>104</v>
      </c>
      <c r="G295" s="25" t="s">
        <v>29</v>
      </c>
      <c r="H295" s="25" t="s">
        <v>1381</v>
      </c>
      <c r="I295" s="25" t="s">
        <v>45</v>
      </c>
      <c r="J295" s="25" t="s">
        <v>46</v>
      </c>
      <c r="K295" s="25" t="s">
        <v>123</v>
      </c>
      <c r="L295" s="25" t="s">
        <v>124</v>
      </c>
      <c r="M295" s="25">
        <v>20</v>
      </c>
      <c r="N295" s="25">
        <v>60</v>
      </c>
      <c r="O295" s="25">
        <v>15</v>
      </c>
      <c r="P295" s="25">
        <v>1020</v>
      </c>
      <c r="Q295" s="25">
        <v>5</v>
      </c>
      <c r="R295" s="25" t="s">
        <v>80</v>
      </c>
      <c r="S295" s="25" t="s">
        <v>36</v>
      </c>
      <c r="T295" s="25" t="s">
        <v>145</v>
      </c>
      <c r="U295" s="25" t="s">
        <v>1382</v>
      </c>
      <c r="V295" s="25" t="s">
        <v>65</v>
      </c>
      <c r="W295" s="26">
        <v>45658</v>
      </c>
    </row>
    <row r="296" spans="1:23" ht="15.75" customHeight="1">
      <c r="A296" s="25" t="s">
        <v>1383</v>
      </c>
      <c r="B296" s="25" t="s">
        <v>328</v>
      </c>
      <c r="C296" s="25" t="s">
        <v>25</v>
      </c>
      <c r="D296" s="25" t="s">
        <v>1361</v>
      </c>
      <c r="E296" s="25" t="s">
        <v>578</v>
      </c>
      <c r="F296" s="25" t="s">
        <v>395</v>
      </c>
      <c r="G296" s="25" t="s">
        <v>77</v>
      </c>
      <c r="H296" s="25" t="s">
        <v>1384</v>
      </c>
      <c r="I296" s="25" t="s">
        <v>139</v>
      </c>
      <c r="J296" s="25" t="s">
        <v>107</v>
      </c>
      <c r="K296" s="25" t="s">
        <v>33</v>
      </c>
      <c r="L296" s="25" t="s">
        <v>34</v>
      </c>
      <c r="M296" s="25">
        <v>7</v>
      </c>
      <c r="N296" s="25">
        <v>2200</v>
      </c>
      <c r="O296" s="25">
        <v>15</v>
      </c>
      <c r="P296" s="25">
        <v>13090</v>
      </c>
      <c r="Q296" s="25">
        <v>4</v>
      </c>
      <c r="R296" s="25" t="s">
        <v>35</v>
      </c>
      <c r="S296" s="25" t="s">
        <v>62</v>
      </c>
      <c r="T296" s="25" t="s">
        <v>333</v>
      </c>
      <c r="U296" s="25" t="s">
        <v>1385</v>
      </c>
      <c r="V296" s="25" t="s">
        <v>70</v>
      </c>
      <c r="W296" s="26">
        <v>45748</v>
      </c>
    </row>
    <row r="297" spans="1:23" ht="15.75" customHeight="1">
      <c r="A297" s="25" t="s">
        <v>1386</v>
      </c>
      <c r="B297" s="25" t="s">
        <v>128</v>
      </c>
      <c r="C297" s="25" t="s">
        <v>55</v>
      </c>
      <c r="D297" s="25" t="s">
        <v>620</v>
      </c>
      <c r="E297" s="25" t="s">
        <v>761</v>
      </c>
      <c r="F297" s="25" t="s">
        <v>201</v>
      </c>
      <c r="G297" s="25" t="s">
        <v>77</v>
      </c>
      <c r="H297" s="25" t="s">
        <v>1387</v>
      </c>
      <c r="I297" s="25" t="s">
        <v>31</v>
      </c>
      <c r="J297" s="25" t="s">
        <v>32</v>
      </c>
      <c r="K297" s="25" t="s">
        <v>47</v>
      </c>
      <c r="L297" s="25" t="s">
        <v>61</v>
      </c>
      <c r="M297" s="25">
        <v>11</v>
      </c>
      <c r="N297" s="25">
        <v>55000</v>
      </c>
      <c r="O297" s="25">
        <v>5</v>
      </c>
      <c r="P297" s="25">
        <v>574750</v>
      </c>
      <c r="Q297" s="25">
        <v>1</v>
      </c>
      <c r="R297" s="25" t="s">
        <v>89</v>
      </c>
      <c r="S297" s="25" t="s">
        <v>36</v>
      </c>
      <c r="T297" s="25" t="s">
        <v>133</v>
      </c>
      <c r="U297" s="25" t="s">
        <v>1388</v>
      </c>
      <c r="V297" s="25" t="s">
        <v>70</v>
      </c>
      <c r="W297" s="26">
        <v>45658</v>
      </c>
    </row>
    <row r="298" spans="1:23" ht="15.75" customHeight="1">
      <c r="A298" s="25" t="s">
        <v>1389</v>
      </c>
      <c r="B298" s="25" t="s">
        <v>84</v>
      </c>
      <c r="C298" s="25" t="s">
        <v>93</v>
      </c>
      <c r="D298" s="25" t="s">
        <v>309</v>
      </c>
      <c r="E298" s="25" t="s">
        <v>1390</v>
      </c>
      <c r="F298" s="25" t="s">
        <v>181</v>
      </c>
      <c r="G298" s="25" t="s">
        <v>77</v>
      </c>
      <c r="H298" s="25" t="s">
        <v>1391</v>
      </c>
      <c r="I298" s="25" t="s">
        <v>213</v>
      </c>
      <c r="J298" s="25" t="s">
        <v>46</v>
      </c>
      <c r="K298" s="25" t="s">
        <v>33</v>
      </c>
      <c r="L298" s="25" t="s">
        <v>98</v>
      </c>
      <c r="M298" s="25">
        <v>12</v>
      </c>
      <c r="N298" s="25">
        <v>3500</v>
      </c>
      <c r="O298" s="25">
        <v>0</v>
      </c>
      <c r="P298" s="25">
        <v>42000</v>
      </c>
      <c r="Q298" s="25">
        <v>2</v>
      </c>
      <c r="R298" s="25" t="s">
        <v>49</v>
      </c>
      <c r="S298" s="25" t="s">
        <v>2160</v>
      </c>
      <c r="T298" s="25" t="s">
        <v>90</v>
      </c>
      <c r="U298" s="25" t="s">
        <v>1392</v>
      </c>
      <c r="V298" s="25" t="s">
        <v>65</v>
      </c>
      <c r="W298" s="26">
        <v>45931</v>
      </c>
    </row>
    <row r="299" spans="1:23" ht="15.75" customHeight="1">
      <c r="A299" s="25" t="s">
        <v>1393</v>
      </c>
      <c r="B299" s="25" t="s">
        <v>72</v>
      </c>
      <c r="C299" s="25" t="s">
        <v>260</v>
      </c>
      <c r="D299" s="25" t="s">
        <v>95</v>
      </c>
      <c r="E299" s="25" t="s">
        <v>299</v>
      </c>
      <c r="F299" s="25" t="s">
        <v>218</v>
      </c>
      <c r="G299" s="25" t="s">
        <v>77</v>
      </c>
      <c r="H299" s="25" t="s">
        <v>1394</v>
      </c>
      <c r="I299" s="25" t="s">
        <v>31</v>
      </c>
      <c r="J299" s="25" t="s">
        <v>32</v>
      </c>
      <c r="K299" s="25" t="s">
        <v>123</v>
      </c>
      <c r="L299" s="25" t="s">
        <v>264</v>
      </c>
      <c r="M299" s="25">
        <v>15</v>
      </c>
      <c r="N299" s="25">
        <v>45</v>
      </c>
      <c r="O299" s="25">
        <v>10</v>
      </c>
      <c r="P299" s="25">
        <v>607.5</v>
      </c>
      <c r="Q299" s="25">
        <v>2</v>
      </c>
      <c r="R299" s="25" t="s">
        <v>35</v>
      </c>
      <c r="S299" s="25" t="s">
        <v>152</v>
      </c>
      <c r="T299" s="25" t="s">
        <v>81</v>
      </c>
      <c r="U299" s="25" t="s">
        <v>1395</v>
      </c>
      <c r="V299" s="25" t="s">
        <v>65</v>
      </c>
      <c r="W299" s="26">
        <v>46054</v>
      </c>
    </row>
    <row r="300" spans="1:23" ht="15.75" customHeight="1">
      <c r="A300" s="25" t="s">
        <v>1396</v>
      </c>
      <c r="B300" s="25" t="s">
        <v>328</v>
      </c>
      <c r="C300" s="25" t="s">
        <v>260</v>
      </c>
      <c r="D300" s="25" t="s">
        <v>1321</v>
      </c>
      <c r="E300" s="25" t="s">
        <v>937</v>
      </c>
      <c r="F300" s="25" t="s">
        <v>395</v>
      </c>
      <c r="G300" s="25" t="s">
        <v>77</v>
      </c>
      <c r="H300" s="25" t="s">
        <v>1397</v>
      </c>
      <c r="I300" s="25" t="s">
        <v>60</v>
      </c>
      <c r="J300" s="25" t="s">
        <v>32</v>
      </c>
      <c r="K300" s="25" t="s">
        <v>123</v>
      </c>
      <c r="L300" s="25" t="s">
        <v>264</v>
      </c>
      <c r="M300" s="25">
        <v>13</v>
      </c>
      <c r="N300" s="25">
        <v>45</v>
      </c>
      <c r="O300" s="25">
        <v>0</v>
      </c>
      <c r="P300" s="25">
        <v>585</v>
      </c>
      <c r="Q300" s="25">
        <v>5</v>
      </c>
      <c r="R300" s="25" t="s">
        <v>49</v>
      </c>
      <c r="S300" s="25" t="s">
        <v>50</v>
      </c>
      <c r="T300" s="25" t="s">
        <v>333</v>
      </c>
      <c r="U300" s="25" t="s">
        <v>1398</v>
      </c>
      <c r="V300" s="25" t="s">
        <v>65</v>
      </c>
      <c r="W300" s="26">
        <v>45778</v>
      </c>
    </row>
    <row r="301" spans="1:23" ht="15.75" customHeight="1">
      <c r="A301" s="25" t="s">
        <v>1399</v>
      </c>
      <c r="B301" s="25" t="s">
        <v>128</v>
      </c>
      <c r="C301" s="25" t="s">
        <v>55</v>
      </c>
      <c r="D301" s="25" t="s">
        <v>712</v>
      </c>
      <c r="E301" s="25" t="s">
        <v>1200</v>
      </c>
      <c r="F301" s="25" t="s">
        <v>201</v>
      </c>
      <c r="G301" s="25" t="s">
        <v>77</v>
      </c>
      <c r="H301" s="25" t="s">
        <v>1400</v>
      </c>
      <c r="I301" s="25" t="s">
        <v>60</v>
      </c>
      <c r="J301" s="25" t="s">
        <v>32</v>
      </c>
      <c r="K301" s="25" t="s">
        <v>47</v>
      </c>
      <c r="L301" s="25" t="s">
        <v>61</v>
      </c>
      <c r="M301" s="25">
        <v>8</v>
      </c>
      <c r="N301" s="25">
        <v>55000</v>
      </c>
      <c r="O301" s="25">
        <v>0</v>
      </c>
      <c r="P301" s="25">
        <v>440000</v>
      </c>
      <c r="Q301" s="25">
        <v>2</v>
      </c>
      <c r="R301" s="25" t="s">
        <v>89</v>
      </c>
      <c r="S301" s="25" t="s">
        <v>152</v>
      </c>
      <c r="T301" s="25" t="s">
        <v>133</v>
      </c>
      <c r="U301" s="25" t="s">
        <v>1401</v>
      </c>
      <c r="V301" s="25" t="s">
        <v>70</v>
      </c>
      <c r="W301" s="26">
        <v>46023</v>
      </c>
    </row>
    <row r="302" spans="1:23" ht="15.75" customHeight="1">
      <c r="A302" s="25" t="s">
        <v>1402</v>
      </c>
      <c r="B302" s="25" t="s">
        <v>252</v>
      </c>
      <c r="C302" s="25" t="s">
        <v>55</v>
      </c>
      <c r="D302" s="25" t="s">
        <v>831</v>
      </c>
      <c r="E302" s="25" t="s">
        <v>382</v>
      </c>
      <c r="F302" s="25" t="s">
        <v>255</v>
      </c>
      <c r="G302" s="25" t="s">
        <v>29</v>
      </c>
      <c r="H302" s="25" t="s">
        <v>1403</v>
      </c>
      <c r="I302" s="25" t="s">
        <v>45</v>
      </c>
      <c r="J302" s="25" t="s">
        <v>46</v>
      </c>
      <c r="K302" s="25" t="s">
        <v>47</v>
      </c>
      <c r="L302" s="25" t="s">
        <v>61</v>
      </c>
      <c r="M302" s="25">
        <v>4</v>
      </c>
      <c r="N302" s="25">
        <v>55000</v>
      </c>
      <c r="O302" s="25">
        <v>20</v>
      </c>
      <c r="P302" s="25">
        <v>176000</v>
      </c>
      <c r="Q302" s="25">
        <v>5</v>
      </c>
      <c r="R302" s="25" t="s">
        <v>35</v>
      </c>
      <c r="S302" s="25" t="s">
        <v>50</v>
      </c>
      <c r="T302" s="25" t="s">
        <v>257</v>
      </c>
      <c r="U302" s="25" t="s">
        <v>1404</v>
      </c>
      <c r="V302" s="25" t="s">
        <v>65</v>
      </c>
      <c r="W302" s="26">
        <v>45839</v>
      </c>
    </row>
    <row r="303" spans="1:23" ht="15.75" customHeight="1">
      <c r="A303" s="25" t="s">
        <v>1405</v>
      </c>
      <c r="B303" s="25" t="s">
        <v>24</v>
      </c>
      <c r="C303" s="25" t="s">
        <v>93</v>
      </c>
      <c r="D303" s="25" t="s">
        <v>1406</v>
      </c>
      <c r="E303" s="25" t="s">
        <v>717</v>
      </c>
      <c r="F303" s="25" t="s">
        <v>28</v>
      </c>
      <c r="G303" s="25" t="s">
        <v>29</v>
      </c>
      <c r="H303" s="25" t="s">
        <v>1407</v>
      </c>
      <c r="I303" s="25" t="s">
        <v>139</v>
      </c>
      <c r="J303" s="25" t="s">
        <v>107</v>
      </c>
      <c r="K303" s="25" t="s">
        <v>33</v>
      </c>
      <c r="L303" s="25" t="s">
        <v>98</v>
      </c>
      <c r="M303" s="25">
        <v>19</v>
      </c>
      <c r="N303" s="25">
        <v>3500</v>
      </c>
      <c r="O303" s="25">
        <v>5</v>
      </c>
      <c r="P303" s="25">
        <v>63175</v>
      </c>
      <c r="Q303" s="25">
        <v>1</v>
      </c>
      <c r="R303" s="25" t="s">
        <v>80</v>
      </c>
      <c r="S303" s="25" t="s">
        <v>116</v>
      </c>
      <c r="T303" s="25" t="s">
        <v>51</v>
      </c>
      <c r="U303" s="25" t="s">
        <v>1408</v>
      </c>
      <c r="V303" s="25" t="s">
        <v>39</v>
      </c>
      <c r="W303" s="26">
        <v>46113</v>
      </c>
    </row>
    <row r="304" spans="1:23" ht="15.75" customHeight="1">
      <c r="A304" s="25" t="s">
        <v>1409</v>
      </c>
      <c r="B304" s="25" t="s">
        <v>222</v>
      </c>
      <c r="C304" s="25" t="s">
        <v>73</v>
      </c>
      <c r="D304" s="25" t="s">
        <v>1410</v>
      </c>
      <c r="E304" s="25" t="s">
        <v>415</v>
      </c>
      <c r="F304" s="25" t="s">
        <v>226</v>
      </c>
      <c r="G304" s="25" t="s">
        <v>77</v>
      </c>
      <c r="H304" s="25" t="s">
        <v>1411</v>
      </c>
      <c r="I304" s="25" t="s">
        <v>213</v>
      </c>
      <c r="J304" s="25" t="s">
        <v>46</v>
      </c>
      <c r="K304" s="25" t="s">
        <v>47</v>
      </c>
      <c r="L304" s="25" t="s">
        <v>79</v>
      </c>
      <c r="M304" s="25">
        <v>17</v>
      </c>
      <c r="N304" s="25">
        <v>1200</v>
      </c>
      <c r="O304" s="25">
        <v>15</v>
      </c>
      <c r="P304" s="25">
        <v>17340</v>
      </c>
      <c r="Q304" s="25">
        <v>2</v>
      </c>
      <c r="R304" s="25" t="s">
        <v>49</v>
      </c>
      <c r="S304" s="25" t="s">
        <v>50</v>
      </c>
      <c r="T304" s="25" t="s">
        <v>229</v>
      </c>
      <c r="U304" s="25" t="s">
        <v>1412</v>
      </c>
      <c r="V304" s="25" t="s">
        <v>39</v>
      </c>
      <c r="W304" s="26">
        <v>45717</v>
      </c>
    </row>
    <row r="305" spans="1:23" ht="15.75" customHeight="1">
      <c r="A305" s="25" t="s">
        <v>1413</v>
      </c>
      <c r="B305" s="25" t="s">
        <v>24</v>
      </c>
      <c r="C305" s="25" t="s">
        <v>25</v>
      </c>
      <c r="D305" s="25" t="s">
        <v>451</v>
      </c>
      <c r="E305" s="25" t="s">
        <v>737</v>
      </c>
      <c r="F305" s="25" t="s">
        <v>28</v>
      </c>
      <c r="G305" s="25" t="s">
        <v>29</v>
      </c>
      <c r="H305" s="25" t="s">
        <v>1414</v>
      </c>
      <c r="I305" s="25" t="s">
        <v>31</v>
      </c>
      <c r="J305" s="25" t="s">
        <v>32</v>
      </c>
      <c r="K305" s="25" t="s">
        <v>33</v>
      </c>
      <c r="L305" s="25" t="s">
        <v>34</v>
      </c>
      <c r="M305" s="25">
        <v>8</v>
      </c>
      <c r="N305" s="25">
        <v>2200</v>
      </c>
      <c r="O305" s="25">
        <v>5</v>
      </c>
      <c r="P305" s="25">
        <v>16720</v>
      </c>
      <c r="Q305" s="25">
        <v>3</v>
      </c>
      <c r="R305" s="25" t="s">
        <v>80</v>
      </c>
      <c r="S305" s="25" t="s">
        <v>116</v>
      </c>
      <c r="T305" s="25" t="s">
        <v>51</v>
      </c>
      <c r="U305" s="25" t="s">
        <v>1415</v>
      </c>
      <c r="V305" s="25" t="s">
        <v>65</v>
      </c>
      <c r="W305" s="26">
        <v>46054</v>
      </c>
    </row>
    <row r="306" spans="1:23" ht="15.75" customHeight="1">
      <c r="A306" s="25" t="s">
        <v>1416</v>
      </c>
      <c r="B306" s="25" t="s">
        <v>252</v>
      </c>
      <c r="C306" s="25" t="s">
        <v>185</v>
      </c>
      <c r="D306" s="25" t="s">
        <v>988</v>
      </c>
      <c r="E306" s="25" t="s">
        <v>388</v>
      </c>
      <c r="F306" s="25" t="s">
        <v>255</v>
      </c>
      <c r="G306" s="25" t="s">
        <v>29</v>
      </c>
      <c r="H306" s="25" t="s">
        <v>814</v>
      </c>
      <c r="I306" s="25" t="s">
        <v>106</v>
      </c>
      <c r="J306" s="25" t="s">
        <v>107</v>
      </c>
      <c r="K306" s="25" t="s">
        <v>47</v>
      </c>
      <c r="L306" s="25" t="s">
        <v>190</v>
      </c>
      <c r="M306" s="25">
        <v>17</v>
      </c>
      <c r="N306" s="25">
        <v>700</v>
      </c>
      <c r="O306" s="25">
        <v>20</v>
      </c>
      <c r="P306" s="25">
        <v>9520</v>
      </c>
      <c r="Q306" s="25">
        <v>4</v>
      </c>
      <c r="R306" s="25" t="s">
        <v>49</v>
      </c>
      <c r="S306" s="25" t="s">
        <v>116</v>
      </c>
      <c r="T306" s="25" t="s">
        <v>257</v>
      </c>
      <c r="U306" s="25" t="s">
        <v>1417</v>
      </c>
      <c r="V306" s="25" t="s">
        <v>39</v>
      </c>
      <c r="W306" s="26">
        <v>45689</v>
      </c>
    </row>
    <row r="307" spans="1:23" ht="15.75" customHeight="1">
      <c r="A307" s="25" t="s">
        <v>1418</v>
      </c>
      <c r="B307" s="25" t="s">
        <v>252</v>
      </c>
      <c r="C307" s="25" t="s">
        <v>170</v>
      </c>
      <c r="D307" s="25" t="s">
        <v>373</v>
      </c>
      <c r="E307" s="25" t="s">
        <v>247</v>
      </c>
      <c r="F307" s="25" t="s">
        <v>255</v>
      </c>
      <c r="G307" s="25" t="s">
        <v>29</v>
      </c>
      <c r="H307" s="25" t="s">
        <v>1216</v>
      </c>
      <c r="I307" s="25" t="s">
        <v>115</v>
      </c>
      <c r="J307" s="25" t="s">
        <v>107</v>
      </c>
      <c r="K307" s="25" t="s">
        <v>33</v>
      </c>
      <c r="L307" s="25" t="s">
        <v>175</v>
      </c>
      <c r="M307" s="25">
        <v>6</v>
      </c>
      <c r="N307" s="25">
        <v>8500</v>
      </c>
      <c r="O307" s="25">
        <v>15</v>
      </c>
      <c r="P307" s="25">
        <v>43350</v>
      </c>
      <c r="Q307" s="25">
        <v>1</v>
      </c>
      <c r="R307" s="25" t="s">
        <v>35</v>
      </c>
      <c r="S307" s="25" t="s">
        <v>62</v>
      </c>
      <c r="T307" s="25" t="s">
        <v>257</v>
      </c>
      <c r="U307" s="25" t="s">
        <v>1419</v>
      </c>
      <c r="V307" s="25" t="s">
        <v>39</v>
      </c>
      <c r="W307" s="26">
        <v>45870</v>
      </c>
    </row>
    <row r="308" spans="1:23" ht="15.75" customHeight="1">
      <c r="A308" s="25" t="s">
        <v>1420</v>
      </c>
      <c r="B308" s="25" t="s">
        <v>54</v>
      </c>
      <c r="C308" s="25" t="s">
        <v>93</v>
      </c>
      <c r="D308" s="25" t="s">
        <v>942</v>
      </c>
      <c r="E308" s="25" t="s">
        <v>346</v>
      </c>
      <c r="F308" s="25" t="s">
        <v>164</v>
      </c>
      <c r="G308" s="25" t="s">
        <v>29</v>
      </c>
      <c r="H308" s="25" t="s">
        <v>1421</v>
      </c>
      <c r="I308" s="25" t="s">
        <v>31</v>
      </c>
      <c r="J308" s="25" t="s">
        <v>32</v>
      </c>
      <c r="K308" s="25" t="s">
        <v>33</v>
      </c>
      <c r="L308" s="25" t="s">
        <v>98</v>
      </c>
      <c r="M308" s="25">
        <v>3</v>
      </c>
      <c r="N308" s="25">
        <v>3500</v>
      </c>
      <c r="O308" s="25">
        <v>10</v>
      </c>
      <c r="P308" s="25">
        <v>9450</v>
      </c>
      <c r="Q308" s="25">
        <v>1</v>
      </c>
      <c r="R308" s="25" t="s">
        <v>49</v>
      </c>
      <c r="S308" s="25" t="s">
        <v>50</v>
      </c>
      <c r="T308" s="25" t="s">
        <v>63</v>
      </c>
      <c r="U308" s="25" t="s">
        <v>1422</v>
      </c>
      <c r="V308" s="25" t="s">
        <v>39</v>
      </c>
      <c r="W308" s="26">
        <v>45931</v>
      </c>
    </row>
    <row r="309" spans="1:23" ht="15.75" customHeight="1">
      <c r="A309" s="25" t="s">
        <v>1423</v>
      </c>
      <c r="B309" s="25" t="s">
        <v>72</v>
      </c>
      <c r="C309" s="25" t="s">
        <v>41</v>
      </c>
      <c r="D309" s="25" t="s">
        <v>1379</v>
      </c>
      <c r="E309" s="25" t="s">
        <v>784</v>
      </c>
      <c r="F309" s="25" t="s">
        <v>218</v>
      </c>
      <c r="G309" s="25" t="s">
        <v>77</v>
      </c>
      <c r="H309" s="25" t="s">
        <v>1424</v>
      </c>
      <c r="I309" s="25" t="s">
        <v>139</v>
      </c>
      <c r="J309" s="25" t="s">
        <v>107</v>
      </c>
      <c r="K309" s="25" t="s">
        <v>47</v>
      </c>
      <c r="L309" s="25" t="s">
        <v>48</v>
      </c>
      <c r="M309" s="25">
        <v>2</v>
      </c>
      <c r="N309" s="25">
        <v>12000</v>
      </c>
      <c r="O309" s="25">
        <v>20</v>
      </c>
      <c r="P309" s="25">
        <v>19200</v>
      </c>
      <c r="Q309" s="25">
        <v>1</v>
      </c>
      <c r="R309" s="25" t="s">
        <v>80</v>
      </c>
      <c r="S309" s="25" t="s">
        <v>62</v>
      </c>
      <c r="T309" s="25" t="s">
        <v>81</v>
      </c>
      <c r="U309" s="25" t="s">
        <v>1425</v>
      </c>
      <c r="V309" s="25" t="s">
        <v>39</v>
      </c>
      <c r="W309" s="26">
        <v>45658</v>
      </c>
    </row>
    <row r="310" spans="1:23" ht="15.75" customHeight="1">
      <c r="A310" s="25" t="s">
        <v>1426</v>
      </c>
      <c r="B310" s="25" t="s">
        <v>222</v>
      </c>
      <c r="C310" s="25" t="s">
        <v>223</v>
      </c>
      <c r="D310" s="25" t="s">
        <v>341</v>
      </c>
      <c r="E310" s="25" t="s">
        <v>1427</v>
      </c>
      <c r="F310" s="25" t="s">
        <v>226</v>
      </c>
      <c r="G310" s="25" t="s">
        <v>77</v>
      </c>
      <c r="H310" s="25" t="s">
        <v>1428</v>
      </c>
      <c r="I310" s="25" t="s">
        <v>45</v>
      </c>
      <c r="J310" s="25" t="s">
        <v>46</v>
      </c>
      <c r="K310" s="25" t="s">
        <v>123</v>
      </c>
      <c r="L310" s="25" t="s">
        <v>228</v>
      </c>
      <c r="M310" s="25">
        <v>12</v>
      </c>
      <c r="N310" s="25">
        <v>20</v>
      </c>
      <c r="O310" s="25">
        <v>20</v>
      </c>
      <c r="P310" s="25">
        <v>192</v>
      </c>
      <c r="Q310" s="25">
        <v>2</v>
      </c>
      <c r="R310" s="25" t="s">
        <v>80</v>
      </c>
      <c r="S310" s="25" t="s">
        <v>50</v>
      </c>
      <c r="T310" s="25" t="s">
        <v>229</v>
      </c>
      <c r="U310" s="25" t="s">
        <v>1429</v>
      </c>
      <c r="V310" s="25" t="s">
        <v>39</v>
      </c>
      <c r="W310" s="26">
        <v>45931</v>
      </c>
    </row>
    <row r="311" spans="1:23" ht="15.75" customHeight="1">
      <c r="A311" s="25" t="s">
        <v>1430</v>
      </c>
      <c r="B311" s="25" t="s">
        <v>101</v>
      </c>
      <c r="C311" s="25" t="s">
        <v>41</v>
      </c>
      <c r="D311" s="25" t="s">
        <v>717</v>
      </c>
      <c r="E311" s="25" t="s">
        <v>1431</v>
      </c>
      <c r="F311" s="25" t="s">
        <v>104</v>
      </c>
      <c r="G311" s="25" t="s">
        <v>29</v>
      </c>
      <c r="H311" s="25" t="s">
        <v>1432</v>
      </c>
      <c r="I311" s="25" t="s">
        <v>295</v>
      </c>
      <c r="J311" s="25" t="s">
        <v>296</v>
      </c>
      <c r="K311" s="25" t="s">
        <v>47</v>
      </c>
      <c r="L311" s="25" t="s">
        <v>48</v>
      </c>
      <c r="M311" s="25">
        <v>20</v>
      </c>
      <c r="N311" s="25">
        <v>12000</v>
      </c>
      <c r="O311" s="25">
        <v>15</v>
      </c>
      <c r="P311" s="25">
        <v>204000</v>
      </c>
      <c r="Q311" s="25">
        <v>3</v>
      </c>
      <c r="R311" s="25" t="s">
        <v>35</v>
      </c>
      <c r="S311" s="25" t="s">
        <v>36</v>
      </c>
      <c r="T311" s="25" t="s">
        <v>145</v>
      </c>
      <c r="U311" s="25" t="s">
        <v>1433</v>
      </c>
      <c r="V311" s="25" t="s">
        <v>65</v>
      </c>
      <c r="W311" s="26">
        <v>46113</v>
      </c>
    </row>
    <row r="312" spans="1:23" ht="15.75" customHeight="1">
      <c r="A312" s="25" t="s">
        <v>1434</v>
      </c>
      <c r="B312" s="25" t="s">
        <v>54</v>
      </c>
      <c r="C312" s="25" t="s">
        <v>119</v>
      </c>
      <c r="D312" s="25" t="s">
        <v>399</v>
      </c>
      <c r="E312" s="25" t="s">
        <v>741</v>
      </c>
      <c r="F312" s="25" t="s">
        <v>164</v>
      </c>
      <c r="G312" s="25" t="s">
        <v>29</v>
      </c>
      <c r="H312" s="25" t="s">
        <v>1435</v>
      </c>
      <c r="I312" s="25" t="s">
        <v>213</v>
      </c>
      <c r="J312" s="25" t="s">
        <v>46</v>
      </c>
      <c r="K312" s="25" t="s">
        <v>123</v>
      </c>
      <c r="L312" s="25" t="s">
        <v>124</v>
      </c>
      <c r="M312" s="25">
        <v>13</v>
      </c>
      <c r="N312" s="25">
        <v>60</v>
      </c>
      <c r="O312" s="25">
        <v>10</v>
      </c>
      <c r="P312" s="25">
        <v>702</v>
      </c>
      <c r="Q312" s="25">
        <v>5</v>
      </c>
      <c r="R312" s="25" t="s">
        <v>35</v>
      </c>
      <c r="S312" s="25" t="s">
        <v>36</v>
      </c>
      <c r="T312" s="25" t="s">
        <v>63</v>
      </c>
      <c r="U312" s="25" t="s">
        <v>1436</v>
      </c>
      <c r="V312" s="25" t="s">
        <v>65</v>
      </c>
      <c r="W312" s="26">
        <v>46082</v>
      </c>
    </row>
    <row r="313" spans="1:23" ht="15.75" customHeight="1">
      <c r="A313" s="25" t="s">
        <v>1437</v>
      </c>
      <c r="B313" s="25" t="s">
        <v>72</v>
      </c>
      <c r="C313" s="25" t="s">
        <v>55</v>
      </c>
      <c r="D313" s="25" t="s">
        <v>1438</v>
      </c>
      <c r="E313" s="25" t="s">
        <v>1295</v>
      </c>
      <c r="F313" s="25" t="s">
        <v>218</v>
      </c>
      <c r="G313" s="25" t="s">
        <v>77</v>
      </c>
      <c r="H313" s="25" t="s">
        <v>1439</v>
      </c>
      <c r="I313" s="25" t="s">
        <v>115</v>
      </c>
      <c r="J313" s="25" t="s">
        <v>107</v>
      </c>
      <c r="K313" s="25" t="s">
        <v>47</v>
      </c>
      <c r="L313" s="25" t="s">
        <v>61</v>
      </c>
      <c r="M313" s="25">
        <v>13</v>
      </c>
      <c r="N313" s="25">
        <v>55000</v>
      </c>
      <c r="O313" s="25">
        <v>5</v>
      </c>
      <c r="P313" s="25">
        <v>679250</v>
      </c>
      <c r="Q313" s="25">
        <v>1</v>
      </c>
      <c r="R313" s="25" t="s">
        <v>89</v>
      </c>
      <c r="S313" s="25" t="s">
        <v>152</v>
      </c>
      <c r="T313" s="25" t="s">
        <v>81</v>
      </c>
      <c r="U313" s="25" t="s">
        <v>1440</v>
      </c>
      <c r="V313" s="25" t="s">
        <v>65</v>
      </c>
      <c r="W313" s="26">
        <v>45778</v>
      </c>
    </row>
    <row r="314" spans="1:23" ht="15.75" customHeight="1">
      <c r="A314" s="25" t="s">
        <v>1441</v>
      </c>
      <c r="B314" s="25" t="s">
        <v>101</v>
      </c>
      <c r="C314" s="25" t="s">
        <v>73</v>
      </c>
      <c r="D314" s="25" t="s">
        <v>798</v>
      </c>
      <c r="E314" s="25" t="s">
        <v>799</v>
      </c>
      <c r="F314" s="25" t="s">
        <v>104</v>
      </c>
      <c r="G314" s="25" t="s">
        <v>29</v>
      </c>
      <c r="H314" s="25" t="s">
        <v>1442</v>
      </c>
      <c r="I314" s="25" t="s">
        <v>60</v>
      </c>
      <c r="J314" s="25" t="s">
        <v>32</v>
      </c>
      <c r="K314" s="25" t="s">
        <v>47</v>
      </c>
      <c r="L314" s="25" t="s">
        <v>79</v>
      </c>
      <c r="M314" s="25">
        <v>7</v>
      </c>
      <c r="N314" s="25">
        <v>1200</v>
      </c>
      <c r="O314" s="25">
        <v>15</v>
      </c>
      <c r="P314" s="25">
        <v>7140</v>
      </c>
      <c r="Q314" s="25">
        <v>5</v>
      </c>
      <c r="R314" s="25" t="s">
        <v>89</v>
      </c>
      <c r="S314" s="25" t="s">
        <v>50</v>
      </c>
      <c r="T314" s="25" t="s">
        <v>145</v>
      </c>
      <c r="U314" s="25" t="s">
        <v>1443</v>
      </c>
      <c r="V314" s="25" t="s">
        <v>65</v>
      </c>
      <c r="W314" s="26">
        <v>46082</v>
      </c>
    </row>
    <row r="315" spans="1:23" ht="15.75" customHeight="1">
      <c r="A315" s="25" t="s">
        <v>1444</v>
      </c>
      <c r="B315" s="25" t="s">
        <v>84</v>
      </c>
      <c r="C315" s="25" t="s">
        <v>41</v>
      </c>
      <c r="D315" s="25" t="s">
        <v>962</v>
      </c>
      <c r="E315" s="25" t="s">
        <v>1445</v>
      </c>
      <c r="F315" s="25" t="s">
        <v>181</v>
      </c>
      <c r="G315" s="25" t="s">
        <v>77</v>
      </c>
      <c r="H315" s="25" t="s">
        <v>1446</v>
      </c>
      <c r="I315" s="25" t="s">
        <v>213</v>
      </c>
      <c r="J315" s="25" t="s">
        <v>46</v>
      </c>
      <c r="K315" s="25" t="s">
        <v>47</v>
      </c>
      <c r="L315" s="25" t="s">
        <v>48</v>
      </c>
      <c r="M315" s="25">
        <v>17</v>
      </c>
      <c r="N315" s="25">
        <v>12000</v>
      </c>
      <c r="O315" s="25">
        <v>5</v>
      </c>
      <c r="P315" s="25">
        <v>193800</v>
      </c>
      <c r="Q315" s="25">
        <v>1</v>
      </c>
      <c r="R315" s="25" t="s">
        <v>35</v>
      </c>
      <c r="S315" s="25" t="s">
        <v>62</v>
      </c>
      <c r="T315" s="25" t="s">
        <v>90</v>
      </c>
      <c r="U315" s="25" t="s">
        <v>1447</v>
      </c>
      <c r="V315" s="25" t="s">
        <v>70</v>
      </c>
      <c r="W315" s="26">
        <v>45992</v>
      </c>
    </row>
    <row r="316" spans="1:23" ht="15.75" customHeight="1">
      <c r="A316" s="25" t="s">
        <v>1448</v>
      </c>
      <c r="B316" s="25" t="s">
        <v>84</v>
      </c>
      <c r="C316" s="25" t="s">
        <v>223</v>
      </c>
      <c r="D316" s="25" t="s">
        <v>357</v>
      </c>
      <c r="E316" s="25" t="s">
        <v>518</v>
      </c>
      <c r="F316" s="25" t="s">
        <v>181</v>
      </c>
      <c r="G316" s="25" t="s">
        <v>77</v>
      </c>
      <c r="H316" s="25" t="s">
        <v>1449</v>
      </c>
      <c r="I316" s="25" t="s">
        <v>60</v>
      </c>
      <c r="J316" s="25" t="s">
        <v>32</v>
      </c>
      <c r="K316" s="25" t="s">
        <v>123</v>
      </c>
      <c r="L316" s="25" t="s">
        <v>228</v>
      </c>
      <c r="M316" s="25">
        <v>10</v>
      </c>
      <c r="N316" s="25">
        <v>20</v>
      </c>
      <c r="O316" s="25">
        <v>5</v>
      </c>
      <c r="P316" s="25">
        <v>190</v>
      </c>
      <c r="Q316" s="25">
        <v>2</v>
      </c>
      <c r="R316" s="25" t="s">
        <v>35</v>
      </c>
      <c r="S316" s="25" t="s">
        <v>62</v>
      </c>
      <c r="T316" s="25" t="s">
        <v>90</v>
      </c>
      <c r="U316" s="25" t="s">
        <v>1450</v>
      </c>
      <c r="V316" s="25" t="s">
        <v>70</v>
      </c>
      <c r="W316" s="26">
        <v>46113</v>
      </c>
    </row>
    <row r="317" spans="1:23" ht="15.75" customHeight="1">
      <c r="A317" s="25" t="s">
        <v>1451</v>
      </c>
      <c r="B317" s="25" t="s">
        <v>169</v>
      </c>
      <c r="C317" s="25" t="s">
        <v>25</v>
      </c>
      <c r="D317" s="25" t="s">
        <v>292</v>
      </c>
      <c r="E317" s="25" t="s">
        <v>1452</v>
      </c>
      <c r="F317" s="25" t="s">
        <v>362</v>
      </c>
      <c r="G317" s="25" t="s">
        <v>29</v>
      </c>
      <c r="H317" s="25" t="s">
        <v>1453</v>
      </c>
      <c r="I317" s="25" t="s">
        <v>45</v>
      </c>
      <c r="J317" s="25" t="s">
        <v>46</v>
      </c>
      <c r="K317" s="25" t="s">
        <v>33</v>
      </c>
      <c r="L317" s="25" t="s">
        <v>34</v>
      </c>
      <c r="M317" s="25">
        <v>11</v>
      </c>
      <c r="N317" s="25">
        <v>2200</v>
      </c>
      <c r="O317" s="25">
        <v>5</v>
      </c>
      <c r="P317" s="25">
        <v>22990</v>
      </c>
      <c r="Q317" s="25">
        <v>5</v>
      </c>
      <c r="R317" s="25" t="s">
        <v>80</v>
      </c>
      <c r="S317" s="25" t="s">
        <v>50</v>
      </c>
      <c r="T317" s="25" t="s">
        <v>176</v>
      </c>
      <c r="U317" s="25" t="s">
        <v>1454</v>
      </c>
      <c r="V317" s="25" t="s">
        <v>65</v>
      </c>
      <c r="W317" s="26">
        <v>45962</v>
      </c>
    </row>
    <row r="318" spans="1:23" ht="15.75" customHeight="1">
      <c r="A318" s="25" t="s">
        <v>1455</v>
      </c>
      <c r="B318" s="25" t="s">
        <v>101</v>
      </c>
      <c r="C318" s="25" t="s">
        <v>119</v>
      </c>
      <c r="D318" s="25" t="s">
        <v>1370</v>
      </c>
      <c r="E318" s="25" t="s">
        <v>179</v>
      </c>
      <c r="F318" s="25" t="s">
        <v>104</v>
      </c>
      <c r="G318" s="25" t="s">
        <v>29</v>
      </c>
      <c r="H318" s="25" t="s">
        <v>1456</v>
      </c>
      <c r="I318" s="25" t="s">
        <v>213</v>
      </c>
      <c r="J318" s="25" t="s">
        <v>46</v>
      </c>
      <c r="K318" s="25" t="s">
        <v>123</v>
      </c>
      <c r="L318" s="25" t="s">
        <v>124</v>
      </c>
      <c r="M318" s="25">
        <v>8</v>
      </c>
      <c r="N318" s="25">
        <v>60</v>
      </c>
      <c r="O318" s="25">
        <v>15</v>
      </c>
      <c r="P318" s="25">
        <v>408</v>
      </c>
      <c r="Q318" s="25">
        <v>4</v>
      </c>
      <c r="R318" s="25" t="s">
        <v>35</v>
      </c>
      <c r="S318" s="25" t="s">
        <v>50</v>
      </c>
      <c r="T318" s="25" t="s">
        <v>145</v>
      </c>
      <c r="U318" s="25" t="s">
        <v>1457</v>
      </c>
      <c r="V318" s="25" t="s">
        <v>65</v>
      </c>
      <c r="W318" s="26">
        <v>46054</v>
      </c>
    </row>
    <row r="319" spans="1:23" ht="15.75" customHeight="1">
      <c r="A319" s="25" t="s">
        <v>1458</v>
      </c>
      <c r="B319" s="25" t="s">
        <v>222</v>
      </c>
      <c r="C319" s="25" t="s">
        <v>260</v>
      </c>
      <c r="D319" s="25" t="s">
        <v>826</v>
      </c>
      <c r="E319" s="25" t="s">
        <v>120</v>
      </c>
      <c r="F319" s="25" t="s">
        <v>226</v>
      </c>
      <c r="G319" s="25" t="s">
        <v>77</v>
      </c>
      <c r="H319" s="25" t="s">
        <v>1459</v>
      </c>
      <c r="I319" s="25" t="s">
        <v>45</v>
      </c>
      <c r="J319" s="25" t="s">
        <v>46</v>
      </c>
      <c r="K319" s="25" t="s">
        <v>123</v>
      </c>
      <c r="L319" s="25" t="s">
        <v>264</v>
      </c>
      <c r="M319" s="25">
        <v>17</v>
      </c>
      <c r="N319" s="25">
        <v>45</v>
      </c>
      <c r="O319" s="25">
        <v>15</v>
      </c>
      <c r="P319" s="25">
        <v>650.25</v>
      </c>
      <c r="Q319" s="25">
        <v>2</v>
      </c>
      <c r="R319" s="25" t="s">
        <v>89</v>
      </c>
      <c r="S319" s="25" t="s">
        <v>152</v>
      </c>
      <c r="T319" s="25" t="s">
        <v>229</v>
      </c>
      <c r="U319" s="25" t="s">
        <v>1460</v>
      </c>
      <c r="V319" s="25" t="s">
        <v>39</v>
      </c>
      <c r="W319" s="26">
        <v>45717</v>
      </c>
    </row>
    <row r="320" spans="1:23" ht="15.75" customHeight="1">
      <c r="A320" s="25" t="s">
        <v>1461</v>
      </c>
      <c r="B320" s="25" t="s">
        <v>328</v>
      </c>
      <c r="C320" s="25" t="s">
        <v>185</v>
      </c>
      <c r="D320" s="25" t="s">
        <v>633</v>
      </c>
      <c r="E320" s="25" t="s">
        <v>1462</v>
      </c>
      <c r="F320" s="25" t="s">
        <v>395</v>
      </c>
      <c r="G320" s="25" t="s">
        <v>77</v>
      </c>
      <c r="H320" s="25" t="s">
        <v>1463</v>
      </c>
      <c r="I320" s="25" t="s">
        <v>213</v>
      </c>
      <c r="J320" s="25" t="s">
        <v>46</v>
      </c>
      <c r="K320" s="25" t="s">
        <v>47</v>
      </c>
      <c r="L320" s="25" t="s">
        <v>190</v>
      </c>
      <c r="M320" s="25">
        <v>14</v>
      </c>
      <c r="N320" s="25">
        <v>700</v>
      </c>
      <c r="O320" s="25">
        <v>15</v>
      </c>
      <c r="P320" s="25">
        <v>8330</v>
      </c>
      <c r="Q320" s="25">
        <v>1</v>
      </c>
      <c r="R320" s="25" t="s">
        <v>80</v>
      </c>
      <c r="S320" s="25" t="s">
        <v>116</v>
      </c>
      <c r="T320" s="25" t="s">
        <v>333</v>
      </c>
      <c r="U320" s="25" t="s">
        <v>1464</v>
      </c>
      <c r="V320" s="25" t="s">
        <v>39</v>
      </c>
      <c r="W320" s="26">
        <v>45689</v>
      </c>
    </row>
    <row r="321" spans="1:23" ht="15.75" customHeight="1">
      <c r="A321" s="25" t="s">
        <v>1465</v>
      </c>
      <c r="B321" s="25" t="s">
        <v>84</v>
      </c>
      <c r="C321" s="25" t="s">
        <v>73</v>
      </c>
      <c r="D321" s="25" t="s">
        <v>1466</v>
      </c>
      <c r="E321" s="25" t="s">
        <v>949</v>
      </c>
      <c r="F321" s="25" t="s">
        <v>181</v>
      </c>
      <c r="G321" s="25" t="s">
        <v>77</v>
      </c>
      <c r="H321" s="25" t="s">
        <v>1467</v>
      </c>
      <c r="I321" s="25" t="s">
        <v>115</v>
      </c>
      <c r="J321" s="25" t="s">
        <v>107</v>
      </c>
      <c r="K321" s="25" t="s">
        <v>47</v>
      </c>
      <c r="L321" s="25" t="s">
        <v>79</v>
      </c>
      <c r="M321" s="25">
        <v>3</v>
      </c>
      <c r="N321" s="25">
        <v>1200</v>
      </c>
      <c r="O321" s="25">
        <v>5</v>
      </c>
      <c r="P321" s="25">
        <v>3420</v>
      </c>
      <c r="Q321" s="25">
        <v>3</v>
      </c>
      <c r="R321" s="25" t="s">
        <v>49</v>
      </c>
      <c r="S321" s="25" t="s">
        <v>152</v>
      </c>
      <c r="T321" s="25" t="s">
        <v>90</v>
      </c>
      <c r="U321" s="25" t="s">
        <v>1468</v>
      </c>
      <c r="V321" s="25" t="s">
        <v>39</v>
      </c>
      <c r="W321" s="26">
        <v>45809</v>
      </c>
    </row>
    <row r="322" spans="1:23" ht="15.75" customHeight="1">
      <c r="A322" s="25" t="s">
        <v>1469</v>
      </c>
      <c r="B322" s="25" t="s">
        <v>24</v>
      </c>
      <c r="C322" s="25" t="s">
        <v>73</v>
      </c>
      <c r="D322" s="25" t="s">
        <v>490</v>
      </c>
      <c r="E322" s="25" t="s">
        <v>915</v>
      </c>
      <c r="F322" s="25" t="s">
        <v>28</v>
      </c>
      <c r="G322" s="25" t="s">
        <v>29</v>
      </c>
      <c r="H322" s="25" t="s">
        <v>1470</v>
      </c>
      <c r="I322" s="25" t="s">
        <v>139</v>
      </c>
      <c r="J322" s="25" t="s">
        <v>107</v>
      </c>
      <c r="K322" s="25" t="s">
        <v>47</v>
      </c>
      <c r="L322" s="25" t="s">
        <v>79</v>
      </c>
      <c r="M322" s="25">
        <v>9</v>
      </c>
      <c r="N322" s="25">
        <v>1200</v>
      </c>
      <c r="O322" s="25">
        <v>15</v>
      </c>
      <c r="P322" s="25">
        <v>9180</v>
      </c>
      <c r="Q322" s="25">
        <v>3</v>
      </c>
      <c r="R322" s="25" t="s">
        <v>35</v>
      </c>
      <c r="S322" s="25" t="s">
        <v>50</v>
      </c>
      <c r="T322" s="25" t="s">
        <v>51</v>
      </c>
      <c r="U322" s="25" t="s">
        <v>1471</v>
      </c>
      <c r="V322" s="25" t="s">
        <v>39</v>
      </c>
      <c r="W322" s="26">
        <v>45839</v>
      </c>
    </row>
    <row r="323" spans="1:23" ht="15.75" customHeight="1">
      <c r="A323" s="25" t="s">
        <v>1472</v>
      </c>
      <c r="B323" s="25" t="s">
        <v>252</v>
      </c>
      <c r="C323" s="25" t="s">
        <v>223</v>
      </c>
      <c r="D323" s="25" t="s">
        <v>225</v>
      </c>
      <c r="E323" s="25" t="s">
        <v>361</v>
      </c>
      <c r="F323" s="25" t="s">
        <v>255</v>
      </c>
      <c r="G323" s="25" t="s">
        <v>29</v>
      </c>
      <c r="H323" s="25" t="s">
        <v>1473</v>
      </c>
      <c r="I323" s="25" t="s">
        <v>106</v>
      </c>
      <c r="J323" s="25" t="s">
        <v>107</v>
      </c>
      <c r="K323" s="25" t="s">
        <v>123</v>
      </c>
      <c r="L323" s="25" t="s">
        <v>228</v>
      </c>
      <c r="M323" s="25">
        <v>5</v>
      </c>
      <c r="N323" s="25">
        <v>20</v>
      </c>
      <c r="O323" s="25">
        <v>5</v>
      </c>
      <c r="P323" s="25">
        <v>95</v>
      </c>
      <c r="Q323" s="25">
        <v>4</v>
      </c>
      <c r="R323" s="25" t="s">
        <v>35</v>
      </c>
      <c r="S323" s="25" t="s">
        <v>152</v>
      </c>
      <c r="T323" s="25" t="s">
        <v>257</v>
      </c>
      <c r="U323" s="25" t="s">
        <v>1474</v>
      </c>
      <c r="V323" s="25" t="s">
        <v>39</v>
      </c>
      <c r="W323" s="26">
        <v>46113</v>
      </c>
    </row>
    <row r="324" spans="1:23" ht="15.75" customHeight="1">
      <c r="A324" s="25" t="s">
        <v>1475</v>
      </c>
      <c r="B324" s="25" t="s">
        <v>252</v>
      </c>
      <c r="C324" s="25" t="s">
        <v>25</v>
      </c>
      <c r="D324" s="25" t="s">
        <v>1476</v>
      </c>
      <c r="E324" s="25" t="s">
        <v>1477</v>
      </c>
      <c r="F324" s="25" t="s">
        <v>255</v>
      </c>
      <c r="G324" s="25" t="s">
        <v>29</v>
      </c>
      <c r="H324" s="25" t="s">
        <v>1478</v>
      </c>
      <c r="I324" s="25" t="s">
        <v>139</v>
      </c>
      <c r="J324" s="25" t="s">
        <v>107</v>
      </c>
      <c r="K324" s="25" t="s">
        <v>33</v>
      </c>
      <c r="L324" s="25" t="s">
        <v>34</v>
      </c>
      <c r="M324" s="25">
        <v>8</v>
      </c>
      <c r="N324" s="25">
        <v>2200</v>
      </c>
      <c r="O324" s="25">
        <v>10</v>
      </c>
      <c r="P324" s="25">
        <v>15840</v>
      </c>
      <c r="Q324" s="25">
        <v>4</v>
      </c>
      <c r="R324" s="25" t="s">
        <v>89</v>
      </c>
      <c r="S324" s="25" t="s">
        <v>62</v>
      </c>
      <c r="T324" s="25" t="s">
        <v>257</v>
      </c>
      <c r="U324" s="25" t="s">
        <v>1479</v>
      </c>
      <c r="V324" s="25" t="s">
        <v>70</v>
      </c>
      <c r="W324" s="26">
        <v>45992</v>
      </c>
    </row>
    <row r="325" spans="1:23" ht="15.75" customHeight="1">
      <c r="A325" s="25" t="s">
        <v>1480</v>
      </c>
      <c r="B325" s="25" t="s">
        <v>252</v>
      </c>
      <c r="C325" s="25" t="s">
        <v>185</v>
      </c>
      <c r="D325" s="25" t="s">
        <v>299</v>
      </c>
      <c r="E325" s="25" t="s">
        <v>1481</v>
      </c>
      <c r="F325" s="25" t="s">
        <v>255</v>
      </c>
      <c r="G325" s="25" t="s">
        <v>29</v>
      </c>
      <c r="H325" s="25" t="s">
        <v>1482</v>
      </c>
      <c r="I325" s="25" t="s">
        <v>106</v>
      </c>
      <c r="J325" s="25" t="s">
        <v>107</v>
      </c>
      <c r="K325" s="25" t="s">
        <v>47</v>
      </c>
      <c r="L325" s="25" t="s">
        <v>190</v>
      </c>
      <c r="M325" s="25">
        <v>10</v>
      </c>
      <c r="N325" s="25">
        <v>700</v>
      </c>
      <c r="O325" s="25">
        <v>20</v>
      </c>
      <c r="P325" s="25">
        <v>5600</v>
      </c>
      <c r="Q325" s="25">
        <v>1</v>
      </c>
      <c r="R325" s="25" t="s">
        <v>89</v>
      </c>
      <c r="S325" s="25" t="s">
        <v>116</v>
      </c>
      <c r="T325" s="25" t="s">
        <v>257</v>
      </c>
      <c r="U325" s="25" t="s">
        <v>1483</v>
      </c>
      <c r="V325" s="25" t="s">
        <v>39</v>
      </c>
      <c r="W325" s="26">
        <v>46082</v>
      </c>
    </row>
    <row r="326" spans="1:23" ht="15.75" customHeight="1">
      <c r="A326" s="25" t="s">
        <v>1484</v>
      </c>
      <c r="B326" s="25" t="s">
        <v>84</v>
      </c>
      <c r="C326" s="25" t="s">
        <v>185</v>
      </c>
      <c r="D326" s="25" t="s">
        <v>1485</v>
      </c>
      <c r="E326" s="25" t="s">
        <v>1486</v>
      </c>
      <c r="F326" s="25" t="s">
        <v>181</v>
      </c>
      <c r="G326" s="25" t="s">
        <v>77</v>
      </c>
      <c r="H326" s="25" t="s">
        <v>1487</v>
      </c>
      <c r="I326" s="25" t="s">
        <v>60</v>
      </c>
      <c r="J326" s="25" t="s">
        <v>32</v>
      </c>
      <c r="K326" s="25" t="s">
        <v>47</v>
      </c>
      <c r="L326" s="25" t="s">
        <v>190</v>
      </c>
      <c r="M326" s="25">
        <v>2</v>
      </c>
      <c r="N326" s="25">
        <v>700</v>
      </c>
      <c r="O326" s="25">
        <v>20</v>
      </c>
      <c r="P326" s="25">
        <v>1120</v>
      </c>
      <c r="Q326" s="25">
        <v>2</v>
      </c>
      <c r="R326" s="25" t="s">
        <v>35</v>
      </c>
      <c r="S326" s="25" t="s">
        <v>116</v>
      </c>
      <c r="T326" s="25" t="s">
        <v>90</v>
      </c>
      <c r="U326" s="25" t="s">
        <v>1488</v>
      </c>
      <c r="V326" s="25" t="s">
        <v>65</v>
      </c>
      <c r="W326" s="26">
        <v>45962</v>
      </c>
    </row>
    <row r="327" spans="1:23" ht="15.75" customHeight="1">
      <c r="A327" s="25" t="s">
        <v>1489</v>
      </c>
      <c r="B327" s="25" t="s">
        <v>222</v>
      </c>
      <c r="C327" s="25" t="s">
        <v>93</v>
      </c>
      <c r="D327" s="25" t="s">
        <v>873</v>
      </c>
      <c r="E327" s="25" t="s">
        <v>966</v>
      </c>
      <c r="F327" s="25" t="s">
        <v>226</v>
      </c>
      <c r="G327" s="25" t="s">
        <v>77</v>
      </c>
      <c r="H327" s="25" t="s">
        <v>1490</v>
      </c>
      <c r="I327" s="25" t="s">
        <v>115</v>
      </c>
      <c r="J327" s="25" t="s">
        <v>107</v>
      </c>
      <c r="K327" s="25" t="s">
        <v>33</v>
      </c>
      <c r="L327" s="25" t="s">
        <v>98</v>
      </c>
      <c r="M327" s="25">
        <v>16</v>
      </c>
      <c r="N327" s="25">
        <v>3500</v>
      </c>
      <c r="O327" s="25">
        <v>20</v>
      </c>
      <c r="P327" s="25">
        <v>44800</v>
      </c>
      <c r="Q327" s="25">
        <v>2</v>
      </c>
      <c r="R327" s="25" t="s">
        <v>89</v>
      </c>
      <c r="S327" s="25" t="s">
        <v>36</v>
      </c>
      <c r="T327" s="25" t="s">
        <v>229</v>
      </c>
      <c r="U327" s="25" t="s">
        <v>1491</v>
      </c>
      <c r="V327" s="25" t="s">
        <v>65</v>
      </c>
      <c r="W327" s="26">
        <v>45809</v>
      </c>
    </row>
    <row r="328" spans="1:23" ht="15.75" customHeight="1">
      <c r="A328" s="25" t="s">
        <v>1492</v>
      </c>
      <c r="B328" s="25" t="s">
        <v>169</v>
      </c>
      <c r="C328" s="25" t="s">
        <v>93</v>
      </c>
      <c r="D328" s="25" t="s">
        <v>830</v>
      </c>
      <c r="E328" s="25" t="s">
        <v>757</v>
      </c>
      <c r="F328" s="25" t="s">
        <v>362</v>
      </c>
      <c r="G328" s="25" t="s">
        <v>29</v>
      </c>
      <c r="H328" s="25" t="s">
        <v>1493</v>
      </c>
      <c r="I328" s="25" t="s">
        <v>45</v>
      </c>
      <c r="J328" s="25" t="s">
        <v>46</v>
      </c>
      <c r="K328" s="25" t="s">
        <v>33</v>
      </c>
      <c r="L328" s="25" t="s">
        <v>98</v>
      </c>
      <c r="M328" s="25">
        <v>9</v>
      </c>
      <c r="N328" s="25">
        <v>3500</v>
      </c>
      <c r="O328" s="25">
        <v>20</v>
      </c>
      <c r="P328" s="25">
        <v>25200</v>
      </c>
      <c r="Q328" s="25">
        <v>1</v>
      </c>
      <c r="R328" s="25" t="s">
        <v>80</v>
      </c>
      <c r="S328" s="25" t="s">
        <v>50</v>
      </c>
      <c r="T328" s="25" t="s">
        <v>176</v>
      </c>
      <c r="U328" s="25" t="s">
        <v>1494</v>
      </c>
      <c r="V328" s="25" t="s">
        <v>70</v>
      </c>
      <c r="W328" s="26">
        <v>45839</v>
      </c>
    </row>
    <row r="329" spans="1:23" ht="15.75" customHeight="1">
      <c r="A329" s="25" t="s">
        <v>1495</v>
      </c>
      <c r="B329" s="25" t="s">
        <v>128</v>
      </c>
      <c r="C329" s="25" t="s">
        <v>185</v>
      </c>
      <c r="D329" s="25" t="s">
        <v>897</v>
      </c>
      <c r="E329" s="25" t="s">
        <v>531</v>
      </c>
      <c r="F329" s="25" t="s">
        <v>201</v>
      </c>
      <c r="G329" s="25" t="s">
        <v>77</v>
      </c>
      <c r="H329" s="25" t="s">
        <v>1496</v>
      </c>
      <c r="I329" s="25" t="s">
        <v>31</v>
      </c>
      <c r="J329" s="25" t="s">
        <v>32</v>
      </c>
      <c r="K329" s="25" t="s">
        <v>47</v>
      </c>
      <c r="L329" s="25" t="s">
        <v>190</v>
      </c>
      <c r="M329" s="25">
        <v>15</v>
      </c>
      <c r="N329" s="25">
        <v>700</v>
      </c>
      <c r="O329" s="25">
        <v>5</v>
      </c>
      <c r="P329" s="25">
        <v>9975</v>
      </c>
      <c r="Q329" s="25">
        <v>1</v>
      </c>
      <c r="R329" s="25" t="s">
        <v>35</v>
      </c>
      <c r="S329" s="25" t="s">
        <v>50</v>
      </c>
      <c r="T329" s="25" t="s">
        <v>133</v>
      </c>
      <c r="U329" s="25" t="s">
        <v>1497</v>
      </c>
      <c r="V329" s="25" t="s">
        <v>70</v>
      </c>
      <c r="W329" s="26">
        <v>45931</v>
      </c>
    </row>
    <row r="330" spans="1:23" ht="15.75" customHeight="1">
      <c r="A330" s="25" t="s">
        <v>1498</v>
      </c>
      <c r="B330" s="25" t="s">
        <v>54</v>
      </c>
      <c r="C330" s="25" t="s">
        <v>73</v>
      </c>
      <c r="D330" s="25" t="s">
        <v>180</v>
      </c>
      <c r="E330" s="25" t="s">
        <v>799</v>
      </c>
      <c r="F330" s="25" t="s">
        <v>164</v>
      </c>
      <c r="G330" s="25" t="s">
        <v>29</v>
      </c>
      <c r="H330" s="25" t="s">
        <v>1499</v>
      </c>
      <c r="I330" s="25" t="s">
        <v>139</v>
      </c>
      <c r="J330" s="25" t="s">
        <v>107</v>
      </c>
      <c r="K330" s="25" t="s">
        <v>47</v>
      </c>
      <c r="L330" s="25" t="s">
        <v>79</v>
      </c>
      <c r="M330" s="25">
        <v>13</v>
      </c>
      <c r="N330" s="25">
        <v>1200</v>
      </c>
      <c r="O330" s="25">
        <v>0</v>
      </c>
      <c r="P330" s="25">
        <v>15600</v>
      </c>
      <c r="Q330" s="25">
        <v>3</v>
      </c>
      <c r="R330" s="25" t="s">
        <v>49</v>
      </c>
      <c r="S330" s="25" t="s">
        <v>116</v>
      </c>
      <c r="T330" s="25" t="s">
        <v>63</v>
      </c>
      <c r="U330" s="25" t="s">
        <v>1500</v>
      </c>
      <c r="V330" s="25" t="s">
        <v>70</v>
      </c>
      <c r="W330" s="26">
        <v>46082</v>
      </c>
    </row>
    <row r="331" spans="1:23" ht="15.75" customHeight="1">
      <c r="A331" s="25" t="s">
        <v>1501</v>
      </c>
      <c r="B331" s="25" t="s">
        <v>328</v>
      </c>
      <c r="C331" s="25" t="s">
        <v>41</v>
      </c>
      <c r="D331" s="25" t="s">
        <v>1502</v>
      </c>
      <c r="E331" s="25" t="s">
        <v>1503</v>
      </c>
      <c r="F331" s="25" t="s">
        <v>395</v>
      </c>
      <c r="G331" s="25" t="s">
        <v>77</v>
      </c>
      <c r="H331" s="25" t="s">
        <v>1504</v>
      </c>
      <c r="I331" s="25" t="s">
        <v>45</v>
      </c>
      <c r="J331" s="25" t="s">
        <v>46</v>
      </c>
      <c r="K331" s="25" t="s">
        <v>47</v>
      </c>
      <c r="L331" s="25" t="s">
        <v>48</v>
      </c>
      <c r="M331" s="25">
        <v>5</v>
      </c>
      <c r="N331" s="25">
        <v>12000</v>
      </c>
      <c r="O331" s="25">
        <v>10</v>
      </c>
      <c r="P331" s="25">
        <v>54000</v>
      </c>
      <c r="Q331" s="25">
        <v>3</v>
      </c>
      <c r="R331" s="25" t="s">
        <v>89</v>
      </c>
      <c r="S331" s="25" t="s">
        <v>50</v>
      </c>
      <c r="T331" s="25" t="s">
        <v>333</v>
      </c>
      <c r="U331" s="25" t="s">
        <v>1505</v>
      </c>
      <c r="V331" s="25" t="s">
        <v>39</v>
      </c>
      <c r="W331" s="26">
        <v>45870</v>
      </c>
    </row>
    <row r="332" spans="1:23" ht="15.75" customHeight="1">
      <c r="A332" s="25" t="s">
        <v>1506</v>
      </c>
      <c r="B332" s="25" t="s">
        <v>54</v>
      </c>
      <c r="C332" s="25" t="s">
        <v>260</v>
      </c>
      <c r="D332" s="25" t="s">
        <v>1507</v>
      </c>
      <c r="E332" s="25" t="s">
        <v>1508</v>
      </c>
      <c r="F332" s="25" t="s">
        <v>164</v>
      </c>
      <c r="G332" s="25" t="s">
        <v>29</v>
      </c>
      <c r="H332" s="25" t="s">
        <v>1509</v>
      </c>
      <c r="I332" s="25" t="s">
        <v>60</v>
      </c>
      <c r="J332" s="25" t="s">
        <v>32</v>
      </c>
      <c r="K332" s="25" t="s">
        <v>123</v>
      </c>
      <c r="L332" s="25" t="s">
        <v>264</v>
      </c>
      <c r="M332" s="25">
        <v>12</v>
      </c>
      <c r="N332" s="25">
        <v>45</v>
      </c>
      <c r="O332" s="25">
        <v>20</v>
      </c>
      <c r="P332" s="25">
        <v>432</v>
      </c>
      <c r="Q332" s="25">
        <v>3</v>
      </c>
      <c r="R332" s="25" t="s">
        <v>49</v>
      </c>
      <c r="S332" s="25" t="s">
        <v>62</v>
      </c>
      <c r="T332" s="25" t="s">
        <v>63</v>
      </c>
      <c r="U332" s="25" t="s">
        <v>1510</v>
      </c>
      <c r="V332" s="25" t="s">
        <v>39</v>
      </c>
      <c r="W332" s="26">
        <v>45748</v>
      </c>
    </row>
    <row r="333" spans="1:23" ht="15.75" customHeight="1">
      <c r="A333" s="25" t="s">
        <v>1511</v>
      </c>
      <c r="B333" s="25" t="s">
        <v>24</v>
      </c>
      <c r="C333" s="25" t="s">
        <v>93</v>
      </c>
      <c r="D333" s="25" t="s">
        <v>653</v>
      </c>
      <c r="E333" s="25" t="s">
        <v>667</v>
      </c>
      <c r="F333" s="25" t="s">
        <v>28</v>
      </c>
      <c r="G333" s="25" t="s">
        <v>29</v>
      </c>
      <c r="H333" s="25" t="s">
        <v>1512</v>
      </c>
      <c r="I333" s="25" t="s">
        <v>60</v>
      </c>
      <c r="J333" s="25" t="s">
        <v>32</v>
      </c>
      <c r="K333" s="25" t="s">
        <v>33</v>
      </c>
      <c r="L333" s="25" t="s">
        <v>98</v>
      </c>
      <c r="M333" s="25">
        <v>2</v>
      </c>
      <c r="N333" s="25">
        <v>3500</v>
      </c>
      <c r="O333" s="25">
        <v>0</v>
      </c>
      <c r="P333" s="25">
        <v>7000</v>
      </c>
      <c r="Q333" s="25">
        <v>1</v>
      </c>
      <c r="R333" s="25" t="s">
        <v>49</v>
      </c>
      <c r="S333" s="25" t="s">
        <v>116</v>
      </c>
      <c r="T333" s="25" t="s">
        <v>51</v>
      </c>
      <c r="U333" s="25" t="s">
        <v>1513</v>
      </c>
      <c r="V333" s="25" t="s">
        <v>65</v>
      </c>
      <c r="W333" s="26">
        <v>45748</v>
      </c>
    </row>
    <row r="334" spans="1:23" ht="15.75" customHeight="1">
      <c r="A334" s="25" t="s">
        <v>1514</v>
      </c>
      <c r="B334" s="25" t="s">
        <v>24</v>
      </c>
      <c r="C334" s="25" t="s">
        <v>25</v>
      </c>
      <c r="D334" s="25" t="s">
        <v>427</v>
      </c>
      <c r="E334" s="25" t="s">
        <v>1181</v>
      </c>
      <c r="F334" s="25" t="s">
        <v>28</v>
      </c>
      <c r="G334" s="25" t="s">
        <v>29</v>
      </c>
      <c r="H334" s="25" t="s">
        <v>1515</v>
      </c>
      <c r="I334" s="25" t="s">
        <v>115</v>
      </c>
      <c r="J334" s="25" t="s">
        <v>107</v>
      </c>
      <c r="K334" s="25" t="s">
        <v>33</v>
      </c>
      <c r="L334" s="25" t="s">
        <v>34</v>
      </c>
      <c r="M334" s="25">
        <v>15</v>
      </c>
      <c r="N334" s="25">
        <v>2200</v>
      </c>
      <c r="O334" s="25">
        <v>15</v>
      </c>
      <c r="P334" s="25">
        <v>28050</v>
      </c>
      <c r="Q334" s="25">
        <v>2</v>
      </c>
      <c r="R334" s="25" t="s">
        <v>49</v>
      </c>
      <c r="S334" s="25" t="s">
        <v>50</v>
      </c>
      <c r="T334" s="25" t="s">
        <v>51</v>
      </c>
      <c r="U334" s="25" t="s">
        <v>1516</v>
      </c>
      <c r="V334" s="25" t="s">
        <v>65</v>
      </c>
      <c r="W334" s="26">
        <v>46143</v>
      </c>
    </row>
    <row r="335" spans="1:23" ht="15.75" customHeight="1">
      <c r="A335" s="25" t="s">
        <v>1517</v>
      </c>
      <c r="B335" s="25" t="s">
        <v>101</v>
      </c>
      <c r="C335" s="25" t="s">
        <v>223</v>
      </c>
      <c r="D335" s="25" t="s">
        <v>187</v>
      </c>
      <c r="E335" s="25" t="s">
        <v>1254</v>
      </c>
      <c r="F335" s="25" t="s">
        <v>104</v>
      </c>
      <c r="G335" s="25" t="s">
        <v>29</v>
      </c>
      <c r="H335" s="25" t="s">
        <v>1518</v>
      </c>
      <c r="I335" s="25" t="s">
        <v>139</v>
      </c>
      <c r="J335" s="25" t="s">
        <v>107</v>
      </c>
      <c r="K335" s="25" t="s">
        <v>123</v>
      </c>
      <c r="L335" s="25" t="s">
        <v>228</v>
      </c>
      <c r="M335" s="25">
        <v>8</v>
      </c>
      <c r="N335" s="25">
        <v>20</v>
      </c>
      <c r="O335" s="25">
        <v>20</v>
      </c>
      <c r="P335" s="25">
        <v>128</v>
      </c>
      <c r="Q335" s="25">
        <v>5</v>
      </c>
      <c r="R335" s="25" t="s">
        <v>89</v>
      </c>
      <c r="S335" s="25" t="s">
        <v>50</v>
      </c>
      <c r="T335" s="25" t="s">
        <v>145</v>
      </c>
      <c r="U335" s="25" t="s">
        <v>1519</v>
      </c>
      <c r="V335" s="25" t="s">
        <v>39</v>
      </c>
      <c r="W335" s="26">
        <v>45992</v>
      </c>
    </row>
    <row r="336" spans="1:23" ht="15.75" customHeight="1">
      <c r="A336" s="25" t="s">
        <v>1520</v>
      </c>
      <c r="B336" s="25" t="s">
        <v>128</v>
      </c>
      <c r="C336" s="25" t="s">
        <v>223</v>
      </c>
      <c r="D336" s="25" t="s">
        <v>299</v>
      </c>
      <c r="E336" s="25" t="s">
        <v>799</v>
      </c>
      <c r="F336" s="25" t="s">
        <v>201</v>
      </c>
      <c r="G336" s="25" t="s">
        <v>77</v>
      </c>
      <c r="H336" s="25" t="s">
        <v>1521</v>
      </c>
      <c r="I336" s="25" t="s">
        <v>31</v>
      </c>
      <c r="J336" s="25" t="s">
        <v>32</v>
      </c>
      <c r="K336" s="25" t="s">
        <v>123</v>
      </c>
      <c r="L336" s="25" t="s">
        <v>228</v>
      </c>
      <c r="M336" s="25">
        <v>1</v>
      </c>
      <c r="N336" s="25">
        <v>20</v>
      </c>
      <c r="O336" s="25">
        <v>0</v>
      </c>
      <c r="P336" s="25">
        <v>20</v>
      </c>
      <c r="Q336" s="25">
        <v>3</v>
      </c>
      <c r="R336" s="25" t="s">
        <v>89</v>
      </c>
      <c r="S336" s="25" t="s">
        <v>36</v>
      </c>
      <c r="T336" s="25" t="s">
        <v>133</v>
      </c>
      <c r="U336" s="25" t="s">
        <v>1522</v>
      </c>
      <c r="V336" s="25" t="s">
        <v>39</v>
      </c>
      <c r="W336" s="26">
        <v>46082</v>
      </c>
    </row>
    <row r="337" spans="1:23" ht="15.75" customHeight="1">
      <c r="A337" s="25" t="s">
        <v>1523</v>
      </c>
      <c r="B337" s="25" t="s">
        <v>24</v>
      </c>
      <c r="C337" s="25" t="s">
        <v>185</v>
      </c>
      <c r="D337" s="25" t="s">
        <v>1200</v>
      </c>
      <c r="E337" s="25" t="s">
        <v>254</v>
      </c>
      <c r="F337" s="25" t="s">
        <v>28</v>
      </c>
      <c r="G337" s="25" t="s">
        <v>29</v>
      </c>
      <c r="H337" s="25" t="s">
        <v>1524</v>
      </c>
      <c r="I337" s="25" t="s">
        <v>213</v>
      </c>
      <c r="J337" s="25" t="s">
        <v>46</v>
      </c>
      <c r="K337" s="25" t="s">
        <v>47</v>
      </c>
      <c r="L337" s="25" t="s">
        <v>190</v>
      </c>
      <c r="M337" s="25">
        <v>15</v>
      </c>
      <c r="N337" s="25">
        <v>700</v>
      </c>
      <c r="O337" s="25">
        <v>0</v>
      </c>
      <c r="P337" s="25">
        <v>10500</v>
      </c>
      <c r="Q337" s="25">
        <v>2</v>
      </c>
      <c r="R337" s="25" t="s">
        <v>89</v>
      </c>
      <c r="S337" s="25" t="s">
        <v>50</v>
      </c>
      <c r="T337" s="25" t="s">
        <v>51</v>
      </c>
      <c r="U337" s="25" t="s">
        <v>1525</v>
      </c>
      <c r="V337" s="25" t="s">
        <v>39</v>
      </c>
      <c r="W337" s="26">
        <v>46023</v>
      </c>
    </row>
    <row r="338" spans="1:23" ht="15.75" customHeight="1">
      <c r="A338" s="25" t="s">
        <v>1526</v>
      </c>
      <c r="B338" s="25" t="s">
        <v>328</v>
      </c>
      <c r="C338" s="25" t="s">
        <v>93</v>
      </c>
      <c r="D338" s="25" t="s">
        <v>933</v>
      </c>
      <c r="E338" s="25" t="s">
        <v>1527</v>
      </c>
      <c r="F338" s="25" t="s">
        <v>395</v>
      </c>
      <c r="G338" s="25" t="s">
        <v>77</v>
      </c>
      <c r="H338" s="25" t="s">
        <v>1528</v>
      </c>
      <c r="I338" s="25" t="s">
        <v>31</v>
      </c>
      <c r="J338" s="25" t="s">
        <v>32</v>
      </c>
      <c r="K338" s="25" t="s">
        <v>33</v>
      </c>
      <c r="L338" s="25" t="s">
        <v>98</v>
      </c>
      <c r="M338" s="25">
        <v>15</v>
      </c>
      <c r="N338" s="25">
        <v>3500</v>
      </c>
      <c r="O338" s="25">
        <v>10</v>
      </c>
      <c r="P338" s="25">
        <v>47250</v>
      </c>
      <c r="Q338" s="25">
        <v>3</v>
      </c>
      <c r="R338" s="25" t="s">
        <v>35</v>
      </c>
      <c r="S338" s="25" t="s">
        <v>152</v>
      </c>
      <c r="T338" s="25" t="s">
        <v>333</v>
      </c>
      <c r="U338" s="25" t="s">
        <v>1529</v>
      </c>
      <c r="V338" s="25" t="s">
        <v>65</v>
      </c>
      <c r="W338" s="26">
        <v>45689</v>
      </c>
    </row>
    <row r="339" spans="1:23" ht="15.75" customHeight="1">
      <c r="A339" s="25" t="s">
        <v>1530</v>
      </c>
      <c r="B339" s="25" t="s">
        <v>24</v>
      </c>
      <c r="C339" s="25" t="s">
        <v>119</v>
      </c>
      <c r="D339" s="25" t="s">
        <v>1531</v>
      </c>
      <c r="E339" s="25" t="s">
        <v>157</v>
      </c>
      <c r="F339" s="25" t="s">
        <v>28</v>
      </c>
      <c r="G339" s="25" t="s">
        <v>29</v>
      </c>
      <c r="H339" s="25" t="s">
        <v>1532</v>
      </c>
      <c r="I339" s="25" t="s">
        <v>295</v>
      </c>
      <c r="J339" s="25" t="s">
        <v>296</v>
      </c>
      <c r="K339" s="25" t="s">
        <v>123</v>
      </c>
      <c r="L339" s="25" t="s">
        <v>124</v>
      </c>
      <c r="M339" s="25">
        <v>16</v>
      </c>
      <c r="N339" s="25">
        <v>60</v>
      </c>
      <c r="O339" s="25">
        <v>10</v>
      </c>
      <c r="P339" s="25">
        <v>864</v>
      </c>
      <c r="Q339" s="25">
        <v>4</v>
      </c>
      <c r="R339" s="25" t="s">
        <v>80</v>
      </c>
      <c r="S339" s="25" t="s">
        <v>62</v>
      </c>
      <c r="T339" s="25" t="s">
        <v>51</v>
      </c>
      <c r="U339" s="25" t="s">
        <v>1533</v>
      </c>
      <c r="V339" s="25" t="s">
        <v>39</v>
      </c>
      <c r="W339" s="26">
        <v>45839</v>
      </c>
    </row>
    <row r="340" spans="1:23" ht="15.75" customHeight="1">
      <c r="A340" s="25" t="s">
        <v>1534</v>
      </c>
      <c r="B340" s="25" t="s">
        <v>128</v>
      </c>
      <c r="C340" s="25" t="s">
        <v>260</v>
      </c>
      <c r="D340" s="25" t="s">
        <v>310</v>
      </c>
      <c r="E340" s="25" t="s">
        <v>794</v>
      </c>
      <c r="F340" s="25" t="s">
        <v>201</v>
      </c>
      <c r="G340" s="25" t="s">
        <v>77</v>
      </c>
      <c r="H340" s="25" t="s">
        <v>1535</v>
      </c>
      <c r="I340" s="25" t="s">
        <v>45</v>
      </c>
      <c r="J340" s="25" t="s">
        <v>46</v>
      </c>
      <c r="K340" s="25" t="s">
        <v>123</v>
      </c>
      <c r="L340" s="25" t="s">
        <v>264</v>
      </c>
      <c r="M340" s="25">
        <v>2</v>
      </c>
      <c r="N340" s="25">
        <v>45</v>
      </c>
      <c r="O340" s="25">
        <v>15</v>
      </c>
      <c r="P340" s="25">
        <v>76.5</v>
      </c>
      <c r="Q340" s="25">
        <v>1</v>
      </c>
      <c r="R340" s="25" t="s">
        <v>89</v>
      </c>
      <c r="S340" s="25" t="s">
        <v>152</v>
      </c>
      <c r="T340" s="25" t="s">
        <v>133</v>
      </c>
      <c r="U340" s="25" t="s">
        <v>1536</v>
      </c>
      <c r="V340" s="25" t="s">
        <v>70</v>
      </c>
      <c r="W340" s="26">
        <v>45931</v>
      </c>
    </row>
    <row r="341" spans="1:23" ht="15.75" customHeight="1">
      <c r="A341" s="25" t="s">
        <v>1537</v>
      </c>
      <c r="B341" s="25" t="s">
        <v>169</v>
      </c>
      <c r="C341" s="25" t="s">
        <v>119</v>
      </c>
      <c r="D341" s="25" t="s">
        <v>1538</v>
      </c>
      <c r="E341" s="25" t="s">
        <v>1215</v>
      </c>
      <c r="F341" s="25" t="s">
        <v>362</v>
      </c>
      <c r="G341" s="25" t="s">
        <v>29</v>
      </c>
      <c r="H341" s="25" t="s">
        <v>1539</v>
      </c>
      <c r="I341" s="25" t="s">
        <v>45</v>
      </c>
      <c r="J341" s="25" t="s">
        <v>46</v>
      </c>
      <c r="K341" s="25" t="s">
        <v>123</v>
      </c>
      <c r="L341" s="25" t="s">
        <v>124</v>
      </c>
      <c r="M341" s="25">
        <v>13</v>
      </c>
      <c r="N341" s="25">
        <v>60</v>
      </c>
      <c r="O341" s="25">
        <v>15</v>
      </c>
      <c r="P341" s="25">
        <v>663</v>
      </c>
      <c r="Q341" s="25">
        <v>2</v>
      </c>
      <c r="R341" s="25" t="s">
        <v>49</v>
      </c>
      <c r="S341" s="25" t="s">
        <v>62</v>
      </c>
      <c r="T341" s="25" t="s">
        <v>176</v>
      </c>
      <c r="U341" s="25" t="s">
        <v>1540</v>
      </c>
      <c r="V341" s="25" t="s">
        <v>70</v>
      </c>
      <c r="W341" s="26">
        <v>45992</v>
      </c>
    </row>
    <row r="342" spans="1:23" ht="15.75" customHeight="1">
      <c r="A342" s="25" t="s">
        <v>1541</v>
      </c>
      <c r="B342" s="25" t="s">
        <v>84</v>
      </c>
      <c r="C342" s="25" t="s">
        <v>41</v>
      </c>
      <c r="D342" s="25" t="s">
        <v>1087</v>
      </c>
      <c r="E342" s="25" t="s">
        <v>237</v>
      </c>
      <c r="F342" s="25" t="s">
        <v>181</v>
      </c>
      <c r="G342" s="25" t="s">
        <v>77</v>
      </c>
      <c r="H342" s="25" t="s">
        <v>1542</v>
      </c>
      <c r="I342" s="25" t="s">
        <v>45</v>
      </c>
      <c r="J342" s="25" t="s">
        <v>46</v>
      </c>
      <c r="K342" s="25" t="s">
        <v>47</v>
      </c>
      <c r="L342" s="25" t="s">
        <v>48</v>
      </c>
      <c r="M342" s="25">
        <v>15</v>
      </c>
      <c r="N342" s="25">
        <v>12000</v>
      </c>
      <c r="O342" s="25">
        <v>20</v>
      </c>
      <c r="P342" s="25">
        <v>144000</v>
      </c>
      <c r="Q342" s="25">
        <v>3</v>
      </c>
      <c r="R342" s="25" t="s">
        <v>80</v>
      </c>
      <c r="S342" s="25" t="s">
        <v>36</v>
      </c>
      <c r="T342" s="25" t="s">
        <v>90</v>
      </c>
      <c r="U342" s="25" t="s">
        <v>1543</v>
      </c>
      <c r="V342" s="25" t="s">
        <v>70</v>
      </c>
      <c r="W342" s="26">
        <v>45778</v>
      </c>
    </row>
    <row r="343" spans="1:23" ht="15.75" customHeight="1">
      <c r="A343" s="25" t="s">
        <v>1544</v>
      </c>
      <c r="B343" s="25" t="s">
        <v>328</v>
      </c>
      <c r="C343" s="25" t="s">
        <v>223</v>
      </c>
      <c r="D343" s="25" t="s">
        <v>756</v>
      </c>
      <c r="E343" s="25" t="s">
        <v>1545</v>
      </c>
      <c r="F343" s="25" t="s">
        <v>395</v>
      </c>
      <c r="G343" s="25" t="s">
        <v>77</v>
      </c>
      <c r="H343" s="25" t="s">
        <v>1546</v>
      </c>
      <c r="I343" s="25" t="s">
        <v>45</v>
      </c>
      <c r="J343" s="25" t="s">
        <v>46</v>
      </c>
      <c r="K343" s="25" t="s">
        <v>123</v>
      </c>
      <c r="L343" s="25" t="s">
        <v>228</v>
      </c>
      <c r="M343" s="25">
        <v>2</v>
      </c>
      <c r="N343" s="25">
        <v>20</v>
      </c>
      <c r="O343" s="25">
        <v>20</v>
      </c>
      <c r="P343" s="25">
        <v>32</v>
      </c>
      <c r="Q343" s="25">
        <v>4</v>
      </c>
      <c r="R343" s="25" t="s">
        <v>35</v>
      </c>
      <c r="S343" s="25" t="s">
        <v>36</v>
      </c>
      <c r="T343" s="25" t="s">
        <v>333</v>
      </c>
      <c r="U343" s="25" t="s">
        <v>1547</v>
      </c>
      <c r="V343" s="25" t="s">
        <v>65</v>
      </c>
      <c r="W343" s="26">
        <v>45839</v>
      </c>
    </row>
    <row r="344" spans="1:23" ht="15.75" customHeight="1">
      <c r="A344" s="25" t="s">
        <v>1548</v>
      </c>
      <c r="B344" s="25" t="s">
        <v>128</v>
      </c>
      <c r="C344" s="25" t="s">
        <v>93</v>
      </c>
      <c r="D344" s="25" t="s">
        <v>383</v>
      </c>
      <c r="E344" s="25" t="s">
        <v>1549</v>
      </c>
      <c r="F344" s="25" t="s">
        <v>201</v>
      </c>
      <c r="G344" s="25" t="s">
        <v>77</v>
      </c>
      <c r="H344" s="25" t="s">
        <v>1550</v>
      </c>
      <c r="I344" s="25" t="s">
        <v>60</v>
      </c>
      <c r="J344" s="25" t="s">
        <v>32</v>
      </c>
      <c r="K344" s="25" t="s">
        <v>33</v>
      </c>
      <c r="L344" s="25" t="s">
        <v>98</v>
      </c>
      <c r="M344" s="25">
        <v>16</v>
      </c>
      <c r="N344" s="25">
        <v>3500</v>
      </c>
      <c r="O344" s="25">
        <v>0</v>
      </c>
      <c r="P344" s="25">
        <v>56000</v>
      </c>
      <c r="Q344" s="25">
        <v>4</v>
      </c>
      <c r="R344" s="25" t="s">
        <v>35</v>
      </c>
      <c r="S344" s="25" t="s">
        <v>116</v>
      </c>
      <c r="T344" s="25" t="s">
        <v>133</v>
      </c>
      <c r="U344" s="25" t="s">
        <v>1551</v>
      </c>
      <c r="V344" s="25" t="s">
        <v>39</v>
      </c>
      <c r="W344" s="26">
        <v>45870</v>
      </c>
    </row>
    <row r="345" spans="1:23" ht="15.75" customHeight="1">
      <c r="A345" s="25" t="s">
        <v>1552</v>
      </c>
      <c r="B345" s="25" t="s">
        <v>54</v>
      </c>
      <c r="C345" s="25" t="s">
        <v>93</v>
      </c>
      <c r="D345" s="25" t="s">
        <v>1303</v>
      </c>
      <c r="E345" s="25" t="s">
        <v>95</v>
      </c>
      <c r="F345" s="25" t="s">
        <v>164</v>
      </c>
      <c r="G345" s="25" t="s">
        <v>29</v>
      </c>
      <c r="H345" s="25" t="s">
        <v>1553</v>
      </c>
      <c r="I345" s="25" t="s">
        <v>139</v>
      </c>
      <c r="J345" s="25" t="s">
        <v>107</v>
      </c>
      <c r="K345" s="25" t="s">
        <v>33</v>
      </c>
      <c r="L345" s="25" t="s">
        <v>98</v>
      </c>
      <c r="M345" s="25">
        <v>18</v>
      </c>
      <c r="N345" s="25">
        <v>3500</v>
      </c>
      <c r="O345" s="25">
        <v>15</v>
      </c>
      <c r="P345" s="25">
        <v>53550</v>
      </c>
      <c r="Q345" s="25">
        <v>5</v>
      </c>
      <c r="R345" s="25" t="s">
        <v>35</v>
      </c>
      <c r="S345" s="25" t="s">
        <v>152</v>
      </c>
      <c r="T345" s="25" t="s">
        <v>63</v>
      </c>
      <c r="U345" s="25" t="s">
        <v>1554</v>
      </c>
      <c r="V345" s="25" t="s">
        <v>70</v>
      </c>
      <c r="W345" s="26">
        <v>46054</v>
      </c>
    </row>
    <row r="346" spans="1:23" ht="15.75" customHeight="1">
      <c r="A346" s="25" t="s">
        <v>1555</v>
      </c>
      <c r="B346" s="25" t="s">
        <v>24</v>
      </c>
      <c r="C346" s="25" t="s">
        <v>260</v>
      </c>
      <c r="D346" s="25" t="s">
        <v>66</v>
      </c>
      <c r="E346" s="25" t="s">
        <v>545</v>
      </c>
      <c r="F346" s="25" t="s">
        <v>28</v>
      </c>
      <c r="G346" s="25" t="s">
        <v>29</v>
      </c>
      <c r="H346" s="25" t="s">
        <v>1556</v>
      </c>
      <c r="I346" s="25" t="s">
        <v>139</v>
      </c>
      <c r="J346" s="25" t="s">
        <v>107</v>
      </c>
      <c r="K346" s="25" t="s">
        <v>123</v>
      </c>
      <c r="L346" s="25" t="s">
        <v>264</v>
      </c>
      <c r="M346" s="25">
        <v>20</v>
      </c>
      <c r="N346" s="25">
        <v>45</v>
      </c>
      <c r="O346" s="25">
        <v>15</v>
      </c>
      <c r="P346" s="25">
        <v>765</v>
      </c>
      <c r="Q346" s="25">
        <v>4</v>
      </c>
      <c r="R346" s="25" t="s">
        <v>35</v>
      </c>
      <c r="S346" s="25" t="s">
        <v>152</v>
      </c>
      <c r="T346" s="25" t="s">
        <v>51</v>
      </c>
      <c r="U346" s="25" t="s">
        <v>1557</v>
      </c>
      <c r="V346" s="25" t="s">
        <v>70</v>
      </c>
      <c r="W346" s="26">
        <v>46082</v>
      </c>
    </row>
    <row r="347" spans="1:23" ht="15.75" customHeight="1">
      <c r="A347" s="25" t="s">
        <v>1558</v>
      </c>
      <c r="B347" s="25" t="s">
        <v>252</v>
      </c>
      <c r="C347" s="25" t="s">
        <v>25</v>
      </c>
      <c r="D347" s="25" t="s">
        <v>1287</v>
      </c>
      <c r="E347" s="25" t="s">
        <v>357</v>
      </c>
      <c r="F347" s="25" t="s">
        <v>255</v>
      </c>
      <c r="G347" s="25" t="s">
        <v>29</v>
      </c>
      <c r="H347" s="25" t="s">
        <v>1559</v>
      </c>
      <c r="I347" s="25" t="s">
        <v>45</v>
      </c>
      <c r="J347" s="25" t="s">
        <v>46</v>
      </c>
      <c r="K347" s="25" t="s">
        <v>33</v>
      </c>
      <c r="L347" s="25" t="s">
        <v>34</v>
      </c>
      <c r="M347" s="25">
        <v>13</v>
      </c>
      <c r="N347" s="25">
        <v>2200</v>
      </c>
      <c r="O347" s="25">
        <v>15</v>
      </c>
      <c r="P347" s="25">
        <v>24310</v>
      </c>
      <c r="Q347" s="25">
        <v>2</v>
      </c>
      <c r="R347" s="25" t="s">
        <v>49</v>
      </c>
      <c r="S347" s="25" t="s">
        <v>116</v>
      </c>
      <c r="T347" s="25" t="s">
        <v>257</v>
      </c>
      <c r="U347" s="25" t="s">
        <v>1560</v>
      </c>
      <c r="V347" s="25" t="s">
        <v>65</v>
      </c>
      <c r="W347" s="26">
        <v>46113</v>
      </c>
    </row>
    <row r="348" spans="1:23" ht="15.75" customHeight="1">
      <c r="A348" s="25" t="s">
        <v>1561</v>
      </c>
      <c r="B348" s="25" t="s">
        <v>54</v>
      </c>
      <c r="C348" s="25" t="s">
        <v>1562</v>
      </c>
      <c r="D348" s="25" t="s">
        <v>341</v>
      </c>
      <c r="E348" s="25" t="s">
        <v>347</v>
      </c>
      <c r="F348" s="25" t="s">
        <v>164</v>
      </c>
      <c r="G348" s="25" t="s">
        <v>29</v>
      </c>
      <c r="H348" s="25" t="s">
        <v>1563</v>
      </c>
      <c r="I348" s="25" t="s">
        <v>295</v>
      </c>
      <c r="J348" s="25" t="s">
        <v>296</v>
      </c>
      <c r="K348" s="25" t="s">
        <v>33</v>
      </c>
      <c r="L348" s="25" t="s">
        <v>175</v>
      </c>
      <c r="M348" s="25">
        <v>11</v>
      </c>
      <c r="N348" s="25">
        <v>8500</v>
      </c>
      <c r="O348" s="25">
        <v>5</v>
      </c>
      <c r="P348" s="25">
        <v>88825</v>
      </c>
      <c r="Q348" s="25">
        <v>1</v>
      </c>
      <c r="R348" s="25" t="s">
        <v>89</v>
      </c>
      <c r="S348" s="25" t="s">
        <v>116</v>
      </c>
      <c r="T348" s="25" t="s">
        <v>63</v>
      </c>
      <c r="U348" s="25" t="s">
        <v>1564</v>
      </c>
      <c r="V348" s="25" t="s">
        <v>70</v>
      </c>
      <c r="W348" s="26">
        <v>45931</v>
      </c>
    </row>
    <row r="349" spans="1:23" ht="15.75" customHeight="1">
      <c r="A349" s="25" t="s">
        <v>1565</v>
      </c>
      <c r="B349" s="25" t="s">
        <v>54</v>
      </c>
      <c r="C349" s="25" t="s">
        <v>25</v>
      </c>
      <c r="D349" s="25" t="s">
        <v>1566</v>
      </c>
      <c r="E349" s="25" t="s">
        <v>1476</v>
      </c>
      <c r="F349" s="25" t="s">
        <v>164</v>
      </c>
      <c r="G349" s="25" t="s">
        <v>29</v>
      </c>
      <c r="H349" s="25" t="s">
        <v>1567</v>
      </c>
      <c r="I349" s="25" t="s">
        <v>213</v>
      </c>
      <c r="J349" s="25" t="s">
        <v>46</v>
      </c>
      <c r="K349" s="25" t="s">
        <v>33</v>
      </c>
      <c r="L349" s="25" t="s">
        <v>34</v>
      </c>
      <c r="M349" s="25">
        <v>2</v>
      </c>
      <c r="N349" s="25">
        <v>2200</v>
      </c>
      <c r="O349" s="25">
        <v>0</v>
      </c>
      <c r="P349" s="25">
        <v>4400</v>
      </c>
      <c r="Q349" s="25">
        <v>4</v>
      </c>
      <c r="R349" s="25" t="s">
        <v>89</v>
      </c>
      <c r="S349" s="25" t="s">
        <v>152</v>
      </c>
      <c r="T349" s="25" t="s">
        <v>63</v>
      </c>
      <c r="U349" s="25" t="s">
        <v>1568</v>
      </c>
      <c r="V349" s="25" t="s">
        <v>65</v>
      </c>
      <c r="W349" s="26">
        <v>45992</v>
      </c>
    </row>
    <row r="350" spans="1:23" ht="15.75" customHeight="1">
      <c r="A350" s="25" t="s">
        <v>1569</v>
      </c>
      <c r="B350" s="25" t="s">
        <v>84</v>
      </c>
      <c r="C350" s="25" t="s">
        <v>185</v>
      </c>
      <c r="D350" s="25" t="s">
        <v>1243</v>
      </c>
      <c r="E350" s="25" t="s">
        <v>721</v>
      </c>
      <c r="F350" s="25" t="s">
        <v>181</v>
      </c>
      <c r="G350" s="25" t="s">
        <v>77</v>
      </c>
      <c r="H350" s="25" t="s">
        <v>1570</v>
      </c>
      <c r="I350" s="25" t="s">
        <v>106</v>
      </c>
      <c r="J350" s="25" t="s">
        <v>107</v>
      </c>
      <c r="K350" s="25" t="s">
        <v>47</v>
      </c>
      <c r="L350" s="25" t="s">
        <v>190</v>
      </c>
      <c r="M350" s="25">
        <v>15</v>
      </c>
      <c r="N350" s="25">
        <v>700</v>
      </c>
      <c r="O350" s="25">
        <v>15</v>
      </c>
      <c r="P350" s="25">
        <v>8925</v>
      </c>
      <c r="Q350" s="25">
        <v>3</v>
      </c>
      <c r="R350" s="25" t="s">
        <v>49</v>
      </c>
      <c r="S350" s="25" t="s">
        <v>116</v>
      </c>
      <c r="T350" s="25" t="s">
        <v>90</v>
      </c>
      <c r="U350" s="25" t="s">
        <v>1571</v>
      </c>
      <c r="V350" s="25" t="s">
        <v>39</v>
      </c>
      <c r="W350" s="26">
        <v>45839</v>
      </c>
    </row>
    <row r="351" spans="1:23" ht="15.75" customHeight="1">
      <c r="A351" s="25" t="s">
        <v>1572</v>
      </c>
      <c r="B351" s="25" t="s">
        <v>128</v>
      </c>
      <c r="C351" s="25" t="s">
        <v>25</v>
      </c>
      <c r="D351" s="25" t="s">
        <v>1573</v>
      </c>
      <c r="E351" s="25" t="s">
        <v>836</v>
      </c>
      <c r="F351" s="25" t="s">
        <v>201</v>
      </c>
      <c r="G351" s="25" t="s">
        <v>77</v>
      </c>
      <c r="H351" s="25" t="s">
        <v>1574</v>
      </c>
      <c r="I351" s="25" t="s">
        <v>139</v>
      </c>
      <c r="J351" s="25" t="s">
        <v>107</v>
      </c>
      <c r="K351" s="25" t="s">
        <v>33</v>
      </c>
      <c r="L351" s="25" t="s">
        <v>34</v>
      </c>
      <c r="M351" s="25">
        <v>5</v>
      </c>
      <c r="N351" s="25">
        <v>2200</v>
      </c>
      <c r="O351" s="25">
        <v>15</v>
      </c>
      <c r="P351" s="25">
        <v>9350</v>
      </c>
      <c r="Q351" s="25">
        <v>1</v>
      </c>
      <c r="R351" s="25" t="s">
        <v>49</v>
      </c>
      <c r="S351" s="25" t="s">
        <v>116</v>
      </c>
      <c r="T351" s="25" t="s">
        <v>133</v>
      </c>
      <c r="U351" s="25" t="s">
        <v>1575</v>
      </c>
      <c r="V351" s="25" t="s">
        <v>65</v>
      </c>
      <c r="W351" s="26">
        <v>45839</v>
      </c>
    </row>
    <row r="352" spans="1:23" ht="15.75" customHeight="1">
      <c r="A352" s="25" t="s">
        <v>1576</v>
      </c>
      <c r="B352" s="25" t="s">
        <v>84</v>
      </c>
      <c r="C352" s="25" t="s">
        <v>73</v>
      </c>
      <c r="D352" s="25" t="s">
        <v>555</v>
      </c>
      <c r="E352" s="25" t="s">
        <v>1481</v>
      </c>
      <c r="F352" s="25" t="s">
        <v>181</v>
      </c>
      <c r="G352" s="25" t="s">
        <v>77</v>
      </c>
      <c r="H352" s="25" t="s">
        <v>1577</v>
      </c>
      <c r="I352" s="25" t="s">
        <v>139</v>
      </c>
      <c r="J352" s="25" t="s">
        <v>107</v>
      </c>
      <c r="K352" s="25" t="s">
        <v>47</v>
      </c>
      <c r="L352" s="25" t="s">
        <v>79</v>
      </c>
      <c r="M352" s="25">
        <v>15</v>
      </c>
      <c r="N352" s="25">
        <v>1200</v>
      </c>
      <c r="O352" s="25">
        <v>0</v>
      </c>
      <c r="P352" s="25">
        <v>18000</v>
      </c>
      <c r="Q352" s="25">
        <v>3</v>
      </c>
      <c r="R352" s="25" t="s">
        <v>49</v>
      </c>
      <c r="S352" s="25" t="s">
        <v>62</v>
      </c>
      <c r="T352" s="25" t="s">
        <v>90</v>
      </c>
      <c r="U352" s="25" t="s">
        <v>1578</v>
      </c>
      <c r="V352" s="25" t="s">
        <v>70</v>
      </c>
      <c r="W352" s="26">
        <v>46082</v>
      </c>
    </row>
    <row r="353" spans="1:23" ht="15.75" customHeight="1">
      <c r="A353" s="25" t="s">
        <v>1579</v>
      </c>
      <c r="B353" s="25" t="s">
        <v>252</v>
      </c>
      <c r="C353" s="25" t="s">
        <v>73</v>
      </c>
      <c r="D353" s="25" t="s">
        <v>162</v>
      </c>
      <c r="E353" s="25" t="s">
        <v>658</v>
      </c>
      <c r="F353" s="25" t="s">
        <v>255</v>
      </c>
      <c r="G353" s="25" t="s">
        <v>29</v>
      </c>
      <c r="H353" s="25" t="s">
        <v>1580</v>
      </c>
      <c r="I353" s="25" t="s">
        <v>106</v>
      </c>
      <c r="J353" s="25" t="s">
        <v>107</v>
      </c>
      <c r="K353" s="25" t="s">
        <v>47</v>
      </c>
      <c r="L353" s="25" t="s">
        <v>79</v>
      </c>
      <c r="M353" s="25">
        <v>19</v>
      </c>
      <c r="N353" s="25">
        <v>1200</v>
      </c>
      <c r="O353" s="25">
        <v>0</v>
      </c>
      <c r="P353" s="25">
        <v>22800</v>
      </c>
      <c r="Q353" s="25">
        <v>1</v>
      </c>
      <c r="R353" s="25" t="s">
        <v>35</v>
      </c>
      <c r="S353" s="25" t="s">
        <v>50</v>
      </c>
      <c r="T353" s="25" t="s">
        <v>257</v>
      </c>
      <c r="U353" s="25" t="s">
        <v>1581</v>
      </c>
      <c r="V353" s="25" t="s">
        <v>70</v>
      </c>
      <c r="W353" s="26">
        <v>46113</v>
      </c>
    </row>
    <row r="354" spans="1:23" ht="15.75" customHeight="1">
      <c r="A354" s="25" t="s">
        <v>1582</v>
      </c>
      <c r="B354" s="25" t="s">
        <v>169</v>
      </c>
      <c r="C354" s="25" t="s">
        <v>41</v>
      </c>
      <c r="D354" s="25" t="s">
        <v>26</v>
      </c>
      <c r="E354" s="25" t="s">
        <v>1583</v>
      </c>
      <c r="F354" s="25" t="s">
        <v>362</v>
      </c>
      <c r="G354" s="25" t="s">
        <v>29</v>
      </c>
      <c r="H354" s="25" t="s">
        <v>1584</v>
      </c>
      <c r="I354" s="25" t="s">
        <v>106</v>
      </c>
      <c r="J354" s="25" t="s">
        <v>107</v>
      </c>
      <c r="K354" s="25" t="s">
        <v>47</v>
      </c>
      <c r="L354" s="25" t="s">
        <v>48</v>
      </c>
      <c r="M354" s="25">
        <v>9</v>
      </c>
      <c r="N354" s="25">
        <v>12000</v>
      </c>
      <c r="O354" s="25">
        <v>15</v>
      </c>
      <c r="P354" s="25">
        <v>91800</v>
      </c>
      <c r="Q354" s="25">
        <v>3</v>
      </c>
      <c r="R354" s="25" t="s">
        <v>89</v>
      </c>
      <c r="S354" s="25" t="s">
        <v>50</v>
      </c>
      <c r="T354" s="25" t="s">
        <v>176</v>
      </c>
      <c r="U354" s="25" t="s">
        <v>1585</v>
      </c>
      <c r="V354" s="25" t="s">
        <v>70</v>
      </c>
      <c r="W354" s="26">
        <v>45901</v>
      </c>
    </row>
    <row r="355" spans="1:23" ht="15.75" customHeight="1">
      <c r="A355" s="25" t="s">
        <v>1586</v>
      </c>
      <c r="B355" s="25" t="s">
        <v>24</v>
      </c>
      <c r="C355" s="25" t="s">
        <v>260</v>
      </c>
      <c r="D355" s="25" t="s">
        <v>346</v>
      </c>
      <c r="E355" s="25" t="s">
        <v>794</v>
      </c>
      <c r="F355" s="25" t="s">
        <v>28</v>
      </c>
      <c r="G355" s="25" t="s">
        <v>29</v>
      </c>
      <c r="H355" s="25" t="s">
        <v>1587</v>
      </c>
      <c r="I355" s="25" t="s">
        <v>213</v>
      </c>
      <c r="J355" s="25" t="s">
        <v>46</v>
      </c>
      <c r="K355" s="25" t="s">
        <v>123</v>
      </c>
      <c r="L355" s="25" t="s">
        <v>264</v>
      </c>
      <c r="M355" s="25">
        <v>5</v>
      </c>
      <c r="N355" s="25">
        <v>45</v>
      </c>
      <c r="O355" s="25">
        <v>5</v>
      </c>
      <c r="P355" s="25">
        <v>213.75</v>
      </c>
      <c r="Q355" s="25">
        <v>1</v>
      </c>
      <c r="R355" s="25" t="s">
        <v>80</v>
      </c>
      <c r="S355" s="25" t="s">
        <v>116</v>
      </c>
      <c r="T355" s="25" t="s">
        <v>51</v>
      </c>
      <c r="U355" s="25" t="s">
        <v>1588</v>
      </c>
      <c r="V355" s="25" t="s">
        <v>39</v>
      </c>
      <c r="W355" s="26">
        <v>45931</v>
      </c>
    </row>
    <row r="356" spans="1:23" ht="15.75" customHeight="1">
      <c r="A356" s="25" t="s">
        <v>1589</v>
      </c>
      <c r="B356" s="25" t="s">
        <v>252</v>
      </c>
      <c r="C356" s="25" t="s">
        <v>185</v>
      </c>
      <c r="D356" s="25" t="s">
        <v>1590</v>
      </c>
      <c r="E356" s="25" t="s">
        <v>1374</v>
      </c>
      <c r="F356" s="25" t="s">
        <v>255</v>
      </c>
      <c r="G356" s="25" t="s">
        <v>29</v>
      </c>
      <c r="H356" s="25" t="s">
        <v>1591</v>
      </c>
      <c r="I356" s="25" t="s">
        <v>106</v>
      </c>
      <c r="J356" s="25" t="s">
        <v>107</v>
      </c>
      <c r="K356" s="25" t="s">
        <v>47</v>
      </c>
      <c r="L356" s="25" t="s">
        <v>190</v>
      </c>
      <c r="M356" s="25">
        <v>3</v>
      </c>
      <c r="N356" s="25">
        <v>700</v>
      </c>
      <c r="O356" s="25">
        <v>15</v>
      </c>
      <c r="P356" s="25">
        <v>1785</v>
      </c>
      <c r="Q356" s="25">
        <v>4</v>
      </c>
      <c r="R356" s="25" t="s">
        <v>35</v>
      </c>
      <c r="S356" s="25" t="s">
        <v>152</v>
      </c>
      <c r="T356" s="25" t="s">
        <v>257</v>
      </c>
      <c r="U356" s="25" t="s">
        <v>1592</v>
      </c>
      <c r="V356" s="25" t="s">
        <v>39</v>
      </c>
      <c r="W356" s="26"/>
    </row>
    <row r="357" spans="1:23" ht="15.75" customHeight="1">
      <c r="A357" s="25" t="s">
        <v>1593</v>
      </c>
      <c r="B357" s="25" t="s">
        <v>72</v>
      </c>
      <c r="C357" s="25" t="s">
        <v>170</v>
      </c>
      <c r="D357" s="25" t="s">
        <v>455</v>
      </c>
      <c r="E357" s="25" t="s">
        <v>962</v>
      </c>
      <c r="F357" s="25" t="s">
        <v>218</v>
      </c>
      <c r="G357" s="25" t="s">
        <v>77</v>
      </c>
      <c r="H357" s="25" t="s">
        <v>1594</v>
      </c>
      <c r="I357" s="25" t="s">
        <v>213</v>
      </c>
      <c r="J357" s="25" t="s">
        <v>46</v>
      </c>
      <c r="K357" s="25" t="s">
        <v>33</v>
      </c>
      <c r="L357" s="25" t="s">
        <v>175</v>
      </c>
      <c r="M357" s="25">
        <v>12</v>
      </c>
      <c r="N357" s="25">
        <v>8500</v>
      </c>
      <c r="O357" s="25">
        <v>5</v>
      </c>
      <c r="P357" s="25">
        <v>96900</v>
      </c>
      <c r="Q357" s="25">
        <v>3</v>
      </c>
      <c r="R357" s="25" t="s">
        <v>80</v>
      </c>
      <c r="S357" s="25" t="s">
        <v>62</v>
      </c>
      <c r="T357" s="25" t="s">
        <v>81</v>
      </c>
      <c r="U357" s="25" t="s">
        <v>1595</v>
      </c>
      <c r="V357" s="25" t="s">
        <v>65</v>
      </c>
      <c r="W357" s="26">
        <v>45992</v>
      </c>
    </row>
    <row r="358" spans="1:23" ht="15.75" customHeight="1">
      <c r="A358" s="25" t="s">
        <v>1596</v>
      </c>
      <c r="B358" s="25" t="s">
        <v>252</v>
      </c>
      <c r="C358" s="25" t="s">
        <v>170</v>
      </c>
      <c r="D358" s="25" t="s">
        <v>163</v>
      </c>
      <c r="E358" s="25" t="s">
        <v>357</v>
      </c>
      <c r="F358" s="25" t="s">
        <v>255</v>
      </c>
      <c r="G358" s="25" t="s">
        <v>29</v>
      </c>
      <c r="H358" s="25" t="s">
        <v>1597</v>
      </c>
      <c r="I358" s="25" t="s">
        <v>115</v>
      </c>
      <c r="J358" s="25" t="s">
        <v>107</v>
      </c>
      <c r="K358" s="25" t="s">
        <v>33</v>
      </c>
      <c r="L358" s="25" t="s">
        <v>175</v>
      </c>
      <c r="M358" s="25">
        <v>4</v>
      </c>
      <c r="N358" s="25">
        <v>8500</v>
      </c>
      <c r="O358" s="25">
        <v>15</v>
      </c>
      <c r="P358" s="25">
        <v>28900</v>
      </c>
      <c r="Q358" s="25">
        <v>4</v>
      </c>
      <c r="R358" s="25" t="s">
        <v>49</v>
      </c>
      <c r="S358" s="25" t="s">
        <v>62</v>
      </c>
      <c r="T358" s="25" t="s">
        <v>257</v>
      </c>
      <c r="U358" s="25" t="s">
        <v>1598</v>
      </c>
      <c r="V358" s="25" t="s">
        <v>65</v>
      </c>
      <c r="W358" s="26">
        <v>46113</v>
      </c>
    </row>
    <row r="359" spans="1:23" ht="15.75" customHeight="1">
      <c r="A359" s="25" t="s">
        <v>1599</v>
      </c>
      <c r="B359" s="25" t="s">
        <v>128</v>
      </c>
      <c r="C359" s="25" t="s">
        <v>223</v>
      </c>
      <c r="D359" s="25" t="s">
        <v>103</v>
      </c>
      <c r="E359" s="25" t="s">
        <v>954</v>
      </c>
      <c r="F359" s="25" t="s">
        <v>201</v>
      </c>
      <c r="G359" s="25" t="s">
        <v>77</v>
      </c>
      <c r="H359" s="25" t="s">
        <v>1600</v>
      </c>
      <c r="I359" s="25" t="s">
        <v>213</v>
      </c>
      <c r="J359" s="25" t="s">
        <v>46</v>
      </c>
      <c r="K359" s="25" t="s">
        <v>123</v>
      </c>
      <c r="L359" s="25" t="s">
        <v>228</v>
      </c>
      <c r="M359" s="25">
        <v>16</v>
      </c>
      <c r="N359" s="25">
        <v>20</v>
      </c>
      <c r="O359" s="25">
        <v>10</v>
      </c>
      <c r="P359" s="25">
        <v>288</v>
      </c>
      <c r="Q359" s="25">
        <v>4</v>
      </c>
      <c r="R359" s="25" t="s">
        <v>35</v>
      </c>
      <c r="S359" s="25" t="s">
        <v>116</v>
      </c>
      <c r="T359" s="25" t="s">
        <v>133</v>
      </c>
      <c r="U359" s="25" t="s">
        <v>1601</v>
      </c>
      <c r="V359" s="25" t="s">
        <v>70</v>
      </c>
      <c r="W359" s="26">
        <v>45748</v>
      </c>
    </row>
    <row r="360" spans="1:23" ht="15.75" customHeight="1">
      <c r="A360" s="25" t="s">
        <v>1602</v>
      </c>
      <c r="B360" s="25" t="s">
        <v>128</v>
      </c>
      <c r="C360" s="25" t="s">
        <v>119</v>
      </c>
      <c r="D360" s="25" t="s">
        <v>602</v>
      </c>
      <c r="E360" s="25" t="s">
        <v>1603</v>
      </c>
      <c r="F360" s="25" t="s">
        <v>201</v>
      </c>
      <c r="G360" s="25" t="s">
        <v>77</v>
      </c>
      <c r="H360" s="25" t="s">
        <v>1604</v>
      </c>
      <c r="I360" s="25" t="s">
        <v>106</v>
      </c>
      <c r="J360" s="25" t="s">
        <v>107</v>
      </c>
      <c r="K360" s="25" t="s">
        <v>123</v>
      </c>
      <c r="L360" s="25" t="s">
        <v>124</v>
      </c>
      <c r="M360" s="25">
        <v>3</v>
      </c>
      <c r="N360" s="25">
        <v>60</v>
      </c>
      <c r="O360" s="25">
        <v>20</v>
      </c>
      <c r="P360" s="25">
        <v>144</v>
      </c>
      <c r="Q360" s="25">
        <v>4</v>
      </c>
      <c r="R360" s="25" t="s">
        <v>89</v>
      </c>
      <c r="S360" s="25" t="s">
        <v>152</v>
      </c>
      <c r="T360" s="25" t="s">
        <v>133</v>
      </c>
      <c r="U360" s="25" t="s">
        <v>1605</v>
      </c>
      <c r="V360" s="25" t="s">
        <v>65</v>
      </c>
      <c r="W360" s="26">
        <v>46143</v>
      </c>
    </row>
    <row r="361" spans="1:23" ht="15.75" customHeight="1">
      <c r="A361" s="25" t="s">
        <v>1606</v>
      </c>
      <c r="B361" s="25" t="s">
        <v>72</v>
      </c>
      <c r="C361" s="25" t="s">
        <v>25</v>
      </c>
      <c r="D361" s="25" t="s">
        <v>1107</v>
      </c>
      <c r="E361" s="25" t="s">
        <v>156</v>
      </c>
      <c r="F361" s="25" t="s">
        <v>218</v>
      </c>
      <c r="G361" s="25" t="s">
        <v>77</v>
      </c>
      <c r="H361" s="25" t="s">
        <v>1607</v>
      </c>
      <c r="I361" s="25" t="s">
        <v>106</v>
      </c>
      <c r="J361" s="25" t="s">
        <v>107</v>
      </c>
      <c r="K361" s="25" t="s">
        <v>33</v>
      </c>
      <c r="L361" s="25" t="s">
        <v>34</v>
      </c>
      <c r="M361" s="25">
        <v>19</v>
      </c>
      <c r="N361" s="25">
        <v>2200</v>
      </c>
      <c r="O361" s="25">
        <v>10</v>
      </c>
      <c r="P361" s="25">
        <v>37620</v>
      </c>
      <c r="Q361" s="25">
        <v>2</v>
      </c>
      <c r="R361" s="25" t="s">
        <v>35</v>
      </c>
      <c r="S361" s="25" t="s">
        <v>152</v>
      </c>
      <c r="T361" s="25" t="s">
        <v>81</v>
      </c>
      <c r="U361" s="25" t="s">
        <v>1608</v>
      </c>
      <c r="V361" s="25" t="s">
        <v>65</v>
      </c>
      <c r="W361" s="26">
        <v>45839</v>
      </c>
    </row>
    <row r="362" spans="1:23" ht="15.75" customHeight="1">
      <c r="A362" s="25" t="s">
        <v>1609</v>
      </c>
      <c r="B362" s="25" t="s">
        <v>72</v>
      </c>
      <c r="C362" s="25" t="s">
        <v>73</v>
      </c>
      <c r="D362" s="25" t="s">
        <v>1610</v>
      </c>
      <c r="E362" s="25" t="s">
        <v>589</v>
      </c>
      <c r="F362" s="25" t="s">
        <v>218</v>
      </c>
      <c r="G362" s="25" t="s">
        <v>77</v>
      </c>
      <c r="H362" s="25" t="s">
        <v>1611</v>
      </c>
      <c r="I362" s="25" t="s">
        <v>31</v>
      </c>
      <c r="J362" s="25" t="s">
        <v>32</v>
      </c>
      <c r="K362" s="25" t="s">
        <v>47</v>
      </c>
      <c r="L362" s="25" t="s">
        <v>79</v>
      </c>
      <c r="M362" s="25">
        <v>7</v>
      </c>
      <c r="N362" s="25">
        <v>1200</v>
      </c>
      <c r="O362" s="25">
        <v>20</v>
      </c>
      <c r="P362" s="25">
        <v>6720</v>
      </c>
      <c r="Q362" s="25">
        <v>3</v>
      </c>
      <c r="R362" s="25" t="s">
        <v>80</v>
      </c>
      <c r="S362" s="25" t="s">
        <v>116</v>
      </c>
      <c r="T362" s="25" t="s">
        <v>81</v>
      </c>
      <c r="U362" s="25" t="s">
        <v>1612</v>
      </c>
      <c r="V362" s="25" t="s">
        <v>70</v>
      </c>
      <c r="W362" s="26">
        <v>46023</v>
      </c>
    </row>
    <row r="363" spans="1:23" ht="15.75" customHeight="1">
      <c r="A363" s="25" t="s">
        <v>1613</v>
      </c>
      <c r="B363" s="25" t="s">
        <v>54</v>
      </c>
      <c r="C363" s="25" t="s">
        <v>223</v>
      </c>
      <c r="D363" s="25" t="s">
        <v>544</v>
      </c>
      <c r="E363" s="25" t="s">
        <v>66</v>
      </c>
      <c r="F363" s="25" t="s">
        <v>164</v>
      </c>
      <c r="G363" s="25" t="s">
        <v>29</v>
      </c>
      <c r="H363" s="25" t="s">
        <v>1614</v>
      </c>
      <c r="I363" s="25" t="s">
        <v>60</v>
      </c>
      <c r="J363" s="25" t="s">
        <v>32</v>
      </c>
      <c r="K363" s="25" t="s">
        <v>123</v>
      </c>
      <c r="L363" s="25" t="s">
        <v>228</v>
      </c>
      <c r="M363" s="25">
        <v>20</v>
      </c>
      <c r="N363" s="25">
        <v>20</v>
      </c>
      <c r="O363" s="25">
        <v>20</v>
      </c>
      <c r="P363" s="25">
        <v>320</v>
      </c>
      <c r="Q363" s="25">
        <v>5</v>
      </c>
      <c r="R363" s="25" t="s">
        <v>80</v>
      </c>
      <c r="S363" s="25" t="s">
        <v>116</v>
      </c>
      <c r="T363" s="25" t="s">
        <v>63</v>
      </c>
      <c r="U363" s="25" t="s">
        <v>1615</v>
      </c>
      <c r="V363" s="25" t="s">
        <v>65</v>
      </c>
      <c r="W363" s="26">
        <v>46082</v>
      </c>
    </row>
    <row r="364" spans="1:23" ht="15.75" customHeight="1">
      <c r="A364" s="25" t="s">
        <v>1616</v>
      </c>
      <c r="B364" s="25" t="s">
        <v>101</v>
      </c>
      <c r="C364" s="25" t="s">
        <v>73</v>
      </c>
      <c r="D364" s="25" t="s">
        <v>211</v>
      </c>
      <c r="E364" s="25" t="s">
        <v>1617</v>
      </c>
      <c r="F364" s="25" t="s">
        <v>104</v>
      </c>
      <c r="G364" s="25" t="s">
        <v>29</v>
      </c>
      <c r="H364" s="25" t="s">
        <v>1618</v>
      </c>
      <c r="I364" s="25" t="s">
        <v>31</v>
      </c>
      <c r="J364" s="25" t="s">
        <v>32</v>
      </c>
      <c r="K364" s="25" t="s">
        <v>47</v>
      </c>
      <c r="L364" s="25" t="s">
        <v>79</v>
      </c>
      <c r="M364" s="25">
        <v>19</v>
      </c>
      <c r="N364" s="25">
        <v>1200</v>
      </c>
      <c r="O364" s="25">
        <v>5</v>
      </c>
      <c r="P364" s="25">
        <v>21660</v>
      </c>
      <c r="Q364" s="25">
        <v>3</v>
      </c>
      <c r="R364" s="25" t="s">
        <v>80</v>
      </c>
      <c r="S364" s="25" t="s">
        <v>36</v>
      </c>
      <c r="T364" s="25" t="s">
        <v>145</v>
      </c>
      <c r="U364" s="25" t="s">
        <v>1619</v>
      </c>
      <c r="V364" s="25" t="s">
        <v>65</v>
      </c>
      <c r="W364" s="26">
        <v>45748</v>
      </c>
    </row>
    <row r="365" spans="1:23" ht="15.75" customHeight="1">
      <c r="A365" s="25" t="s">
        <v>1620</v>
      </c>
      <c r="B365" s="25" t="s">
        <v>54</v>
      </c>
      <c r="C365" s="25" t="s">
        <v>223</v>
      </c>
      <c r="D365" s="25" t="s">
        <v>1621</v>
      </c>
      <c r="E365" s="25" t="s">
        <v>303</v>
      </c>
      <c r="F365" s="25" t="s">
        <v>164</v>
      </c>
      <c r="G365" s="25" t="s">
        <v>29</v>
      </c>
      <c r="H365" s="25" t="s">
        <v>1622</v>
      </c>
      <c r="I365" s="25" t="s">
        <v>31</v>
      </c>
      <c r="J365" s="25" t="s">
        <v>32</v>
      </c>
      <c r="K365" s="25" t="s">
        <v>123</v>
      </c>
      <c r="L365" s="25" t="s">
        <v>228</v>
      </c>
      <c r="M365" s="25">
        <v>5</v>
      </c>
      <c r="N365" s="25">
        <v>20</v>
      </c>
      <c r="O365" s="25">
        <v>0</v>
      </c>
      <c r="P365" s="25">
        <v>100</v>
      </c>
      <c r="Q365" s="25">
        <v>2</v>
      </c>
      <c r="R365" s="25" t="s">
        <v>89</v>
      </c>
      <c r="S365" s="25" t="s">
        <v>50</v>
      </c>
      <c r="T365" s="25" t="s">
        <v>63</v>
      </c>
      <c r="U365" s="25" t="s">
        <v>1623</v>
      </c>
      <c r="V365" s="25" t="s">
        <v>65</v>
      </c>
      <c r="W365" s="26">
        <v>45689</v>
      </c>
    </row>
    <row r="366" spans="1:23" ht="15.75" customHeight="1">
      <c r="A366" s="25" t="s">
        <v>1624</v>
      </c>
      <c r="B366" s="25" t="s">
        <v>101</v>
      </c>
      <c r="C366" s="25" t="s">
        <v>260</v>
      </c>
      <c r="D366" s="25" t="s">
        <v>798</v>
      </c>
      <c r="E366" s="25" t="s">
        <v>544</v>
      </c>
      <c r="F366" s="25" t="s">
        <v>104</v>
      </c>
      <c r="G366" s="25" t="s">
        <v>29</v>
      </c>
      <c r="H366" s="25" t="s">
        <v>1625</v>
      </c>
      <c r="I366" s="25" t="s">
        <v>213</v>
      </c>
      <c r="J366" s="25" t="s">
        <v>46</v>
      </c>
      <c r="K366" s="25" t="s">
        <v>123</v>
      </c>
      <c r="L366" s="25" t="s">
        <v>264</v>
      </c>
      <c r="M366" s="25">
        <v>16</v>
      </c>
      <c r="N366" s="25">
        <v>45</v>
      </c>
      <c r="O366" s="25">
        <v>15</v>
      </c>
      <c r="P366" s="25">
        <v>612</v>
      </c>
      <c r="Q366" s="25">
        <v>5</v>
      </c>
      <c r="R366" s="25" t="s">
        <v>35</v>
      </c>
      <c r="S366" s="25" t="s">
        <v>62</v>
      </c>
      <c r="T366" s="25" t="s">
        <v>145</v>
      </c>
      <c r="U366" s="25" t="s">
        <v>1626</v>
      </c>
      <c r="V366" s="25" t="s">
        <v>70</v>
      </c>
      <c r="W366" s="26">
        <v>46082</v>
      </c>
    </row>
    <row r="367" spans="1:23" ht="15.75" customHeight="1">
      <c r="A367" s="25" t="s">
        <v>1627</v>
      </c>
      <c r="B367" s="25" t="s">
        <v>24</v>
      </c>
      <c r="C367" s="25" t="s">
        <v>25</v>
      </c>
      <c r="D367" s="25" t="s">
        <v>1264</v>
      </c>
      <c r="E367" s="25" t="s">
        <v>945</v>
      </c>
      <c r="F367" s="25" t="s">
        <v>28</v>
      </c>
      <c r="G367" s="25" t="s">
        <v>29</v>
      </c>
      <c r="H367" s="25" t="s">
        <v>1628</v>
      </c>
      <c r="I367" s="25" t="s">
        <v>213</v>
      </c>
      <c r="J367" s="25" t="s">
        <v>46</v>
      </c>
      <c r="K367" s="25" t="s">
        <v>33</v>
      </c>
      <c r="L367" s="25" t="s">
        <v>34</v>
      </c>
      <c r="M367" s="25">
        <v>1</v>
      </c>
      <c r="N367" s="25">
        <v>2200</v>
      </c>
      <c r="O367" s="25">
        <v>10</v>
      </c>
      <c r="P367" s="25">
        <v>1980</v>
      </c>
      <c r="Q367" s="25">
        <v>5</v>
      </c>
      <c r="R367" s="25" t="s">
        <v>80</v>
      </c>
      <c r="S367" s="25" t="s">
        <v>50</v>
      </c>
      <c r="T367" s="25" t="s">
        <v>51</v>
      </c>
      <c r="U367" s="25" t="s">
        <v>1629</v>
      </c>
      <c r="V367" s="25" t="s">
        <v>39</v>
      </c>
      <c r="W367" s="26">
        <v>45778</v>
      </c>
    </row>
    <row r="368" spans="1:23" ht="15.75" customHeight="1">
      <c r="A368" s="25" t="s">
        <v>1630</v>
      </c>
      <c r="B368" s="25" t="s">
        <v>54</v>
      </c>
      <c r="C368" s="25" t="s">
        <v>119</v>
      </c>
      <c r="D368" s="25" t="s">
        <v>892</v>
      </c>
      <c r="E368" s="25" t="s">
        <v>1631</v>
      </c>
      <c r="F368" s="25" t="s">
        <v>164</v>
      </c>
      <c r="G368" s="25" t="s">
        <v>29</v>
      </c>
      <c r="H368" s="25" t="s">
        <v>1632</v>
      </c>
      <c r="I368" s="25" t="s">
        <v>31</v>
      </c>
      <c r="J368" s="25" t="s">
        <v>32</v>
      </c>
      <c r="K368" s="25" t="s">
        <v>123</v>
      </c>
      <c r="L368" s="25" t="s">
        <v>124</v>
      </c>
      <c r="M368" s="25">
        <v>19</v>
      </c>
      <c r="N368" s="25">
        <v>60</v>
      </c>
      <c r="O368" s="25">
        <v>15</v>
      </c>
      <c r="P368" s="25">
        <v>969</v>
      </c>
      <c r="Q368" s="25">
        <v>4</v>
      </c>
      <c r="R368" s="25" t="s">
        <v>49</v>
      </c>
      <c r="S368" s="25" t="s">
        <v>116</v>
      </c>
      <c r="T368" s="25" t="s">
        <v>63</v>
      </c>
      <c r="U368" s="25" t="s">
        <v>1633</v>
      </c>
      <c r="V368" s="25" t="s">
        <v>70</v>
      </c>
      <c r="W368" s="26">
        <v>46113</v>
      </c>
    </row>
    <row r="369" spans="1:23" ht="15.75" customHeight="1">
      <c r="A369" s="25" t="s">
        <v>1634</v>
      </c>
      <c r="B369" s="25" t="s">
        <v>328</v>
      </c>
      <c r="C369" s="25" t="s">
        <v>55</v>
      </c>
      <c r="D369" s="25" t="s">
        <v>65</v>
      </c>
      <c r="E369" s="25" t="s">
        <v>1635</v>
      </c>
      <c r="F369" s="25" t="s">
        <v>395</v>
      </c>
      <c r="G369" s="25" t="s">
        <v>77</v>
      </c>
      <c r="H369" s="25" t="s">
        <v>1636</v>
      </c>
      <c r="I369" s="25" t="s">
        <v>45</v>
      </c>
      <c r="J369" s="25" t="s">
        <v>46</v>
      </c>
      <c r="K369" s="25" t="s">
        <v>47</v>
      </c>
      <c r="L369" s="25" t="s">
        <v>61</v>
      </c>
      <c r="M369" s="25">
        <v>15</v>
      </c>
      <c r="N369" s="25">
        <v>55000</v>
      </c>
      <c r="O369" s="25">
        <v>0</v>
      </c>
      <c r="P369" s="25">
        <v>825000</v>
      </c>
      <c r="Q369" s="25">
        <v>5</v>
      </c>
      <c r="R369" s="25" t="s">
        <v>80</v>
      </c>
      <c r="S369" s="25" t="s">
        <v>116</v>
      </c>
      <c r="T369" s="25" t="s">
        <v>333</v>
      </c>
      <c r="U369" s="25" t="s">
        <v>1637</v>
      </c>
      <c r="V369" s="25" t="s">
        <v>70</v>
      </c>
      <c r="W369" s="26"/>
    </row>
    <row r="370" spans="1:23" ht="15.75" customHeight="1">
      <c r="A370" s="25" t="s">
        <v>1638</v>
      </c>
      <c r="B370" s="25" t="s">
        <v>72</v>
      </c>
      <c r="C370" s="25" t="s">
        <v>260</v>
      </c>
      <c r="D370" s="25" t="s">
        <v>942</v>
      </c>
      <c r="E370" s="25" t="s">
        <v>1639</v>
      </c>
      <c r="F370" s="25" t="s">
        <v>218</v>
      </c>
      <c r="G370" s="25" t="s">
        <v>77</v>
      </c>
      <c r="H370" s="25" t="s">
        <v>1640</v>
      </c>
      <c r="I370" s="25" t="s">
        <v>60</v>
      </c>
      <c r="J370" s="25" t="s">
        <v>32</v>
      </c>
      <c r="K370" s="25" t="s">
        <v>123</v>
      </c>
      <c r="L370" s="25" t="s">
        <v>264</v>
      </c>
      <c r="M370" s="25">
        <v>11</v>
      </c>
      <c r="N370" s="25">
        <v>45</v>
      </c>
      <c r="O370" s="25">
        <v>5</v>
      </c>
      <c r="P370" s="25">
        <v>470.25</v>
      </c>
      <c r="Q370" s="25">
        <v>5</v>
      </c>
      <c r="R370" s="25" t="s">
        <v>49</v>
      </c>
      <c r="S370" s="25" t="s">
        <v>152</v>
      </c>
      <c r="T370" s="25" t="s">
        <v>81</v>
      </c>
      <c r="U370" s="25" t="s">
        <v>1641</v>
      </c>
      <c r="V370" s="25" t="s">
        <v>39</v>
      </c>
      <c r="W370" s="26">
        <v>45931</v>
      </c>
    </row>
    <row r="371" spans="1:23" ht="15.75" customHeight="1">
      <c r="A371" s="25" t="s">
        <v>1642</v>
      </c>
      <c r="B371" s="25" t="s">
        <v>252</v>
      </c>
      <c r="C371" s="25" t="s">
        <v>223</v>
      </c>
      <c r="D371" s="25" t="s">
        <v>1643</v>
      </c>
      <c r="E371" s="25" t="s">
        <v>1644</v>
      </c>
      <c r="F371" s="25" t="s">
        <v>255</v>
      </c>
      <c r="G371" s="25" t="s">
        <v>29</v>
      </c>
      <c r="H371" s="25" t="s">
        <v>1645</v>
      </c>
      <c r="I371" s="25" t="s">
        <v>213</v>
      </c>
      <c r="J371" s="25" t="s">
        <v>46</v>
      </c>
      <c r="K371" s="25" t="s">
        <v>123</v>
      </c>
      <c r="L371" s="25" t="s">
        <v>228</v>
      </c>
      <c r="M371" s="25">
        <v>9</v>
      </c>
      <c r="N371" s="25">
        <v>20</v>
      </c>
      <c r="O371" s="25">
        <v>10</v>
      </c>
      <c r="P371" s="25">
        <v>162</v>
      </c>
      <c r="Q371" s="25">
        <v>1</v>
      </c>
      <c r="R371" s="25" t="s">
        <v>80</v>
      </c>
      <c r="S371" s="25" t="s">
        <v>50</v>
      </c>
      <c r="T371" s="25" t="s">
        <v>257</v>
      </c>
      <c r="U371" s="25" t="s">
        <v>1646</v>
      </c>
      <c r="V371" s="25" t="s">
        <v>70</v>
      </c>
      <c r="W371" s="26">
        <v>45809</v>
      </c>
    </row>
    <row r="372" spans="1:23" ht="15.75" customHeight="1">
      <c r="A372" s="25" t="s">
        <v>1647</v>
      </c>
      <c r="B372" s="25" t="s">
        <v>169</v>
      </c>
      <c r="C372" s="25" t="s">
        <v>260</v>
      </c>
      <c r="D372" s="25" t="s">
        <v>646</v>
      </c>
      <c r="E372" s="25" t="s">
        <v>981</v>
      </c>
      <c r="F372" s="25" t="s">
        <v>362</v>
      </c>
      <c r="G372" s="25" t="s">
        <v>29</v>
      </c>
      <c r="H372" s="25" t="s">
        <v>1648</v>
      </c>
      <c r="I372" s="25" t="s">
        <v>60</v>
      </c>
      <c r="J372" s="25" t="s">
        <v>32</v>
      </c>
      <c r="K372" s="25" t="s">
        <v>123</v>
      </c>
      <c r="L372" s="25" t="s">
        <v>264</v>
      </c>
      <c r="M372" s="25">
        <v>5</v>
      </c>
      <c r="N372" s="25">
        <v>45</v>
      </c>
      <c r="O372" s="25">
        <v>5</v>
      </c>
      <c r="P372" s="25">
        <v>213.75</v>
      </c>
      <c r="Q372" s="25">
        <v>3</v>
      </c>
      <c r="R372" s="25" t="s">
        <v>80</v>
      </c>
      <c r="S372" s="25" t="s">
        <v>116</v>
      </c>
      <c r="T372" s="25" t="s">
        <v>176</v>
      </c>
      <c r="U372" s="25" t="s">
        <v>1649</v>
      </c>
      <c r="V372" s="25" t="s">
        <v>65</v>
      </c>
      <c r="W372" s="26">
        <v>45962</v>
      </c>
    </row>
    <row r="373" spans="1:23" ht="15.75" customHeight="1">
      <c r="A373" s="25" t="s">
        <v>1650</v>
      </c>
      <c r="B373" s="25" t="s">
        <v>84</v>
      </c>
      <c r="C373" s="25" t="s">
        <v>185</v>
      </c>
      <c r="D373" s="25" t="s">
        <v>1651</v>
      </c>
      <c r="E373" s="25" t="s">
        <v>1103</v>
      </c>
      <c r="F373" s="25" t="s">
        <v>181</v>
      </c>
      <c r="G373" s="25" t="s">
        <v>77</v>
      </c>
      <c r="H373" s="25" t="s">
        <v>1652</v>
      </c>
      <c r="I373" s="25" t="s">
        <v>31</v>
      </c>
      <c r="J373" s="25" t="s">
        <v>32</v>
      </c>
      <c r="K373" s="25" t="s">
        <v>47</v>
      </c>
      <c r="L373" s="25" t="s">
        <v>190</v>
      </c>
      <c r="M373" s="25">
        <v>5</v>
      </c>
      <c r="N373" s="25">
        <v>700</v>
      </c>
      <c r="O373" s="25">
        <v>10</v>
      </c>
      <c r="P373" s="25">
        <v>3150</v>
      </c>
      <c r="Q373" s="25">
        <v>2</v>
      </c>
      <c r="R373" s="25" t="s">
        <v>89</v>
      </c>
      <c r="S373" s="25" t="s">
        <v>50</v>
      </c>
      <c r="T373" s="25" t="s">
        <v>90</v>
      </c>
      <c r="U373" s="25" t="s">
        <v>1653</v>
      </c>
      <c r="V373" s="25" t="s">
        <v>39</v>
      </c>
      <c r="W373" s="26">
        <v>45962</v>
      </c>
    </row>
    <row r="374" spans="1:23" ht="15.75" customHeight="1">
      <c r="A374" s="25" t="s">
        <v>1654</v>
      </c>
      <c r="B374" s="25" t="s">
        <v>222</v>
      </c>
      <c r="C374" s="25" t="s">
        <v>185</v>
      </c>
      <c r="D374" s="25" t="s">
        <v>958</v>
      </c>
      <c r="E374" s="25" t="s">
        <v>1655</v>
      </c>
      <c r="F374" s="25" t="s">
        <v>226</v>
      </c>
      <c r="G374" s="25" t="s">
        <v>77</v>
      </c>
      <c r="H374" s="25" t="s">
        <v>1656</v>
      </c>
      <c r="I374" s="25" t="s">
        <v>295</v>
      </c>
      <c r="J374" s="25" t="s">
        <v>296</v>
      </c>
      <c r="K374" s="25" t="s">
        <v>47</v>
      </c>
      <c r="L374" s="25" t="s">
        <v>190</v>
      </c>
      <c r="M374" s="25">
        <v>1</v>
      </c>
      <c r="N374" s="25">
        <v>700</v>
      </c>
      <c r="O374" s="25">
        <v>0</v>
      </c>
      <c r="P374" s="25">
        <v>700</v>
      </c>
      <c r="Q374" s="25">
        <v>1</v>
      </c>
      <c r="R374" s="25" t="s">
        <v>89</v>
      </c>
      <c r="S374" s="25" t="s">
        <v>152</v>
      </c>
      <c r="T374" s="25" t="s">
        <v>229</v>
      </c>
      <c r="U374" s="25" t="s">
        <v>1657</v>
      </c>
      <c r="V374" s="25" t="s">
        <v>39</v>
      </c>
      <c r="W374" s="26">
        <v>45658</v>
      </c>
    </row>
    <row r="375" spans="1:23" ht="15.75" customHeight="1">
      <c r="A375" s="25" t="s">
        <v>1658</v>
      </c>
      <c r="B375" s="25" t="s">
        <v>24</v>
      </c>
      <c r="C375" s="25" t="s">
        <v>185</v>
      </c>
      <c r="D375" s="25" t="s">
        <v>1369</v>
      </c>
      <c r="E375" s="25" t="s">
        <v>924</v>
      </c>
      <c r="F375" s="25" t="s">
        <v>28</v>
      </c>
      <c r="G375" s="25" t="s">
        <v>29</v>
      </c>
      <c r="H375" s="25" t="s">
        <v>1659</v>
      </c>
      <c r="I375" s="25" t="s">
        <v>106</v>
      </c>
      <c r="J375" s="25" t="s">
        <v>107</v>
      </c>
      <c r="K375" s="25" t="s">
        <v>47</v>
      </c>
      <c r="L375" s="25" t="s">
        <v>190</v>
      </c>
      <c r="M375" s="25">
        <v>13</v>
      </c>
      <c r="N375" s="25">
        <v>700</v>
      </c>
      <c r="O375" s="25">
        <v>20</v>
      </c>
      <c r="P375" s="25">
        <v>7280</v>
      </c>
      <c r="Q375" s="25">
        <v>2</v>
      </c>
      <c r="R375" s="25" t="s">
        <v>80</v>
      </c>
      <c r="S375" s="25" t="s">
        <v>36</v>
      </c>
      <c r="T375" s="25" t="s">
        <v>51</v>
      </c>
      <c r="U375" s="25" t="s">
        <v>1660</v>
      </c>
      <c r="V375" s="25" t="s">
        <v>39</v>
      </c>
      <c r="W375" s="26">
        <v>46054</v>
      </c>
    </row>
    <row r="376" spans="1:23" ht="15.75" customHeight="1">
      <c r="A376" s="25" t="s">
        <v>1661</v>
      </c>
      <c r="B376" s="25" t="s">
        <v>72</v>
      </c>
      <c r="C376" s="25" t="s">
        <v>41</v>
      </c>
      <c r="D376" s="25" t="s">
        <v>1154</v>
      </c>
      <c r="E376" s="25" t="s">
        <v>304</v>
      </c>
      <c r="F376" s="25" t="s">
        <v>218</v>
      </c>
      <c r="G376" s="25" t="s">
        <v>77</v>
      </c>
      <c r="H376" s="25" t="s">
        <v>1662</v>
      </c>
      <c r="I376" s="25" t="s">
        <v>115</v>
      </c>
      <c r="J376" s="25" t="s">
        <v>107</v>
      </c>
      <c r="K376" s="25" t="s">
        <v>47</v>
      </c>
      <c r="L376" s="25" t="s">
        <v>48</v>
      </c>
      <c r="M376" s="25">
        <v>20</v>
      </c>
      <c r="N376" s="25">
        <v>12000</v>
      </c>
      <c r="O376" s="25">
        <v>0</v>
      </c>
      <c r="P376" s="25">
        <v>240000</v>
      </c>
      <c r="Q376" s="25">
        <v>2</v>
      </c>
      <c r="R376" s="25" t="s">
        <v>80</v>
      </c>
      <c r="S376" s="25" t="s">
        <v>116</v>
      </c>
      <c r="T376" s="25" t="s">
        <v>81</v>
      </c>
      <c r="U376" s="25" t="s">
        <v>1663</v>
      </c>
      <c r="V376" s="25" t="s">
        <v>39</v>
      </c>
      <c r="W376" s="26">
        <v>45689</v>
      </c>
    </row>
    <row r="377" spans="1:23" ht="15.75" customHeight="1">
      <c r="A377" s="25" t="s">
        <v>1664</v>
      </c>
      <c r="B377" s="25" t="s">
        <v>84</v>
      </c>
      <c r="C377" s="25" t="s">
        <v>73</v>
      </c>
      <c r="D377" s="25" t="s">
        <v>1199</v>
      </c>
      <c r="E377" s="25" t="s">
        <v>713</v>
      </c>
      <c r="F377" s="25" t="s">
        <v>181</v>
      </c>
      <c r="G377" s="25" t="s">
        <v>77</v>
      </c>
      <c r="H377" s="25" t="s">
        <v>1665</v>
      </c>
      <c r="I377" s="25" t="s">
        <v>295</v>
      </c>
      <c r="J377" s="25" t="s">
        <v>296</v>
      </c>
      <c r="K377" s="25" t="s">
        <v>47</v>
      </c>
      <c r="L377" s="25" t="s">
        <v>79</v>
      </c>
      <c r="M377" s="25">
        <v>9</v>
      </c>
      <c r="N377" s="25">
        <v>1200</v>
      </c>
      <c r="O377" s="25">
        <v>15</v>
      </c>
      <c r="P377" s="25">
        <v>9180</v>
      </c>
      <c r="Q377" s="25">
        <v>1</v>
      </c>
      <c r="R377" s="25" t="s">
        <v>89</v>
      </c>
      <c r="S377" s="25" t="s">
        <v>36</v>
      </c>
      <c r="T377" s="25" t="s">
        <v>90</v>
      </c>
      <c r="U377" s="25" t="s">
        <v>1666</v>
      </c>
      <c r="V377" s="25" t="s">
        <v>65</v>
      </c>
      <c r="W377" s="26">
        <v>45992</v>
      </c>
    </row>
    <row r="378" spans="1:23" ht="15.75" customHeight="1">
      <c r="A378" s="25" t="s">
        <v>1667</v>
      </c>
      <c r="B378" s="25" t="s">
        <v>84</v>
      </c>
      <c r="C378" s="25" t="s">
        <v>223</v>
      </c>
      <c r="D378" s="25" t="s">
        <v>1222</v>
      </c>
      <c r="E378" s="25" t="s">
        <v>1668</v>
      </c>
      <c r="F378" s="25" t="s">
        <v>181</v>
      </c>
      <c r="G378" s="25" t="s">
        <v>77</v>
      </c>
      <c r="H378" s="25" t="s">
        <v>1669</v>
      </c>
      <c r="I378" s="25" t="s">
        <v>213</v>
      </c>
      <c r="J378" s="25" t="s">
        <v>46</v>
      </c>
      <c r="K378" s="25" t="s">
        <v>123</v>
      </c>
      <c r="L378" s="25" t="s">
        <v>228</v>
      </c>
      <c r="M378" s="25">
        <v>3</v>
      </c>
      <c r="N378" s="25">
        <v>20</v>
      </c>
      <c r="O378" s="25">
        <v>15</v>
      </c>
      <c r="P378" s="25">
        <v>51</v>
      </c>
      <c r="Q378" s="25">
        <v>3</v>
      </c>
      <c r="R378" s="25" t="s">
        <v>35</v>
      </c>
      <c r="S378" s="25" t="s">
        <v>116</v>
      </c>
      <c r="T378" s="25" t="s">
        <v>90</v>
      </c>
      <c r="U378" s="25" t="s">
        <v>1670</v>
      </c>
      <c r="V378" s="25" t="s">
        <v>65</v>
      </c>
      <c r="W378" s="26">
        <v>45931</v>
      </c>
    </row>
    <row r="379" spans="1:23" ht="15.75" customHeight="1">
      <c r="A379" s="25" t="s">
        <v>1671</v>
      </c>
      <c r="B379" s="25" t="s">
        <v>252</v>
      </c>
      <c r="C379" s="25" t="s">
        <v>55</v>
      </c>
      <c r="D379" s="25" t="s">
        <v>789</v>
      </c>
      <c r="E379" s="25" t="s">
        <v>456</v>
      </c>
      <c r="F379" s="25" t="s">
        <v>255</v>
      </c>
      <c r="G379" s="25" t="s">
        <v>29</v>
      </c>
      <c r="H379" s="25" t="s">
        <v>1672</v>
      </c>
      <c r="I379" s="25" t="s">
        <v>45</v>
      </c>
      <c r="J379" s="25" t="s">
        <v>46</v>
      </c>
      <c r="K379" s="25" t="s">
        <v>47</v>
      </c>
      <c r="L379" s="25" t="s">
        <v>61</v>
      </c>
      <c r="M379" s="25">
        <v>8</v>
      </c>
      <c r="N379" s="25">
        <v>55000</v>
      </c>
      <c r="O379" s="25">
        <v>20</v>
      </c>
      <c r="P379" s="25">
        <v>352000</v>
      </c>
      <c r="Q379" s="25">
        <v>5</v>
      </c>
      <c r="R379" s="25" t="s">
        <v>80</v>
      </c>
      <c r="S379" s="25" t="s">
        <v>152</v>
      </c>
      <c r="T379" s="25" t="s">
        <v>257</v>
      </c>
      <c r="U379" s="25" t="s">
        <v>1673</v>
      </c>
      <c r="V379" s="25" t="s">
        <v>65</v>
      </c>
      <c r="W379" s="26">
        <v>45992</v>
      </c>
    </row>
    <row r="380" spans="1:23" ht="15.75" customHeight="1">
      <c r="A380" s="25" t="s">
        <v>1674</v>
      </c>
      <c r="B380" s="25" t="s">
        <v>252</v>
      </c>
      <c r="C380" s="25" t="s">
        <v>119</v>
      </c>
      <c r="D380" s="25" t="s">
        <v>1312</v>
      </c>
      <c r="E380" s="25" t="s">
        <v>75</v>
      </c>
      <c r="F380" s="25" t="s">
        <v>255</v>
      </c>
      <c r="G380" s="25" t="s">
        <v>29</v>
      </c>
      <c r="H380" s="25" t="s">
        <v>1675</v>
      </c>
      <c r="I380" s="25" t="s">
        <v>45</v>
      </c>
      <c r="J380" s="25" t="s">
        <v>46</v>
      </c>
      <c r="K380" s="25" t="s">
        <v>123</v>
      </c>
      <c r="L380" s="25" t="s">
        <v>124</v>
      </c>
      <c r="M380" s="25">
        <v>17</v>
      </c>
      <c r="N380" s="25">
        <v>60</v>
      </c>
      <c r="O380" s="25">
        <v>20</v>
      </c>
      <c r="P380" s="25">
        <v>816</v>
      </c>
      <c r="Q380" s="25">
        <v>1</v>
      </c>
      <c r="R380" s="25" t="s">
        <v>89</v>
      </c>
      <c r="S380" s="25" t="s">
        <v>36</v>
      </c>
      <c r="T380" s="25" t="s">
        <v>257</v>
      </c>
      <c r="U380" s="25" t="s">
        <v>1676</v>
      </c>
      <c r="V380" s="25" t="s">
        <v>65</v>
      </c>
      <c r="W380" s="26">
        <v>45901</v>
      </c>
    </row>
    <row r="381" spans="1:23" ht="15.75" customHeight="1">
      <c r="A381" s="25" t="s">
        <v>1677</v>
      </c>
      <c r="B381" s="25" t="s">
        <v>128</v>
      </c>
      <c r="C381" s="25" t="s">
        <v>223</v>
      </c>
      <c r="D381" s="25" t="s">
        <v>1678</v>
      </c>
      <c r="E381" s="25" t="s">
        <v>237</v>
      </c>
      <c r="F381" s="25" t="s">
        <v>201</v>
      </c>
      <c r="G381" s="25" t="s">
        <v>77</v>
      </c>
      <c r="H381" s="25" t="s">
        <v>1679</v>
      </c>
      <c r="I381" s="25" t="s">
        <v>60</v>
      </c>
      <c r="J381" s="25" t="s">
        <v>32</v>
      </c>
      <c r="K381" s="25" t="s">
        <v>123</v>
      </c>
      <c r="L381" s="25" t="s">
        <v>228</v>
      </c>
      <c r="M381" s="25">
        <v>4</v>
      </c>
      <c r="N381" s="25">
        <v>20</v>
      </c>
      <c r="O381" s="25">
        <v>15</v>
      </c>
      <c r="P381" s="25">
        <v>68</v>
      </c>
      <c r="Q381" s="25">
        <v>3</v>
      </c>
      <c r="R381" s="25" t="s">
        <v>49</v>
      </c>
      <c r="S381" s="25" t="s">
        <v>62</v>
      </c>
      <c r="T381" s="25" t="s">
        <v>133</v>
      </c>
      <c r="U381" s="25" t="s">
        <v>1680</v>
      </c>
      <c r="V381" s="25" t="s">
        <v>65</v>
      </c>
      <c r="W381" s="26">
        <v>45778</v>
      </c>
    </row>
    <row r="382" spans="1:23" ht="15.75" customHeight="1">
      <c r="A382" s="25" t="s">
        <v>1681</v>
      </c>
      <c r="B382" s="25" t="s">
        <v>128</v>
      </c>
      <c r="C382" s="25" t="s">
        <v>25</v>
      </c>
      <c r="D382" s="25" t="s">
        <v>1361</v>
      </c>
      <c r="E382" s="25" t="s">
        <v>776</v>
      </c>
      <c r="F382" s="25" t="s">
        <v>201</v>
      </c>
      <c r="G382" s="25" t="s">
        <v>77</v>
      </c>
      <c r="H382" s="25" t="s">
        <v>1683</v>
      </c>
      <c r="I382" s="25" t="s">
        <v>295</v>
      </c>
      <c r="J382" s="25" t="s">
        <v>296</v>
      </c>
      <c r="K382" s="25" t="s">
        <v>33</v>
      </c>
      <c r="L382" s="25" t="s">
        <v>34</v>
      </c>
      <c r="M382" s="25">
        <v>2</v>
      </c>
      <c r="N382" s="25">
        <v>2200</v>
      </c>
      <c r="O382" s="25">
        <v>10</v>
      </c>
      <c r="P382" s="25">
        <v>3960</v>
      </c>
      <c r="Q382" s="25">
        <v>2</v>
      </c>
      <c r="R382" s="25" t="s">
        <v>89</v>
      </c>
      <c r="S382" s="25" t="s">
        <v>50</v>
      </c>
      <c r="T382" s="25" t="s">
        <v>133</v>
      </c>
      <c r="U382" s="25" t="s">
        <v>1684</v>
      </c>
      <c r="V382" s="25" t="s">
        <v>65</v>
      </c>
      <c r="W382" s="26">
        <v>45748</v>
      </c>
    </row>
    <row r="383" spans="1:23" ht="15.75" customHeight="1">
      <c r="A383" s="25" t="s">
        <v>1685</v>
      </c>
      <c r="B383" s="25" t="s">
        <v>222</v>
      </c>
      <c r="C383" s="25" t="s">
        <v>119</v>
      </c>
      <c r="D383" s="25" t="s">
        <v>367</v>
      </c>
      <c r="E383" s="25" t="s">
        <v>540</v>
      </c>
      <c r="F383" s="25" t="s">
        <v>226</v>
      </c>
      <c r="G383" s="25" t="s">
        <v>77</v>
      </c>
      <c r="H383" s="25" t="s">
        <v>1686</v>
      </c>
      <c r="I383" s="25" t="s">
        <v>60</v>
      </c>
      <c r="J383" s="25" t="s">
        <v>32</v>
      </c>
      <c r="K383" s="25" t="s">
        <v>123</v>
      </c>
      <c r="L383" s="25" t="s">
        <v>124</v>
      </c>
      <c r="M383" s="25">
        <v>5</v>
      </c>
      <c r="N383" s="25">
        <v>60</v>
      </c>
      <c r="O383" s="25">
        <v>5</v>
      </c>
      <c r="P383" s="25">
        <v>285</v>
      </c>
      <c r="Q383" s="25">
        <v>1</v>
      </c>
      <c r="R383" s="25" t="s">
        <v>89</v>
      </c>
      <c r="S383" s="25" t="s">
        <v>36</v>
      </c>
      <c r="T383" s="25" t="s">
        <v>229</v>
      </c>
      <c r="U383" s="25" t="s">
        <v>1687</v>
      </c>
      <c r="V383" s="25" t="s">
        <v>70</v>
      </c>
      <c r="W383" s="26">
        <v>45748</v>
      </c>
    </row>
    <row r="384" spans="1:23" ht="15.75" customHeight="1">
      <c r="A384" s="25" t="s">
        <v>1688</v>
      </c>
      <c r="B384" s="25" t="s">
        <v>128</v>
      </c>
      <c r="C384" s="25" t="s">
        <v>25</v>
      </c>
      <c r="D384" s="25" t="s">
        <v>1689</v>
      </c>
      <c r="E384" s="25" t="s">
        <v>1690</v>
      </c>
      <c r="F384" s="25" t="s">
        <v>201</v>
      </c>
      <c r="G384" s="25" t="s">
        <v>77</v>
      </c>
      <c r="H384" s="25" t="s">
        <v>1691</v>
      </c>
      <c r="I384" s="25" t="s">
        <v>45</v>
      </c>
      <c r="J384" s="25" t="s">
        <v>46</v>
      </c>
      <c r="K384" s="25" t="s">
        <v>33</v>
      </c>
      <c r="L384" s="25" t="s">
        <v>34</v>
      </c>
      <c r="M384" s="25">
        <v>17</v>
      </c>
      <c r="N384" s="25">
        <v>2200</v>
      </c>
      <c r="O384" s="25">
        <v>0</v>
      </c>
      <c r="P384" s="25">
        <v>37400</v>
      </c>
      <c r="Q384" s="25">
        <v>2</v>
      </c>
      <c r="R384" s="25" t="s">
        <v>89</v>
      </c>
      <c r="S384" s="25" t="s">
        <v>152</v>
      </c>
      <c r="T384" s="25" t="s">
        <v>133</v>
      </c>
      <c r="U384" s="25" t="s">
        <v>1692</v>
      </c>
      <c r="V384" s="25" t="s">
        <v>70</v>
      </c>
      <c r="W384" s="26">
        <v>46054</v>
      </c>
    </row>
    <row r="385" spans="1:23" ht="15.75" customHeight="1">
      <c r="A385" s="25" t="s">
        <v>1693</v>
      </c>
      <c r="B385" s="25" t="s">
        <v>169</v>
      </c>
      <c r="C385" s="25" t="s">
        <v>119</v>
      </c>
      <c r="D385" s="25" t="s">
        <v>187</v>
      </c>
      <c r="E385" s="25" t="s">
        <v>611</v>
      </c>
      <c r="F385" s="25" t="s">
        <v>362</v>
      </c>
      <c r="G385" s="25" t="s">
        <v>29</v>
      </c>
      <c r="H385" s="25" t="s">
        <v>1694</v>
      </c>
      <c r="I385" s="25" t="s">
        <v>139</v>
      </c>
      <c r="J385" s="25" t="s">
        <v>107</v>
      </c>
      <c r="K385" s="25" t="s">
        <v>123</v>
      </c>
      <c r="L385" s="25" t="s">
        <v>124</v>
      </c>
      <c r="M385" s="25">
        <v>7</v>
      </c>
      <c r="N385" s="25">
        <v>60</v>
      </c>
      <c r="O385" s="25">
        <v>0</v>
      </c>
      <c r="P385" s="25">
        <v>420</v>
      </c>
      <c r="Q385" s="25">
        <v>2</v>
      </c>
      <c r="R385" s="25" t="s">
        <v>89</v>
      </c>
      <c r="S385" s="25" t="s">
        <v>62</v>
      </c>
      <c r="T385" s="25" t="s">
        <v>176</v>
      </c>
      <c r="U385" s="25" t="s">
        <v>1695</v>
      </c>
      <c r="V385" s="25" t="s">
        <v>65</v>
      </c>
      <c r="W385" s="26">
        <v>45992</v>
      </c>
    </row>
    <row r="386" spans="1:23" ht="15.75" customHeight="1">
      <c r="A386" s="25" t="s">
        <v>1696</v>
      </c>
      <c r="B386" s="25" t="s">
        <v>222</v>
      </c>
      <c r="C386" s="25" t="s">
        <v>55</v>
      </c>
      <c r="D386" s="25" t="s">
        <v>703</v>
      </c>
      <c r="E386" s="25" t="s">
        <v>1697</v>
      </c>
      <c r="F386" s="25" t="s">
        <v>226</v>
      </c>
      <c r="G386" s="25" t="s">
        <v>77</v>
      </c>
      <c r="H386" s="25" t="s">
        <v>1698</v>
      </c>
      <c r="I386" s="25" t="s">
        <v>31</v>
      </c>
      <c r="J386" s="25" t="s">
        <v>32</v>
      </c>
      <c r="K386" s="25" t="s">
        <v>47</v>
      </c>
      <c r="L386" s="25" t="s">
        <v>61</v>
      </c>
      <c r="M386" s="25">
        <v>6</v>
      </c>
      <c r="N386" s="25">
        <v>55000</v>
      </c>
      <c r="O386" s="25">
        <v>5</v>
      </c>
      <c r="P386" s="25">
        <v>313500</v>
      </c>
      <c r="Q386" s="25">
        <v>4</v>
      </c>
      <c r="R386" s="25" t="s">
        <v>80</v>
      </c>
      <c r="S386" s="25" t="s">
        <v>62</v>
      </c>
      <c r="T386" s="25" t="s">
        <v>229</v>
      </c>
      <c r="U386" s="25" t="s">
        <v>1699</v>
      </c>
      <c r="V386" s="25" t="s">
        <v>39</v>
      </c>
      <c r="W386" s="26">
        <v>45931</v>
      </c>
    </row>
    <row r="387" spans="1:23" ht="15.75" customHeight="1">
      <c r="A387" s="25" t="s">
        <v>1700</v>
      </c>
      <c r="B387" s="25" t="s">
        <v>72</v>
      </c>
      <c r="C387" s="25" t="s">
        <v>223</v>
      </c>
      <c r="D387" s="25" t="s">
        <v>1307</v>
      </c>
      <c r="E387" s="25" t="s">
        <v>1701</v>
      </c>
      <c r="F387" s="25" t="s">
        <v>218</v>
      </c>
      <c r="G387" s="25" t="s">
        <v>77</v>
      </c>
      <c r="H387" s="25" t="s">
        <v>1702</v>
      </c>
      <c r="I387" s="25" t="s">
        <v>31</v>
      </c>
      <c r="J387" s="25" t="s">
        <v>32</v>
      </c>
      <c r="K387" s="25" t="s">
        <v>123</v>
      </c>
      <c r="L387" s="25" t="s">
        <v>228</v>
      </c>
      <c r="M387" s="25">
        <v>16</v>
      </c>
      <c r="N387" s="25">
        <v>20</v>
      </c>
      <c r="O387" s="25">
        <v>5</v>
      </c>
      <c r="P387" s="25">
        <v>304</v>
      </c>
      <c r="Q387" s="25">
        <v>1</v>
      </c>
      <c r="R387" s="25" t="s">
        <v>80</v>
      </c>
      <c r="S387" s="25" t="s">
        <v>50</v>
      </c>
      <c r="T387" s="25" t="s">
        <v>81</v>
      </c>
      <c r="U387" s="25" t="s">
        <v>1703</v>
      </c>
      <c r="V387" s="25" t="s">
        <v>39</v>
      </c>
      <c r="W387" s="26">
        <v>46023</v>
      </c>
    </row>
    <row r="388" spans="1:23" ht="15.75" customHeight="1">
      <c r="A388" s="25" t="s">
        <v>1704</v>
      </c>
      <c r="B388" s="25" t="s">
        <v>24</v>
      </c>
      <c r="C388" s="25" t="s">
        <v>25</v>
      </c>
      <c r="D388" s="25" t="s">
        <v>1705</v>
      </c>
      <c r="E388" s="25" t="s">
        <v>1706</v>
      </c>
      <c r="F388" s="25" t="s">
        <v>28</v>
      </c>
      <c r="G388" s="25" t="s">
        <v>29</v>
      </c>
      <c r="H388" s="25" t="s">
        <v>1707</v>
      </c>
      <c r="I388" s="25" t="s">
        <v>295</v>
      </c>
      <c r="J388" s="25" t="s">
        <v>296</v>
      </c>
      <c r="K388" s="25" t="s">
        <v>33</v>
      </c>
      <c r="L388" s="25" t="s">
        <v>34</v>
      </c>
      <c r="M388" s="25">
        <v>11</v>
      </c>
      <c r="N388" s="25">
        <v>2200</v>
      </c>
      <c r="O388" s="25">
        <v>15</v>
      </c>
      <c r="P388" s="25">
        <v>20570</v>
      </c>
      <c r="Q388" s="25">
        <v>1</v>
      </c>
      <c r="R388" s="25" t="s">
        <v>49</v>
      </c>
      <c r="S388" s="25" t="s">
        <v>116</v>
      </c>
      <c r="T388" s="25" t="s">
        <v>51</v>
      </c>
      <c r="U388" s="25" t="s">
        <v>1708</v>
      </c>
      <c r="V388" s="25" t="s">
        <v>70</v>
      </c>
      <c r="W388" s="26">
        <v>45658</v>
      </c>
    </row>
    <row r="389" spans="1:23" ht="15.75" customHeight="1">
      <c r="A389" s="25" t="s">
        <v>1709</v>
      </c>
      <c r="B389" s="25" t="s">
        <v>101</v>
      </c>
      <c r="C389" s="25" t="s">
        <v>223</v>
      </c>
      <c r="D389" s="25" t="s">
        <v>1070</v>
      </c>
      <c r="E389" s="25" t="s">
        <v>1410</v>
      </c>
      <c r="F389" s="25" t="s">
        <v>104</v>
      </c>
      <c r="G389" s="25" t="s">
        <v>29</v>
      </c>
      <c r="H389" s="25" t="s">
        <v>1710</v>
      </c>
      <c r="I389" s="25" t="s">
        <v>115</v>
      </c>
      <c r="J389" s="25" t="s">
        <v>107</v>
      </c>
      <c r="K389" s="25" t="s">
        <v>123</v>
      </c>
      <c r="L389" s="25" t="s">
        <v>228</v>
      </c>
      <c r="M389" s="25">
        <v>19</v>
      </c>
      <c r="N389" s="25">
        <v>20</v>
      </c>
      <c r="O389" s="25">
        <v>5</v>
      </c>
      <c r="P389" s="25">
        <v>361</v>
      </c>
      <c r="Q389" s="25">
        <v>4</v>
      </c>
      <c r="R389" s="25" t="s">
        <v>89</v>
      </c>
      <c r="S389" s="25" t="s">
        <v>36</v>
      </c>
      <c r="T389" s="25" t="s">
        <v>145</v>
      </c>
      <c r="U389" s="25" t="s">
        <v>1711</v>
      </c>
      <c r="V389" s="25" t="s">
        <v>65</v>
      </c>
      <c r="W389" s="26">
        <v>45689</v>
      </c>
    </row>
    <row r="390" spans="1:23" ht="15.75" customHeight="1">
      <c r="A390" s="25" t="s">
        <v>1712</v>
      </c>
      <c r="B390" s="25" t="s">
        <v>101</v>
      </c>
      <c r="C390" s="25" t="s">
        <v>73</v>
      </c>
      <c r="D390" s="25" t="s">
        <v>1713</v>
      </c>
      <c r="E390" s="25" t="s">
        <v>1714</v>
      </c>
      <c r="F390" s="25" t="s">
        <v>104</v>
      </c>
      <c r="G390" s="25" t="s">
        <v>29</v>
      </c>
      <c r="H390" s="25" t="s">
        <v>1715</v>
      </c>
      <c r="I390" s="25" t="s">
        <v>115</v>
      </c>
      <c r="J390" s="25" t="s">
        <v>107</v>
      </c>
      <c r="K390" s="25" t="s">
        <v>47</v>
      </c>
      <c r="L390" s="25" t="s">
        <v>79</v>
      </c>
      <c r="M390" s="25">
        <v>20</v>
      </c>
      <c r="N390" s="25">
        <v>1200</v>
      </c>
      <c r="O390" s="25">
        <v>15</v>
      </c>
      <c r="P390" s="25">
        <v>20400</v>
      </c>
      <c r="Q390" s="25">
        <v>4</v>
      </c>
      <c r="R390" s="25" t="s">
        <v>80</v>
      </c>
      <c r="S390" s="25" t="s">
        <v>36</v>
      </c>
      <c r="T390" s="25" t="s">
        <v>145</v>
      </c>
      <c r="U390" s="25" t="s">
        <v>1716</v>
      </c>
      <c r="V390" s="25" t="s">
        <v>65</v>
      </c>
      <c r="W390" s="26">
        <v>45809</v>
      </c>
    </row>
    <row r="391" spans="1:23" ht="15.75" customHeight="1">
      <c r="A391" s="25" t="s">
        <v>1717</v>
      </c>
      <c r="B391" s="25" t="s">
        <v>54</v>
      </c>
      <c r="C391" s="25" t="s">
        <v>223</v>
      </c>
      <c r="D391" s="25" t="s">
        <v>1718</v>
      </c>
      <c r="E391" s="25" t="s">
        <v>1719</v>
      </c>
      <c r="F391" s="25" t="s">
        <v>164</v>
      </c>
      <c r="G391" s="25" t="s">
        <v>29</v>
      </c>
      <c r="H391" s="25" t="s">
        <v>1720</v>
      </c>
      <c r="I391" s="25" t="s">
        <v>31</v>
      </c>
      <c r="J391" s="25" t="s">
        <v>32</v>
      </c>
      <c r="K391" s="25" t="s">
        <v>123</v>
      </c>
      <c r="L391" s="25" t="s">
        <v>228</v>
      </c>
      <c r="M391" s="25">
        <v>13</v>
      </c>
      <c r="N391" s="25">
        <v>20</v>
      </c>
      <c r="O391" s="25">
        <v>15</v>
      </c>
      <c r="P391" s="25">
        <v>221</v>
      </c>
      <c r="Q391" s="25">
        <v>4</v>
      </c>
      <c r="R391" s="25" t="s">
        <v>35</v>
      </c>
      <c r="S391" s="25" t="s">
        <v>36</v>
      </c>
      <c r="T391" s="25" t="s">
        <v>63</v>
      </c>
      <c r="U391" s="25" t="s">
        <v>1721</v>
      </c>
      <c r="V391" s="25" t="s">
        <v>65</v>
      </c>
      <c r="W391" s="26">
        <v>45778</v>
      </c>
    </row>
    <row r="392" spans="1:23" ht="15.75" customHeight="1">
      <c r="A392" s="25" t="s">
        <v>1722</v>
      </c>
      <c r="B392" s="25" t="s">
        <v>252</v>
      </c>
      <c r="C392" s="25" t="s">
        <v>73</v>
      </c>
      <c r="D392" s="25" t="s">
        <v>206</v>
      </c>
      <c r="E392" s="25" t="s">
        <v>207</v>
      </c>
      <c r="F392" s="25" t="s">
        <v>255</v>
      </c>
      <c r="G392" s="25" t="s">
        <v>29</v>
      </c>
      <c r="H392" s="25" t="s">
        <v>1723</v>
      </c>
      <c r="I392" s="25" t="s">
        <v>45</v>
      </c>
      <c r="J392" s="25" t="s">
        <v>46</v>
      </c>
      <c r="K392" s="25" t="s">
        <v>47</v>
      </c>
      <c r="L392" s="25" t="s">
        <v>79</v>
      </c>
      <c r="M392" s="25">
        <v>12</v>
      </c>
      <c r="N392" s="25">
        <v>1200</v>
      </c>
      <c r="O392" s="25">
        <v>10</v>
      </c>
      <c r="P392" s="25">
        <v>12960</v>
      </c>
      <c r="Q392" s="25">
        <v>3</v>
      </c>
      <c r="R392" s="25" t="s">
        <v>49</v>
      </c>
      <c r="S392" s="25" t="s">
        <v>36</v>
      </c>
      <c r="T392" s="25" t="s">
        <v>257</v>
      </c>
      <c r="U392" s="25" t="s">
        <v>1724</v>
      </c>
      <c r="V392" s="25" t="s">
        <v>65</v>
      </c>
      <c r="W392" s="26">
        <v>45658</v>
      </c>
    </row>
    <row r="393" spans="1:23" ht="15.75" customHeight="1">
      <c r="A393" s="25" t="s">
        <v>1725</v>
      </c>
      <c r="B393" s="25" t="s">
        <v>101</v>
      </c>
      <c r="C393" s="25" t="s">
        <v>170</v>
      </c>
      <c r="D393" s="25" t="s">
        <v>1706</v>
      </c>
      <c r="E393" s="25" t="s">
        <v>784</v>
      </c>
      <c r="F393" s="25" t="s">
        <v>104</v>
      </c>
      <c r="G393" s="25" t="s">
        <v>29</v>
      </c>
      <c r="H393" s="25" t="s">
        <v>1726</v>
      </c>
      <c r="I393" s="25" t="s">
        <v>295</v>
      </c>
      <c r="J393" s="25" t="s">
        <v>296</v>
      </c>
      <c r="K393" s="25" t="s">
        <v>33</v>
      </c>
      <c r="L393" s="25" t="s">
        <v>175</v>
      </c>
      <c r="M393" s="25">
        <v>6</v>
      </c>
      <c r="N393" s="25">
        <v>8500</v>
      </c>
      <c r="O393" s="25">
        <v>5</v>
      </c>
      <c r="P393" s="25">
        <v>48450</v>
      </c>
      <c r="Q393" s="25">
        <v>5</v>
      </c>
      <c r="R393" s="25" t="s">
        <v>35</v>
      </c>
      <c r="S393" s="25" t="s">
        <v>116</v>
      </c>
      <c r="T393" s="25" t="s">
        <v>145</v>
      </c>
      <c r="U393" s="25" t="s">
        <v>1727</v>
      </c>
      <c r="V393" s="25" t="s">
        <v>70</v>
      </c>
      <c r="W393" s="26">
        <v>45658</v>
      </c>
    </row>
    <row r="394" spans="1:23" ht="15.75" customHeight="1">
      <c r="A394" s="25" t="s">
        <v>1728</v>
      </c>
      <c r="B394" s="25" t="s">
        <v>24</v>
      </c>
      <c r="C394" s="25" t="s">
        <v>170</v>
      </c>
      <c r="D394" s="25" t="s">
        <v>1303</v>
      </c>
      <c r="E394" s="25" t="s">
        <v>1729</v>
      </c>
      <c r="F394" s="25" t="s">
        <v>28</v>
      </c>
      <c r="G394" s="25" t="s">
        <v>29</v>
      </c>
      <c r="H394" s="25" t="s">
        <v>1730</v>
      </c>
      <c r="I394" s="25" t="s">
        <v>139</v>
      </c>
      <c r="J394" s="25" t="s">
        <v>107</v>
      </c>
      <c r="K394" s="25" t="s">
        <v>33</v>
      </c>
      <c r="L394" s="25" t="s">
        <v>175</v>
      </c>
      <c r="M394" s="25">
        <v>15</v>
      </c>
      <c r="N394" s="25">
        <v>8500</v>
      </c>
      <c r="O394" s="25">
        <v>10</v>
      </c>
      <c r="P394" s="25">
        <v>114750</v>
      </c>
      <c r="Q394" s="25">
        <v>1</v>
      </c>
      <c r="R394" s="25" t="s">
        <v>35</v>
      </c>
      <c r="S394" s="25" t="s">
        <v>116</v>
      </c>
      <c r="T394" s="25" t="s">
        <v>51</v>
      </c>
      <c r="U394" s="25" t="s">
        <v>1731</v>
      </c>
      <c r="V394" s="25" t="s">
        <v>39</v>
      </c>
      <c r="W394" s="26">
        <v>46054</v>
      </c>
    </row>
    <row r="395" spans="1:23" ht="15.75" customHeight="1">
      <c r="A395" s="25" t="s">
        <v>1732</v>
      </c>
      <c r="B395" s="25" t="s">
        <v>128</v>
      </c>
      <c r="C395" s="25" t="s">
        <v>41</v>
      </c>
      <c r="D395" s="25" t="s">
        <v>1733</v>
      </c>
      <c r="E395" s="25" t="s">
        <v>1734</v>
      </c>
      <c r="F395" s="25" t="s">
        <v>201</v>
      </c>
      <c r="G395" s="25" t="s">
        <v>77</v>
      </c>
      <c r="H395" s="25" t="s">
        <v>1735</v>
      </c>
      <c r="I395" s="25" t="s">
        <v>31</v>
      </c>
      <c r="J395" s="25" t="s">
        <v>32</v>
      </c>
      <c r="K395" s="25" t="s">
        <v>47</v>
      </c>
      <c r="L395" s="25" t="s">
        <v>48</v>
      </c>
      <c r="M395" s="25">
        <v>19</v>
      </c>
      <c r="N395" s="25">
        <v>12000</v>
      </c>
      <c r="O395" s="25">
        <v>20</v>
      </c>
      <c r="P395" s="25">
        <v>182400</v>
      </c>
      <c r="Q395" s="25">
        <v>5</v>
      </c>
      <c r="R395" s="25" t="s">
        <v>35</v>
      </c>
      <c r="S395" s="25" t="s">
        <v>116</v>
      </c>
      <c r="T395" s="25" t="s">
        <v>133</v>
      </c>
      <c r="U395" s="25" t="s">
        <v>1736</v>
      </c>
      <c r="V395" s="25" t="s">
        <v>39</v>
      </c>
      <c r="W395" s="26">
        <v>45870</v>
      </c>
    </row>
    <row r="396" spans="1:23" ht="15.75" customHeight="1">
      <c r="A396" s="25" t="s">
        <v>1737</v>
      </c>
      <c r="B396" s="25" t="s">
        <v>84</v>
      </c>
      <c r="C396" s="25" t="s">
        <v>185</v>
      </c>
      <c r="D396" s="25" t="s">
        <v>143</v>
      </c>
      <c r="E396" s="25" t="s">
        <v>1738</v>
      </c>
      <c r="F396" s="25" t="s">
        <v>181</v>
      </c>
      <c r="G396" s="25" t="s">
        <v>77</v>
      </c>
      <c r="H396" s="25" t="s">
        <v>1739</v>
      </c>
      <c r="I396" s="25" t="s">
        <v>45</v>
      </c>
      <c r="J396" s="25" t="s">
        <v>46</v>
      </c>
      <c r="K396" s="25" t="s">
        <v>47</v>
      </c>
      <c r="L396" s="25" t="s">
        <v>190</v>
      </c>
      <c r="M396" s="25">
        <v>5</v>
      </c>
      <c r="N396" s="25">
        <v>700</v>
      </c>
      <c r="O396" s="25">
        <v>0</v>
      </c>
      <c r="P396" s="25">
        <v>3500</v>
      </c>
      <c r="Q396" s="25">
        <v>2</v>
      </c>
      <c r="R396" s="25" t="s">
        <v>80</v>
      </c>
      <c r="S396" s="25" t="s">
        <v>62</v>
      </c>
      <c r="T396" s="25" t="s">
        <v>90</v>
      </c>
      <c r="U396" s="25" t="s">
        <v>1740</v>
      </c>
      <c r="V396" s="25" t="s">
        <v>70</v>
      </c>
      <c r="W396" s="26">
        <v>45658</v>
      </c>
    </row>
    <row r="397" spans="1:23" ht="15.75" customHeight="1">
      <c r="A397" s="25" t="s">
        <v>1741</v>
      </c>
      <c r="B397" s="25" t="s">
        <v>84</v>
      </c>
      <c r="C397" s="25" t="s">
        <v>41</v>
      </c>
      <c r="D397" s="25" t="s">
        <v>1655</v>
      </c>
      <c r="E397" s="25" t="s">
        <v>766</v>
      </c>
      <c r="F397" s="25" t="s">
        <v>181</v>
      </c>
      <c r="G397" s="25" t="s">
        <v>77</v>
      </c>
      <c r="H397" s="25" t="s">
        <v>1742</v>
      </c>
      <c r="I397" s="25" t="s">
        <v>295</v>
      </c>
      <c r="J397" s="25" t="s">
        <v>296</v>
      </c>
      <c r="K397" s="25" t="s">
        <v>47</v>
      </c>
      <c r="L397" s="25" t="s">
        <v>48</v>
      </c>
      <c r="M397" s="25">
        <v>19</v>
      </c>
      <c r="N397" s="25">
        <v>12000</v>
      </c>
      <c r="O397" s="25">
        <v>0</v>
      </c>
      <c r="P397" s="25">
        <v>228000</v>
      </c>
      <c r="Q397" s="25">
        <v>4</v>
      </c>
      <c r="R397" s="25" t="s">
        <v>89</v>
      </c>
      <c r="S397" s="25" t="s">
        <v>62</v>
      </c>
      <c r="T397" s="25" t="s">
        <v>90</v>
      </c>
      <c r="U397" s="25" t="s">
        <v>1743</v>
      </c>
      <c r="V397" s="25" t="s">
        <v>65</v>
      </c>
      <c r="W397" s="26">
        <v>45658</v>
      </c>
    </row>
    <row r="398" spans="1:23" ht="15.75" customHeight="1">
      <c r="A398" s="25" t="s">
        <v>1744</v>
      </c>
      <c r="B398" s="25" t="s">
        <v>328</v>
      </c>
      <c r="C398" s="25" t="s">
        <v>185</v>
      </c>
      <c r="D398" s="25" t="s">
        <v>65</v>
      </c>
      <c r="E398" s="25" t="s">
        <v>1226</v>
      </c>
      <c r="F398" s="25" t="s">
        <v>395</v>
      </c>
      <c r="G398" s="25" t="s">
        <v>77</v>
      </c>
      <c r="H398" s="25" t="s">
        <v>1745</v>
      </c>
      <c r="I398" s="25" t="s">
        <v>60</v>
      </c>
      <c r="J398" s="25" t="s">
        <v>32</v>
      </c>
      <c r="K398" s="25" t="s">
        <v>47</v>
      </c>
      <c r="L398" s="25" t="s">
        <v>190</v>
      </c>
      <c r="M398" s="25">
        <v>12</v>
      </c>
      <c r="N398" s="25">
        <v>700</v>
      </c>
      <c r="O398" s="25">
        <v>15</v>
      </c>
      <c r="P398" s="25">
        <v>7140</v>
      </c>
      <c r="Q398" s="25">
        <v>3</v>
      </c>
      <c r="R398" s="25" t="s">
        <v>80</v>
      </c>
      <c r="S398" s="25" t="s">
        <v>36</v>
      </c>
      <c r="T398" s="25" t="s">
        <v>333</v>
      </c>
      <c r="U398" s="25" t="s">
        <v>1746</v>
      </c>
      <c r="V398" s="25" t="s">
        <v>39</v>
      </c>
      <c r="W398" s="26"/>
    </row>
    <row r="399" spans="1:23" ht="15.75" customHeight="1">
      <c r="A399" s="25" t="s">
        <v>1747</v>
      </c>
      <c r="B399" s="25" t="s">
        <v>24</v>
      </c>
      <c r="C399" s="25" t="s">
        <v>73</v>
      </c>
      <c r="D399" s="25" t="s">
        <v>1748</v>
      </c>
      <c r="E399" s="25" t="s">
        <v>708</v>
      </c>
      <c r="F399" s="25" t="s">
        <v>28</v>
      </c>
      <c r="G399" s="25" t="s">
        <v>29</v>
      </c>
      <c r="H399" s="25" t="s">
        <v>1749</v>
      </c>
      <c r="I399" s="25" t="s">
        <v>45</v>
      </c>
      <c r="J399" s="25" t="s">
        <v>46</v>
      </c>
      <c r="K399" s="25" t="s">
        <v>47</v>
      </c>
      <c r="L399" s="25" t="s">
        <v>79</v>
      </c>
      <c r="M399" s="25">
        <v>16</v>
      </c>
      <c r="N399" s="25">
        <v>1200</v>
      </c>
      <c r="O399" s="25">
        <v>20</v>
      </c>
      <c r="P399" s="25">
        <v>15360</v>
      </c>
      <c r="Q399" s="25">
        <v>1</v>
      </c>
      <c r="R399" s="25" t="s">
        <v>35</v>
      </c>
      <c r="S399" s="25" t="s">
        <v>50</v>
      </c>
      <c r="T399" s="25" t="s">
        <v>51</v>
      </c>
      <c r="U399" s="25" t="s">
        <v>1750</v>
      </c>
      <c r="V399" s="25" t="s">
        <v>65</v>
      </c>
      <c r="W399" s="26">
        <v>45778</v>
      </c>
    </row>
    <row r="400" spans="1:23" ht="15.75" customHeight="1">
      <c r="A400" s="25" t="s">
        <v>1751</v>
      </c>
      <c r="B400" s="25" t="s">
        <v>72</v>
      </c>
      <c r="C400" s="25" t="s">
        <v>170</v>
      </c>
      <c r="D400" s="25" t="s">
        <v>1053</v>
      </c>
      <c r="E400" s="25" t="s">
        <v>85</v>
      </c>
      <c r="F400" s="25" t="s">
        <v>218</v>
      </c>
      <c r="G400" s="25" t="s">
        <v>77</v>
      </c>
      <c r="H400" s="25" t="s">
        <v>1752</v>
      </c>
      <c r="I400" s="25" t="s">
        <v>31</v>
      </c>
      <c r="J400" s="25" t="s">
        <v>32</v>
      </c>
      <c r="K400" s="25" t="s">
        <v>33</v>
      </c>
      <c r="L400" s="25" t="s">
        <v>175</v>
      </c>
      <c r="M400" s="25">
        <v>10</v>
      </c>
      <c r="N400" s="25">
        <v>8500</v>
      </c>
      <c r="O400" s="25">
        <v>5</v>
      </c>
      <c r="P400" s="25">
        <v>80750</v>
      </c>
      <c r="Q400" s="25">
        <v>5</v>
      </c>
      <c r="R400" s="25" t="s">
        <v>49</v>
      </c>
      <c r="S400" s="25" t="s">
        <v>36</v>
      </c>
      <c r="T400" s="25" t="s">
        <v>81</v>
      </c>
      <c r="U400" s="25" t="s">
        <v>1753</v>
      </c>
      <c r="V400" s="25" t="s">
        <v>39</v>
      </c>
      <c r="W400" s="26">
        <v>45992</v>
      </c>
    </row>
    <row r="401" spans="1:23" ht="15.75" customHeight="1">
      <c r="A401" s="25" t="s">
        <v>1754</v>
      </c>
      <c r="B401" s="25" t="s">
        <v>24</v>
      </c>
      <c r="C401" s="25" t="s">
        <v>223</v>
      </c>
      <c r="D401" s="25" t="s">
        <v>1374</v>
      </c>
      <c r="E401" s="25" t="s">
        <v>387</v>
      </c>
      <c r="F401" s="25" t="s">
        <v>28</v>
      </c>
      <c r="G401" s="25" t="s">
        <v>29</v>
      </c>
      <c r="H401" s="25" t="s">
        <v>1755</v>
      </c>
      <c r="I401" s="25" t="s">
        <v>139</v>
      </c>
      <c r="J401" s="25" t="s">
        <v>107</v>
      </c>
      <c r="K401" s="25" t="s">
        <v>123</v>
      </c>
      <c r="L401" s="25" t="s">
        <v>228</v>
      </c>
      <c r="M401" s="25">
        <v>18</v>
      </c>
      <c r="N401" s="25">
        <v>20</v>
      </c>
      <c r="O401" s="25">
        <v>20</v>
      </c>
      <c r="P401" s="25">
        <v>288</v>
      </c>
      <c r="Q401" s="25">
        <v>1</v>
      </c>
      <c r="R401" s="25" t="s">
        <v>89</v>
      </c>
      <c r="S401" s="25" t="s">
        <v>36</v>
      </c>
      <c r="T401" s="25" t="s">
        <v>51</v>
      </c>
      <c r="U401" s="25" t="s">
        <v>1756</v>
      </c>
      <c r="V401" s="25" t="s">
        <v>65</v>
      </c>
      <c r="W401" s="26">
        <v>45689</v>
      </c>
    </row>
    <row r="402" spans="1:23" ht="15.75" customHeight="1">
      <c r="A402" s="25" t="s">
        <v>1757</v>
      </c>
      <c r="B402" s="25" t="s">
        <v>72</v>
      </c>
      <c r="C402" s="25" t="s">
        <v>170</v>
      </c>
      <c r="D402" s="25" t="s">
        <v>242</v>
      </c>
      <c r="E402" s="25" t="s">
        <v>405</v>
      </c>
      <c r="F402" s="25" t="s">
        <v>218</v>
      </c>
      <c r="G402" s="25" t="s">
        <v>77</v>
      </c>
      <c r="H402" s="25" t="s">
        <v>1758</v>
      </c>
      <c r="I402" s="25" t="s">
        <v>106</v>
      </c>
      <c r="J402" s="25" t="s">
        <v>107</v>
      </c>
      <c r="K402" s="25" t="s">
        <v>33</v>
      </c>
      <c r="L402" s="25" t="s">
        <v>175</v>
      </c>
      <c r="M402" s="25">
        <v>9</v>
      </c>
      <c r="N402" s="25">
        <v>8500</v>
      </c>
      <c r="O402" s="25">
        <v>0</v>
      </c>
      <c r="P402" s="25">
        <v>76500</v>
      </c>
      <c r="Q402" s="25">
        <v>2</v>
      </c>
      <c r="R402" s="25" t="s">
        <v>80</v>
      </c>
      <c r="S402" s="25" t="s">
        <v>36</v>
      </c>
      <c r="T402" s="25" t="s">
        <v>81</v>
      </c>
      <c r="U402" s="25" t="s">
        <v>1759</v>
      </c>
      <c r="V402" s="25" t="s">
        <v>65</v>
      </c>
      <c r="W402" s="26">
        <v>46082</v>
      </c>
    </row>
    <row r="403" spans="1:23" ht="15.75" customHeight="1">
      <c r="A403" s="25" t="s">
        <v>1760</v>
      </c>
      <c r="B403" s="25" t="s">
        <v>24</v>
      </c>
      <c r="C403" s="25" t="s">
        <v>170</v>
      </c>
      <c r="D403" s="25" t="s">
        <v>1222</v>
      </c>
      <c r="E403" s="25" t="s">
        <v>1761</v>
      </c>
      <c r="F403" s="25" t="s">
        <v>28</v>
      </c>
      <c r="G403" s="25" t="s">
        <v>29</v>
      </c>
      <c r="H403" s="25" t="s">
        <v>1762</v>
      </c>
      <c r="I403" s="25" t="s">
        <v>106</v>
      </c>
      <c r="J403" s="25" t="s">
        <v>107</v>
      </c>
      <c r="K403" s="25" t="s">
        <v>33</v>
      </c>
      <c r="L403" s="25" t="s">
        <v>175</v>
      </c>
      <c r="M403" s="25">
        <v>8</v>
      </c>
      <c r="N403" s="25">
        <v>8500</v>
      </c>
      <c r="O403" s="25">
        <v>10</v>
      </c>
      <c r="P403" s="25">
        <v>61200</v>
      </c>
      <c r="Q403" s="25">
        <v>4</v>
      </c>
      <c r="R403" s="25" t="s">
        <v>35</v>
      </c>
      <c r="S403" s="25" t="s">
        <v>116</v>
      </c>
      <c r="T403" s="25" t="s">
        <v>51</v>
      </c>
      <c r="U403" s="25" t="s">
        <v>1763</v>
      </c>
      <c r="V403" s="25" t="s">
        <v>70</v>
      </c>
      <c r="W403" s="26">
        <v>45931</v>
      </c>
    </row>
    <row r="404" spans="1:23" ht="15.75" customHeight="1">
      <c r="A404" s="25" t="s">
        <v>1764</v>
      </c>
      <c r="B404" s="25" t="s">
        <v>54</v>
      </c>
      <c r="C404" s="25" t="s">
        <v>223</v>
      </c>
      <c r="D404" s="25" t="s">
        <v>484</v>
      </c>
      <c r="E404" s="25" t="s">
        <v>1765</v>
      </c>
      <c r="F404" s="25" t="s">
        <v>164</v>
      </c>
      <c r="G404" s="25" t="s">
        <v>29</v>
      </c>
      <c r="H404" s="25" t="s">
        <v>1766</v>
      </c>
      <c r="I404" s="25" t="s">
        <v>115</v>
      </c>
      <c r="J404" s="25" t="s">
        <v>107</v>
      </c>
      <c r="K404" s="25" t="s">
        <v>123</v>
      </c>
      <c r="L404" s="25" t="s">
        <v>228</v>
      </c>
      <c r="M404" s="25">
        <v>3</v>
      </c>
      <c r="N404" s="25">
        <v>20</v>
      </c>
      <c r="O404" s="25">
        <v>10</v>
      </c>
      <c r="P404" s="25">
        <v>54</v>
      </c>
      <c r="Q404" s="25">
        <v>3</v>
      </c>
      <c r="R404" s="25" t="s">
        <v>80</v>
      </c>
      <c r="S404" s="25" t="s">
        <v>152</v>
      </c>
      <c r="T404" s="25" t="s">
        <v>63</v>
      </c>
      <c r="U404" s="25" t="s">
        <v>1767</v>
      </c>
      <c r="V404" s="25" t="s">
        <v>65</v>
      </c>
      <c r="W404" s="26">
        <v>46023</v>
      </c>
    </row>
    <row r="405" spans="1:23" ht="15.75" customHeight="1">
      <c r="A405" s="25" t="s">
        <v>1768</v>
      </c>
      <c r="B405" s="25" t="s">
        <v>169</v>
      </c>
      <c r="C405" s="25" t="s">
        <v>170</v>
      </c>
      <c r="D405" s="25" t="s">
        <v>233</v>
      </c>
      <c r="E405" s="25" t="s">
        <v>642</v>
      </c>
      <c r="F405" s="25" t="s">
        <v>362</v>
      </c>
      <c r="G405" s="25" t="s">
        <v>29</v>
      </c>
      <c r="H405" s="25" t="s">
        <v>1769</v>
      </c>
      <c r="I405" s="25" t="s">
        <v>295</v>
      </c>
      <c r="J405" s="25" t="s">
        <v>296</v>
      </c>
      <c r="K405" s="25" t="s">
        <v>33</v>
      </c>
      <c r="L405" s="25" t="s">
        <v>175</v>
      </c>
      <c r="M405" s="25">
        <v>18</v>
      </c>
      <c r="N405" s="25">
        <v>8500</v>
      </c>
      <c r="O405" s="25">
        <v>10</v>
      </c>
      <c r="P405" s="25">
        <v>137700</v>
      </c>
      <c r="Q405" s="25">
        <v>4</v>
      </c>
      <c r="R405" s="25" t="s">
        <v>35</v>
      </c>
      <c r="S405" s="25" t="s">
        <v>50</v>
      </c>
      <c r="T405" s="25" t="s">
        <v>176</v>
      </c>
      <c r="U405" s="25" t="s">
        <v>1770</v>
      </c>
      <c r="V405" s="25" t="s">
        <v>70</v>
      </c>
      <c r="W405" s="26">
        <v>45839</v>
      </c>
    </row>
    <row r="406" spans="1:23" ht="15.75" customHeight="1">
      <c r="A406" s="25" t="s">
        <v>1771</v>
      </c>
      <c r="B406" s="25" t="s">
        <v>54</v>
      </c>
      <c r="C406" s="25" t="s">
        <v>260</v>
      </c>
      <c r="D406" s="25" t="s">
        <v>309</v>
      </c>
      <c r="E406" s="25" t="s">
        <v>282</v>
      </c>
      <c r="F406" s="25" t="s">
        <v>164</v>
      </c>
      <c r="G406" s="25" t="s">
        <v>29</v>
      </c>
      <c r="H406" s="25" t="s">
        <v>1772</v>
      </c>
      <c r="I406" s="25" t="s">
        <v>115</v>
      </c>
      <c r="J406" s="25" t="s">
        <v>107</v>
      </c>
      <c r="K406" s="25" t="s">
        <v>123</v>
      </c>
      <c r="L406" s="25" t="s">
        <v>264</v>
      </c>
      <c r="M406" s="25">
        <v>5</v>
      </c>
      <c r="N406" s="25">
        <v>45</v>
      </c>
      <c r="O406" s="25">
        <v>10</v>
      </c>
      <c r="P406" s="25">
        <v>202.5</v>
      </c>
      <c r="Q406" s="25">
        <v>3</v>
      </c>
      <c r="R406" s="25" t="s">
        <v>35</v>
      </c>
      <c r="S406" s="25" t="s">
        <v>116</v>
      </c>
      <c r="T406" s="25" t="s">
        <v>63</v>
      </c>
      <c r="U406" s="25" t="s">
        <v>1773</v>
      </c>
      <c r="V406" s="25" t="s">
        <v>65</v>
      </c>
      <c r="W406" s="26">
        <v>45931</v>
      </c>
    </row>
    <row r="407" spans="1:23" ht="15.75" customHeight="1">
      <c r="A407" s="25" t="s">
        <v>1774</v>
      </c>
      <c r="B407" s="25" t="s">
        <v>72</v>
      </c>
      <c r="C407" s="25" t="s">
        <v>260</v>
      </c>
      <c r="D407" s="25" t="s">
        <v>684</v>
      </c>
      <c r="E407" s="25" t="s">
        <v>685</v>
      </c>
      <c r="F407" s="25" t="s">
        <v>218</v>
      </c>
      <c r="G407" s="25" t="s">
        <v>77</v>
      </c>
      <c r="H407" s="25" t="s">
        <v>1775</v>
      </c>
      <c r="I407" s="25" t="s">
        <v>106</v>
      </c>
      <c r="J407" s="25" t="s">
        <v>107</v>
      </c>
      <c r="K407" s="25" t="s">
        <v>123</v>
      </c>
      <c r="L407" s="25" t="s">
        <v>264</v>
      </c>
      <c r="M407" s="25">
        <v>2</v>
      </c>
      <c r="N407" s="25">
        <v>45</v>
      </c>
      <c r="O407" s="25">
        <v>20</v>
      </c>
      <c r="P407" s="25">
        <v>72</v>
      </c>
      <c r="Q407" s="25">
        <v>5</v>
      </c>
      <c r="R407" s="25" t="s">
        <v>89</v>
      </c>
      <c r="S407" s="25" t="s">
        <v>62</v>
      </c>
      <c r="T407" s="25" t="s">
        <v>81</v>
      </c>
      <c r="U407" s="25" t="s">
        <v>1776</v>
      </c>
      <c r="V407" s="25" t="s">
        <v>70</v>
      </c>
      <c r="W407" s="26">
        <v>45778</v>
      </c>
    </row>
    <row r="408" spans="1:23" ht="15.75" customHeight="1">
      <c r="A408" s="25" t="s">
        <v>1777</v>
      </c>
      <c r="B408" s="25" t="s">
        <v>101</v>
      </c>
      <c r="C408" s="25" t="s">
        <v>260</v>
      </c>
      <c r="D408" s="25" t="s">
        <v>1380</v>
      </c>
      <c r="E408" s="25" t="s">
        <v>901</v>
      </c>
      <c r="F408" s="25" t="s">
        <v>104</v>
      </c>
      <c r="G408" s="25" t="s">
        <v>29</v>
      </c>
      <c r="H408" s="25" t="s">
        <v>1778</v>
      </c>
      <c r="I408" s="25" t="s">
        <v>31</v>
      </c>
      <c r="J408" s="25" t="s">
        <v>32</v>
      </c>
      <c r="K408" s="25" t="s">
        <v>123</v>
      </c>
      <c r="L408" s="25" t="s">
        <v>264</v>
      </c>
      <c r="M408" s="25">
        <v>18</v>
      </c>
      <c r="N408" s="25">
        <v>45</v>
      </c>
      <c r="O408" s="25">
        <v>10</v>
      </c>
      <c r="P408" s="25">
        <v>729</v>
      </c>
      <c r="Q408" s="25">
        <v>2</v>
      </c>
      <c r="R408" s="25" t="s">
        <v>49</v>
      </c>
      <c r="S408" s="25" t="s">
        <v>116</v>
      </c>
      <c r="T408" s="25" t="s">
        <v>145</v>
      </c>
      <c r="U408" s="25" t="s">
        <v>1779</v>
      </c>
      <c r="V408" s="25" t="s">
        <v>65</v>
      </c>
      <c r="W408" s="26">
        <v>45658</v>
      </c>
    </row>
    <row r="409" spans="1:23" ht="15.75" customHeight="1">
      <c r="A409" s="25" t="s">
        <v>1780</v>
      </c>
      <c r="B409" s="25" t="s">
        <v>128</v>
      </c>
      <c r="C409" s="25" t="s">
        <v>73</v>
      </c>
      <c r="D409" s="25" t="s">
        <v>464</v>
      </c>
      <c r="E409" s="25" t="s">
        <v>217</v>
      </c>
      <c r="F409" s="25" t="s">
        <v>201</v>
      </c>
      <c r="G409" s="25" t="s">
        <v>77</v>
      </c>
      <c r="H409" s="25" t="s">
        <v>1781</v>
      </c>
      <c r="I409" s="25" t="s">
        <v>295</v>
      </c>
      <c r="J409" s="25" t="s">
        <v>296</v>
      </c>
      <c r="K409" s="25" t="s">
        <v>47</v>
      </c>
      <c r="L409" s="25" t="s">
        <v>79</v>
      </c>
      <c r="M409" s="25">
        <v>13</v>
      </c>
      <c r="N409" s="25">
        <v>1200</v>
      </c>
      <c r="O409" s="25">
        <v>5</v>
      </c>
      <c r="P409" s="25">
        <v>14820</v>
      </c>
      <c r="Q409" s="25">
        <v>4</v>
      </c>
      <c r="R409" s="25" t="s">
        <v>80</v>
      </c>
      <c r="S409" s="25" t="s">
        <v>116</v>
      </c>
      <c r="T409" s="25" t="s">
        <v>133</v>
      </c>
      <c r="U409" s="25" t="s">
        <v>1782</v>
      </c>
      <c r="V409" s="25" t="s">
        <v>39</v>
      </c>
      <c r="W409" s="26">
        <v>45992</v>
      </c>
    </row>
    <row r="410" spans="1:23" ht="15.75" customHeight="1">
      <c r="A410" s="25" t="s">
        <v>1783</v>
      </c>
      <c r="B410" s="25" t="s">
        <v>24</v>
      </c>
      <c r="C410" s="25" t="s">
        <v>223</v>
      </c>
      <c r="D410" s="25" t="s">
        <v>1345</v>
      </c>
      <c r="E410" s="25" t="s">
        <v>1784</v>
      </c>
      <c r="F410" s="25" t="s">
        <v>28</v>
      </c>
      <c r="G410" s="25" t="s">
        <v>29</v>
      </c>
      <c r="H410" s="25" t="s">
        <v>1785</v>
      </c>
      <c r="I410" s="25" t="s">
        <v>31</v>
      </c>
      <c r="J410" s="25" t="s">
        <v>32</v>
      </c>
      <c r="K410" s="25" t="s">
        <v>123</v>
      </c>
      <c r="L410" s="25" t="s">
        <v>228</v>
      </c>
      <c r="M410" s="25">
        <v>14</v>
      </c>
      <c r="N410" s="25">
        <v>20</v>
      </c>
      <c r="O410" s="25">
        <v>20</v>
      </c>
      <c r="P410" s="25">
        <v>224</v>
      </c>
      <c r="Q410" s="25">
        <v>5</v>
      </c>
      <c r="R410" s="25" t="s">
        <v>89</v>
      </c>
      <c r="S410" s="25" t="s">
        <v>50</v>
      </c>
      <c r="T410" s="25" t="s">
        <v>51</v>
      </c>
      <c r="U410" s="25" t="s">
        <v>1786</v>
      </c>
      <c r="V410" s="25" t="s">
        <v>65</v>
      </c>
      <c r="W410" s="26">
        <v>46143</v>
      </c>
    </row>
    <row r="411" spans="1:23" ht="15.75" customHeight="1">
      <c r="A411" s="25" t="s">
        <v>1787</v>
      </c>
      <c r="B411" s="25" t="s">
        <v>101</v>
      </c>
      <c r="C411" s="25" t="s">
        <v>93</v>
      </c>
      <c r="D411" s="25" t="s">
        <v>1788</v>
      </c>
      <c r="E411" s="25" t="s">
        <v>1690</v>
      </c>
      <c r="F411" s="25" t="s">
        <v>104</v>
      </c>
      <c r="G411" s="25" t="s">
        <v>29</v>
      </c>
      <c r="H411" s="25" t="s">
        <v>1789</v>
      </c>
      <c r="I411" s="25" t="s">
        <v>31</v>
      </c>
      <c r="J411" s="25" t="s">
        <v>32</v>
      </c>
      <c r="K411" s="25" t="s">
        <v>33</v>
      </c>
      <c r="L411" s="25" t="s">
        <v>98</v>
      </c>
      <c r="M411" s="25">
        <v>16</v>
      </c>
      <c r="N411" s="25">
        <v>3500</v>
      </c>
      <c r="O411" s="25">
        <v>15</v>
      </c>
      <c r="P411" s="25">
        <v>47600</v>
      </c>
      <c r="Q411" s="25">
        <v>3</v>
      </c>
      <c r="R411" s="25" t="s">
        <v>89</v>
      </c>
      <c r="S411" s="25" t="s">
        <v>62</v>
      </c>
      <c r="T411" s="25" t="s">
        <v>145</v>
      </c>
      <c r="U411" s="25" t="s">
        <v>1790</v>
      </c>
      <c r="V411" s="25" t="s">
        <v>70</v>
      </c>
      <c r="W411" s="26">
        <v>46054</v>
      </c>
    </row>
    <row r="412" spans="1:23" ht="15.75" customHeight="1">
      <c r="A412" s="25" t="s">
        <v>1791</v>
      </c>
      <c r="B412" s="25" t="s">
        <v>252</v>
      </c>
      <c r="C412" s="25" t="s">
        <v>223</v>
      </c>
      <c r="D412" s="25" t="s">
        <v>988</v>
      </c>
      <c r="E412" s="25" t="s">
        <v>1111</v>
      </c>
      <c r="F412" s="25" t="s">
        <v>255</v>
      </c>
      <c r="G412" s="25" t="s">
        <v>29</v>
      </c>
      <c r="H412" s="25" t="s">
        <v>1792</v>
      </c>
      <c r="I412" s="25" t="s">
        <v>60</v>
      </c>
      <c r="J412" s="25" t="s">
        <v>32</v>
      </c>
      <c r="K412" s="25" t="s">
        <v>123</v>
      </c>
      <c r="L412" s="25" t="s">
        <v>228</v>
      </c>
      <c r="M412" s="25">
        <v>20</v>
      </c>
      <c r="N412" s="25">
        <v>20</v>
      </c>
      <c r="O412" s="25">
        <v>15</v>
      </c>
      <c r="P412" s="25">
        <v>340</v>
      </c>
      <c r="Q412" s="25">
        <v>1</v>
      </c>
      <c r="R412" s="25" t="s">
        <v>49</v>
      </c>
      <c r="S412" s="25" t="s">
        <v>62</v>
      </c>
      <c r="T412" s="25" t="s">
        <v>257</v>
      </c>
      <c r="U412" s="25" t="s">
        <v>1793</v>
      </c>
      <c r="V412" s="25" t="s">
        <v>70</v>
      </c>
      <c r="W412" s="26">
        <v>45689</v>
      </c>
    </row>
    <row r="413" spans="1:23" ht="15.75" customHeight="1">
      <c r="A413" s="25" t="s">
        <v>1794</v>
      </c>
      <c r="B413" s="25" t="s">
        <v>169</v>
      </c>
      <c r="C413" s="25" t="s">
        <v>55</v>
      </c>
      <c r="D413" s="25" t="s">
        <v>653</v>
      </c>
      <c r="E413" s="25" t="s">
        <v>667</v>
      </c>
      <c r="F413" s="25" t="s">
        <v>362</v>
      </c>
      <c r="G413" s="25" t="s">
        <v>29</v>
      </c>
      <c r="H413" s="25" t="s">
        <v>1795</v>
      </c>
      <c r="I413" s="25" t="s">
        <v>139</v>
      </c>
      <c r="J413" s="25" t="s">
        <v>107</v>
      </c>
      <c r="K413" s="25" t="s">
        <v>47</v>
      </c>
      <c r="L413" s="25" t="s">
        <v>61</v>
      </c>
      <c r="M413" s="25">
        <v>1</v>
      </c>
      <c r="N413" s="25">
        <v>55000</v>
      </c>
      <c r="O413" s="25">
        <v>15</v>
      </c>
      <c r="P413" s="25">
        <v>46750</v>
      </c>
      <c r="Q413" s="25">
        <v>2</v>
      </c>
      <c r="R413" s="25" t="s">
        <v>89</v>
      </c>
      <c r="S413" s="25" t="s">
        <v>116</v>
      </c>
      <c r="T413" s="25" t="s">
        <v>176</v>
      </c>
      <c r="U413" s="25" t="s">
        <v>1796</v>
      </c>
      <c r="V413" s="25" t="s">
        <v>70</v>
      </c>
      <c r="W413" s="26">
        <v>45748</v>
      </c>
    </row>
    <row r="414" spans="1:23" ht="15.75" customHeight="1">
      <c r="A414" s="25" t="s">
        <v>1797</v>
      </c>
      <c r="B414" s="25" t="s">
        <v>101</v>
      </c>
      <c r="C414" s="25" t="s">
        <v>119</v>
      </c>
      <c r="D414" s="25" t="s">
        <v>143</v>
      </c>
      <c r="E414" s="25" t="s">
        <v>621</v>
      </c>
      <c r="F414" s="25" t="s">
        <v>104</v>
      </c>
      <c r="G414" s="25" t="s">
        <v>29</v>
      </c>
      <c r="H414" s="25" t="s">
        <v>1798</v>
      </c>
      <c r="I414" s="25" t="s">
        <v>139</v>
      </c>
      <c r="J414" s="25" t="s">
        <v>107</v>
      </c>
      <c r="K414" s="25" t="s">
        <v>123</v>
      </c>
      <c r="L414" s="25" t="s">
        <v>124</v>
      </c>
      <c r="M414" s="25">
        <v>15</v>
      </c>
      <c r="N414" s="25">
        <v>60</v>
      </c>
      <c r="O414" s="25">
        <v>5</v>
      </c>
      <c r="P414" s="25">
        <v>855</v>
      </c>
      <c r="Q414" s="25">
        <v>4</v>
      </c>
      <c r="R414" s="25" t="s">
        <v>49</v>
      </c>
      <c r="S414" s="25" t="s">
        <v>62</v>
      </c>
      <c r="T414" s="25" t="s">
        <v>145</v>
      </c>
      <c r="U414" s="25" t="s">
        <v>1799</v>
      </c>
      <c r="V414" s="25" t="s">
        <v>39</v>
      </c>
      <c r="W414" s="26">
        <v>45658</v>
      </c>
    </row>
    <row r="415" spans="1:23" ht="15.75" customHeight="1">
      <c r="A415" s="25" t="s">
        <v>1800</v>
      </c>
      <c r="B415" s="25" t="s">
        <v>84</v>
      </c>
      <c r="C415" s="25" t="s">
        <v>185</v>
      </c>
      <c r="D415" s="25" t="s">
        <v>1801</v>
      </c>
      <c r="E415" s="25" t="s">
        <v>67</v>
      </c>
      <c r="F415" s="25" t="s">
        <v>181</v>
      </c>
      <c r="G415" s="25" t="s">
        <v>77</v>
      </c>
      <c r="H415" s="25" t="s">
        <v>1802</v>
      </c>
      <c r="I415" s="25" t="s">
        <v>106</v>
      </c>
      <c r="J415" s="25" t="s">
        <v>107</v>
      </c>
      <c r="K415" s="25" t="s">
        <v>47</v>
      </c>
      <c r="L415" s="25" t="s">
        <v>190</v>
      </c>
      <c r="M415" s="25">
        <v>15</v>
      </c>
      <c r="N415" s="25">
        <v>700</v>
      </c>
      <c r="O415" s="25">
        <v>0</v>
      </c>
      <c r="P415" s="25">
        <v>10500</v>
      </c>
      <c r="Q415" s="25">
        <v>5</v>
      </c>
      <c r="R415" s="25" t="s">
        <v>49</v>
      </c>
      <c r="S415" s="25" t="s">
        <v>116</v>
      </c>
      <c r="T415" s="25" t="s">
        <v>90</v>
      </c>
      <c r="U415" s="25" t="s">
        <v>1803</v>
      </c>
      <c r="V415" s="25" t="s">
        <v>39</v>
      </c>
      <c r="W415" s="26">
        <v>46082</v>
      </c>
    </row>
    <row r="416" spans="1:23" ht="15.75" customHeight="1">
      <c r="A416" s="25" t="s">
        <v>1804</v>
      </c>
      <c r="B416" s="25" t="s">
        <v>222</v>
      </c>
      <c r="C416" s="25" t="s">
        <v>41</v>
      </c>
      <c r="D416" s="25" t="s">
        <v>1200</v>
      </c>
      <c r="E416" s="25" t="s">
        <v>441</v>
      </c>
      <c r="F416" s="25" t="s">
        <v>226</v>
      </c>
      <c r="G416" s="25" t="s">
        <v>77</v>
      </c>
      <c r="H416" s="25" t="s">
        <v>1805</v>
      </c>
      <c r="I416" s="25" t="s">
        <v>295</v>
      </c>
      <c r="J416" s="25" t="s">
        <v>296</v>
      </c>
      <c r="K416" s="25" t="s">
        <v>47</v>
      </c>
      <c r="L416" s="25" t="s">
        <v>48</v>
      </c>
      <c r="M416" s="25">
        <v>13</v>
      </c>
      <c r="N416" s="25">
        <v>12000</v>
      </c>
      <c r="O416" s="25">
        <v>10</v>
      </c>
      <c r="P416" s="25">
        <v>140400</v>
      </c>
      <c r="Q416" s="25">
        <v>1</v>
      </c>
      <c r="R416" s="25" t="s">
        <v>35</v>
      </c>
      <c r="S416" s="25" t="s">
        <v>152</v>
      </c>
      <c r="T416" s="25" t="s">
        <v>229</v>
      </c>
      <c r="U416" s="25" t="s">
        <v>1806</v>
      </c>
      <c r="V416" s="25" t="s">
        <v>70</v>
      </c>
      <c r="W416" s="26">
        <v>46023</v>
      </c>
    </row>
    <row r="417" spans="1:23" ht="15.75" customHeight="1">
      <c r="A417" s="25" t="s">
        <v>1807</v>
      </c>
      <c r="B417" s="25" t="s">
        <v>84</v>
      </c>
      <c r="C417" s="25" t="s">
        <v>41</v>
      </c>
      <c r="D417" s="25" t="s">
        <v>1808</v>
      </c>
      <c r="E417" s="25" t="s">
        <v>1082</v>
      </c>
      <c r="F417" s="25" t="s">
        <v>181</v>
      </c>
      <c r="G417" s="25" t="s">
        <v>77</v>
      </c>
      <c r="H417" s="25" t="s">
        <v>1809</v>
      </c>
      <c r="I417" s="25" t="s">
        <v>31</v>
      </c>
      <c r="J417" s="25" t="s">
        <v>32</v>
      </c>
      <c r="K417" s="25" t="s">
        <v>47</v>
      </c>
      <c r="L417" s="25" t="s">
        <v>48</v>
      </c>
      <c r="M417" s="25">
        <v>12</v>
      </c>
      <c r="N417" s="25">
        <v>12000</v>
      </c>
      <c r="O417" s="25">
        <v>20</v>
      </c>
      <c r="P417" s="25">
        <v>115200</v>
      </c>
      <c r="Q417" s="25">
        <v>2</v>
      </c>
      <c r="R417" s="25" t="s">
        <v>35</v>
      </c>
      <c r="S417" s="25" t="s">
        <v>36</v>
      </c>
      <c r="T417" s="25" t="s">
        <v>90</v>
      </c>
      <c r="U417" s="25" t="s">
        <v>1810</v>
      </c>
      <c r="V417" s="25" t="s">
        <v>39</v>
      </c>
      <c r="W417" s="26">
        <v>46113</v>
      </c>
    </row>
    <row r="418" spans="1:23" ht="15.75" customHeight="1">
      <c r="A418" s="25" t="s">
        <v>1811</v>
      </c>
      <c r="B418" s="25" t="s">
        <v>84</v>
      </c>
      <c r="C418" s="25" t="s">
        <v>260</v>
      </c>
      <c r="D418" s="25" t="s">
        <v>120</v>
      </c>
      <c r="E418" s="25" t="s">
        <v>1299</v>
      </c>
      <c r="F418" s="25" t="s">
        <v>181</v>
      </c>
      <c r="G418" s="25" t="s">
        <v>77</v>
      </c>
      <c r="H418" s="25" t="s">
        <v>1812</v>
      </c>
      <c r="I418" s="25" t="s">
        <v>106</v>
      </c>
      <c r="J418" s="25" t="s">
        <v>107</v>
      </c>
      <c r="K418" s="25" t="s">
        <v>123</v>
      </c>
      <c r="L418" s="25" t="s">
        <v>264</v>
      </c>
      <c r="M418" s="25">
        <v>10</v>
      </c>
      <c r="N418" s="25">
        <v>45</v>
      </c>
      <c r="O418" s="25">
        <v>0</v>
      </c>
      <c r="P418" s="25">
        <v>450</v>
      </c>
      <c r="Q418" s="25">
        <v>5</v>
      </c>
      <c r="R418" s="25" t="s">
        <v>80</v>
      </c>
      <c r="S418" s="25" t="s">
        <v>116</v>
      </c>
      <c r="T418" s="25" t="s">
        <v>90</v>
      </c>
      <c r="U418" s="25" t="s">
        <v>1813</v>
      </c>
      <c r="V418" s="25" t="s">
        <v>70</v>
      </c>
      <c r="W418" s="26">
        <v>45717</v>
      </c>
    </row>
    <row r="419" spans="1:23" ht="15.75" customHeight="1">
      <c r="A419" s="25" t="s">
        <v>1814</v>
      </c>
      <c r="B419" s="25" t="s">
        <v>128</v>
      </c>
      <c r="C419" s="25" t="s">
        <v>73</v>
      </c>
      <c r="D419" s="25" t="s">
        <v>42</v>
      </c>
      <c r="E419" s="25" t="s">
        <v>597</v>
      </c>
      <c r="F419" s="25" t="s">
        <v>201</v>
      </c>
      <c r="G419" s="25" t="s">
        <v>77</v>
      </c>
      <c r="H419" s="25" t="s">
        <v>1815</v>
      </c>
      <c r="I419" s="25" t="s">
        <v>106</v>
      </c>
      <c r="J419" s="25" t="s">
        <v>107</v>
      </c>
      <c r="K419" s="25" t="s">
        <v>47</v>
      </c>
      <c r="L419" s="25" t="s">
        <v>79</v>
      </c>
      <c r="M419" s="25">
        <v>20</v>
      </c>
      <c r="N419" s="25">
        <v>1200</v>
      </c>
      <c r="O419" s="25">
        <v>20</v>
      </c>
      <c r="P419" s="25">
        <v>19200</v>
      </c>
      <c r="Q419" s="25">
        <v>5</v>
      </c>
      <c r="R419" s="25" t="s">
        <v>49</v>
      </c>
      <c r="S419" s="25" t="s">
        <v>62</v>
      </c>
      <c r="T419" s="25" t="s">
        <v>133</v>
      </c>
      <c r="U419" s="25" t="s">
        <v>1816</v>
      </c>
      <c r="V419" s="25" t="s">
        <v>70</v>
      </c>
      <c r="W419" s="26">
        <v>45748</v>
      </c>
    </row>
    <row r="420" spans="1:23" ht="15.75" customHeight="1">
      <c r="A420" s="25" t="s">
        <v>1817</v>
      </c>
      <c r="B420" s="25" t="s">
        <v>72</v>
      </c>
      <c r="C420" s="25" t="s">
        <v>73</v>
      </c>
      <c r="D420" s="25" t="s">
        <v>129</v>
      </c>
      <c r="E420" s="25" t="s">
        <v>1818</v>
      </c>
      <c r="F420" s="25" t="s">
        <v>218</v>
      </c>
      <c r="G420" s="25" t="s">
        <v>77</v>
      </c>
      <c r="H420" s="25" t="s">
        <v>1819</v>
      </c>
      <c r="I420" s="25" t="s">
        <v>115</v>
      </c>
      <c r="J420" s="25" t="s">
        <v>107</v>
      </c>
      <c r="K420" s="25" t="s">
        <v>47</v>
      </c>
      <c r="L420" s="25" t="s">
        <v>79</v>
      </c>
      <c r="M420" s="25">
        <v>8</v>
      </c>
      <c r="N420" s="25">
        <v>1200</v>
      </c>
      <c r="O420" s="25">
        <v>10</v>
      </c>
      <c r="P420" s="25">
        <v>8640</v>
      </c>
      <c r="Q420" s="25">
        <v>4</v>
      </c>
      <c r="R420" s="25" t="s">
        <v>49</v>
      </c>
      <c r="S420" s="25" t="s">
        <v>62</v>
      </c>
      <c r="T420" s="25" t="s">
        <v>81</v>
      </c>
      <c r="U420" s="25" t="s">
        <v>1820</v>
      </c>
      <c r="V420" s="25" t="s">
        <v>39</v>
      </c>
      <c r="W420" s="26">
        <v>45901</v>
      </c>
    </row>
    <row r="421" spans="1:23" ht="15.75" customHeight="1">
      <c r="A421" s="25" t="s">
        <v>1821</v>
      </c>
      <c r="B421" s="25" t="s">
        <v>128</v>
      </c>
      <c r="C421" s="25" t="s">
        <v>73</v>
      </c>
      <c r="D421" s="25" t="s">
        <v>1086</v>
      </c>
      <c r="E421" s="25" t="s">
        <v>1087</v>
      </c>
      <c r="F421" s="25" t="s">
        <v>201</v>
      </c>
      <c r="G421" s="25" t="s">
        <v>77</v>
      </c>
      <c r="H421" s="25" t="s">
        <v>1822</v>
      </c>
      <c r="I421" s="25" t="s">
        <v>213</v>
      </c>
      <c r="J421" s="25" t="s">
        <v>46</v>
      </c>
      <c r="K421" s="25" t="s">
        <v>47</v>
      </c>
      <c r="L421" s="25" t="s">
        <v>79</v>
      </c>
      <c r="M421" s="25">
        <v>8</v>
      </c>
      <c r="N421" s="25">
        <v>1200</v>
      </c>
      <c r="O421" s="25">
        <v>10</v>
      </c>
      <c r="P421" s="25">
        <v>8640</v>
      </c>
      <c r="Q421" s="25">
        <v>5</v>
      </c>
      <c r="R421" s="25" t="s">
        <v>80</v>
      </c>
      <c r="S421" s="25" t="s">
        <v>50</v>
      </c>
      <c r="T421" s="25" t="s">
        <v>133</v>
      </c>
      <c r="U421" s="25" t="s">
        <v>1823</v>
      </c>
      <c r="V421" s="25" t="s">
        <v>70</v>
      </c>
      <c r="W421" s="26">
        <v>45778</v>
      </c>
    </row>
    <row r="422" spans="1:23" ht="15.75" customHeight="1">
      <c r="A422" s="25" t="s">
        <v>1824</v>
      </c>
      <c r="B422" s="25" t="s">
        <v>328</v>
      </c>
      <c r="C422" s="25" t="s">
        <v>25</v>
      </c>
      <c r="D422" s="25" t="s">
        <v>1825</v>
      </c>
      <c r="E422" s="25" t="s">
        <v>1445</v>
      </c>
      <c r="F422" s="25" t="s">
        <v>395</v>
      </c>
      <c r="G422" s="25" t="s">
        <v>77</v>
      </c>
      <c r="H422" s="25" t="s">
        <v>1826</v>
      </c>
      <c r="I422" s="25" t="s">
        <v>213</v>
      </c>
      <c r="J422" s="25" t="s">
        <v>46</v>
      </c>
      <c r="K422" s="25" t="s">
        <v>33</v>
      </c>
      <c r="L422" s="25" t="s">
        <v>34</v>
      </c>
      <c r="M422" s="25">
        <v>9</v>
      </c>
      <c r="N422" s="25">
        <v>2200</v>
      </c>
      <c r="O422" s="25">
        <v>20</v>
      </c>
      <c r="P422" s="25">
        <v>15840</v>
      </c>
      <c r="Q422" s="25">
        <v>1</v>
      </c>
      <c r="R422" s="25" t="s">
        <v>49</v>
      </c>
      <c r="S422" s="25" t="s">
        <v>116</v>
      </c>
      <c r="T422" s="25" t="s">
        <v>333</v>
      </c>
      <c r="U422" s="25" t="s">
        <v>1827</v>
      </c>
      <c r="V422" s="25" t="s">
        <v>39</v>
      </c>
      <c r="W422" s="26">
        <v>45992</v>
      </c>
    </row>
    <row r="423" spans="1:23" ht="15.75" customHeight="1">
      <c r="A423" s="25" t="s">
        <v>1828</v>
      </c>
      <c r="B423" s="25" t="s">
        <v>128</v>
      </c>
      <c r="C423" s="25" t="s">
        <v>223</v>
      </c>
      <c r="D423" s="25" t="s">
        <v>1269</v>
      </c>
      <c r="E423" s="25" t="s">
        <v>761</v>
      </c>
      <c r="F423" s="25" t="s">
        <v>201</v>
      </c>
      <c r="G423" s="25" t="s">
        <v>77</v>
      </c>
      <c r="H423" s="25" t="s">
        <v>1829</v>
      </c>
      <c r="I423" s="25" t="s">
        <v>295</v>
      </c>
      <c r="J423" s="25" t="s">
        <v>296</v>
      </c>
      <c r="K423" s="25" t="s">
        <v>123</v>
      </c>
      <c r="L423" s="25" t="s">
        <v>228</v>
      </c>
      <c r="M423" s="25">
        <v>8</v>
      </c>
      <c r="N423" s="25">
        <v>20</v>
      </c>
      <c r="O423" s="25">
        <v>20</v>
      </c>
      <c r="P423" s="25">
        <v>128</v>
      </c>
      <c r="Q423" s="25">
        <v>4</v>
      </c>
      <c r="R423" s="25" t="s">
        <v>35</v>
      </c>
      <c r="S423" s="25" t="s">
        <v>36</v>
      </c>
      <c r="T423" s="25" t="s">
        <v>133</v>
      </c>
      <c r="U423" s="25" t="s">
        <v>1830</v>
      </c>
      <c r="V423" s="25" t="s">
        <v>70</v>
      </c>
      <c r="W423" s="26">
        <v>45658</v>
      </c>
    </row>
    <row r="424" spans="1:23" ht="15.75" customHeight="1">
      <c r="A424" s="25" t="s">
        <v>1831</v>
      </c>
      <c r="B424" s="25" t="s">
        <v>222</v>
      </c>
      <c r="C424" s="25" t="s">
        <v>55</v>
      </c>
      <c r="D424" s="25" t="s">
        <v>1177</v>
      </c>
      <c r="E424" s="25" t="s">
        <v>1832</v>
      </c>
      <c r="F424" s="25" t="s">
        <v>226</v>
      </c>
      <c r="G424" s="25" t="s">
        <v>77</v>
      </c>
      <c r="H424" s="25" t="s">
        <v>1007</v>
      </c>
      <c r="I424" s="25" t="s">
        <v>115</v>
      </c>
      <c r="J424" s="25" t="s">
        <v>107</v>
      </c>
      <c r="K424" s="25" t="s">
        <v>47</v>
      </c>
      <c r="L424" s="25" t="s">
        <v>61</v>
      </c>
      <c r="M424" s="25">
        <v>5</v>
      </c>
      <c r="N424" s="25">
        <v>55000</v>
      </c>
      <c r="O424" s="25">
        <v>0</v>
      </c>
      <c r="P424" s="25">
        <v>275000</v>
      </c>
      <c r="Q424" s="25">
        <v>1</v>
      </c>
      <c r="R424" s="25" t="s">
        <v>80</v>
      </c>
      <c r="S424" s="25" t="s">
        <v>116</v>
      </c>
      <c r="T424" s="25" t="s">
        <v>229</v>
      </c>
      <c r="U424" s="25" t="s">
        <v>1833</v>
      </c>
      <c r="V424" s="25" t="s">
        <v>39</v>
      </c>
      <c r="W424" s="26">
        <v>46023</v>
      </c>
    </row>
    <row r="425" spans="1:23" ht="15.75" customHeight="1">
      <c r="A425" s="25" t="s">
        <v>1834</v>
      </c>
      <c r="B425" s="25" t="s">
        <v>101</v>
      </c>
      <c r="C425" s="25" t="s">
        <v>73</v>
      </c>
      <c r="D425" s="25" t="s">
        <v>1835</v>
      </c>
      <c r="E425" s="25" t="s">
        <v>637</v>
      </c>
      <c r="F425" s="25" t="s">
        <v>104</v>
      </c>
      <c r="G425" s="25" t="s">
        <v>29</v>
      </c>
      <c r="H425" s="25" t="s">
        <v>1836</v>
      </c>
      <c r="I425" s="25" t="s">
        <v>106</v>
      </c>
      <c r="J425" s="25" t="s">
        <v>107</v>
      </c>
      <c r="K425" s="25" t="s">
        <v>47</v>
      </c>
      <c r="L425" s="25" t="s">
        <v>79</v>
      </c>
      <c r="M425" s="25">
        <v>13</v>
      </c>
      <c r="N425" s="25">
        <v>1200</v>
      </c>
      <c r="O425" s="25">
        <v>5</v>
      </c>
      <c r="P425" s="25">
        <v>14820</v>
      </c>
      <c r="Q425" s="25">
        <v>2</v>
      </c>
      <c r="R425" s="25" t="s">
        <v>80</v>
      </c>
      <c r="S425" s="25" t="s">
        <v>36</v>
      </c>
      <c r="T425" s="25" t="s">
        <v>145</v>
      </c>
      <c r="U425" s="25" t="s">
        <v>1837</v>
      </c>
      <c r="V425" s="25" t="s">
        <v>70</v>
      </c>
      <c r="W425" s="26">
        <v>46082</v>
      </c>
    </row>
    <row r="426" spans="1:23" ht="15.75" customHeight="1">
      <c r="A426" s="25" t="s">
        <v>1838</v>
      </c>
      <c r="B426" s="25" t="s">
        <v>84</v>
      </c>
      <c r="C426" s="25" t="s">
        <v>170</v>
      </c>
      <c r="D426" s="25" t="s">
        <v>1485</v>
      </c>
      <c r="E426" s="25" t="s">
        <v>1839</v>
      </c>
      <c r="F426" s="25" t="s">
        <v>181</v>
      </c>
      <c r="G426" s="25" t="s">
        <v>77</v>
      </c>
      <c r="H426" s="25" t="s">
        <v>1840</v>
      </c>
      <c r="I426" s="25" t="s">
        <v>213</v>
      </c>
      <c r="J426" s="25" t="s">
        <v>46</v>
      </c>
      <c r="K426" s="25" t="s">
        <v>33</v>
      </c>
      <c r="L426" s="25" t="s">
        <v>175</v>
      </c>
      <c r="M426" s="25">
        <v>13</v>
      </c>
      <c r="N426" s="25">
        <v>8500</v>
      </c>
      <c r="O426" s="25">
        <v>20</v>
      </c>
      <c r="P426" s="25">
        <v>88400</v>
      </c>
      <c r="Q426" s="25">
        <v>5</v>
      </c>
      <c r="R426" s="25" t="s">
        <v>35</v>
      </c>
      <c r="S426" s="25" t="s">
        <v>50</v>
      </c>
      <c r="T426" s="25" t="s">
        <v>90</v>
      </c>
      <c r="U426" s="25" t="s">
        <v>1841</v>
      </c>
      <c r="V426" s="25" t="s">
        <v>65</v>
      </c>
      <c r="W426" s="26">
        <v>45962</v>
      </c>
    </row>
    <row r="427" spans="1:23" ht="15.75" customHeight="1">
      <c r="A427" s="25" t="s">
        <v>1842</v>
      </c>
      <c r="B427" s="25" t="s">
        <v>72</v>
      </c>
      <c r="C427" s="25" t="s">
        <v>119</v>
      </c>
      <c r="D427" s="25" t="s">
        <v>766</v>
      </c>
      <c r="E427" s="25" t="s">
        <v>1843</v>
      </c>
      <c r="F427" s="25" t="s">
        <v>218</v>
      </c>
      <c r="G427" s="25" t="s">
        <v>77</v>
      </c>
      <c r="H427" s="25" t="s">
        <v>1844</v>
      </c>
      <c r="I427" s="25" t="s">
        <v>115</v>
      </c>
      <c r="J427" s="25" t="s">
        <v>107</v>
      </c>
      <c r="K427" s="25" t="s">
        <v>123</v>
      </c>
      <c r="L427" s="25" t="s">
        <v>124</v>
      </c>
      <c r="M427" s="25">
        <v>14</v>
      </c>
      <c r="N427" s="25">
        <v>60</v>
      </c>
      <c r="O427" s="25">
        <v>10</v>
      </c>
      <c r="P427" s="25">
        <v>756</v>
      </c>
      <c r="Q427" s="25">
        <v>1</v>
      </c>
      <c r="R427" s="25" t="s">
        <v>35</v>
      </c>
      <c r="S427" s="25" t="s">
        <v>62</v>
      </c>
      <c r="T427" s="25" t="s">
        <v>81</v>
      </c>
      <c r="U427" s="25" t="s">
        <v>1845</v>
      </c>
      <c r="V427" s="25" t="s">
        <v>70</v>
      </c>
      <c r="W427" s="26">
        <v>45689</v>
      </c>
    </row>
    <row r="428" spans="1:23" ht="15.75" customHeight="1">
      <c r="A428" s="25" t="s">
        <v>1846</v>
      </c>
      <c r="B428" s="25" t="s">
        <v>252</v>
      </c>
      <c r="C428" s="25" t="s">
        <v>25</v>
      </c>
      <c r="D428" s="25" t="s">
        <v>337</v>
      </c>
      <c r="E428" s="25" t="s">
        <v>607</v>
      </c>
      <c r="F428" s="25" t="s">
        <v>255</v>
      </c>
      <c r="G428" s="25" t="s">
        <v>29</v>
      </c>
      <c r="H428" s="25" t="s">
        <v>1847</v>
      </c>
      <c r="I428" s="25" t="s">
        <v>60</v>
      </c>
      <c r="J428" s="25" t="s">
        <v>32</v>
      </c>
      <c r="K428" s="25" t="s">
        <v>33</v>
      </c>
      <c r="L428" s="25" t="s">
        <v>34</v>
      </c>
      <c r="M428" s="25">
        <v>15</v>
      </c>
      <c r="N428" s="25">
        <v>2200</v>
      </c>
      <c r="O428" s="25">
        <v>0</v>
      </c>
      <c r="P428" s="25">
        <v>33000</v>
      </c>
      <c r="Q428" s="25">
        <v>1</v>
      </c>
      <c r="R428" s="25" t="s">
        <v>35</v>
      </c>
      <c r="S428" s="25" t="s">
        <v>62</v>
      </c>
      <c r="T428" s="25" t="s">
        <v>257</v>
      </c>
      <c r="U428" s="25" t="s">
        <v>1848</v>
      </c>
      <c r="V428" s="25" t="s">
        <v>39</v>
      </c>
      <c r="W428" s="26">
        <v>45748</v>
      </c>
    </row>
    <row r="429" spans="1:23" ht="15.75" customHeight="1">
      <c r="A429" s="25" t="s">
        <v>1849</v>
      </c>
      <c r="B429" s="25" t="s">
        <v>84</v>
      </c>
      <c r="C429" s="25" t="s">
        <v>119</v>
      </c>
      <c r="D429" s="25" t="s">
        <v>1850</v>
      </c>
      <c r="E429" s="25" t="s">
        <v>1851</v>
      </c>
      <c r="F429" s="25" t="s">
        <v>181</v>
      </c>
      <c r="G429" s="25" t="s">
        <v>77</v>
      </c>
      <c r="H429" s="25" t="s">
        <v>1852</v>
      </c>
      <c r="I429" s="25" t="s">
        <v>213</v>
      </c>
      <c r="J429" s="25" t="s">
        <v>46</v>
      </c>
      <c r="K429" s="25" t="s">
        <v>123</v>
      </c>
      <c r="L429" s="25" t="s">
        <v>124</v>
      </c>
      <c r="M429" s="25">
        <v>19</v>
      </c>
      <c r="N429" s="25">
        <v>60</v>
      </c>
      <c r="O429" s="25">
        <v>20</v>
      </c>
      <c r="P429" s="25">
        <v>912</v>
      </c>
      <c r="Q429" s="25">
        <v>3</v>
      </c>
      <c r="R429" s="25" t="s">
        <v>35</v>
      </c>
      <c r="S429" s="25" t="s">
        <v>152</v>
      </c>
      <c r="T429" s="25" t="s">
        <v>90</v>
      </c>
      <c r="U429" s="25" t="s">
        <v>1853</v>
      </c>
      <c r="V429" s="25" t="s">
        <v>65</v>
      </c>
      <c r="W429" s="26">
        <v>45870</v>
      </c>
    </row>
    <row r="430" spans="1:23" ht="15.75" customHeight="1">
      <c r="A430" s="25" t="s">
        <v>1854</v>
      </c>
      <c r="B430" s="25" t="s">
        <v>54</v>
      </c>
      <c r="C430" s="25" t="s">
        <v>260</v>
      </c>
      <c r="D430" s="25" t="s">
        <v>1761</v>
      </c>
      <c r="E430" s="25" t="s">
        <v>342</v>
      </c>
      <c r="F430" s="25" t="s">
        <v>164</v>
      </c>
      <c r="G430" s="25" t="s">
        <v>29</v>
      </c>
      <c r="H430" s="25" t="s">
        <v>1855</v>
      </c>
      <c r="I430" s="25" t="s">
        <v>213</v>
      </c>
      <c r="J430" s="25" t="s">
        <v>46</v>
      </c>
      <c r="K430" s="25" t="s">
        <v>123</v>
      </c>
      <c r="L430" s="25" t="s">
        <v>264</v>
      </c>
      <c r="M430" s="25">
        <v>13</v>
      </c>
      <c r="N430" s="25">
        <v>45</v>
      </c>
      <c r="O430" s="25">
        <v>15</v>
      </c>
      <c r="P430" s="25">
        <v>497.25</v>
      </c>
      <c r="Q430" s="25">
        <v>2</v>
      </c>
      <c r="R430" s="25" t="s">
        <v>35</v>
      </c>
      <c r="S430" s="25" t="s">
        <v>50</v>
      </c>
      <c r="T430" s="25" t="s">
        <v>63</v>
      </c>
      <c r="U430" s="25" t="s">
        <v>1856</v>
      </c>
      <c r="V430" s="25" t="s">
        <v>39</v>
      </c>
      <c r="W430" s="26">
        <v>45931</v>
      </c>
    </row>
    <row r="431" spans="1:23" ht="15.75" customHeight="1">
      <c r="A431" s="25" t="s">
        <v>1857</v>
      </c>
      <c r="B431" s="25" t="s">
        <v>252</v>
      </c>
      <c r="C431" s="25" t="s">
        <v>41</v>
      </c>
      <c r="D431" s="25" t="s">
        <v>999</v>
      </c>
      <c r="E431" s="25" t="s">
        <v>1129</v>
      </c>
      <c r="F431" s="25" t="s">
        <v>255</v>
      </c>
      <c r="G431" s="25" t="s">
        <v>29</v>
      </c>
      <c r="H431" s="25" t="s">
        <v>1858</v>
      </c>
      <c r="I431" s="25" t="s">
        <v>106</v>
      </c>
      <c r="J431" s="25" t="s">
        <v>107</v>
      </c>
      <c r="K431" s="25" t="s">
        <v>47</v>
      </c>
      <c r="L431" s="25" t="s">
        <v>48</v>
      </c>
      <c r="M431" s="25">
        <v>7</v>
      </c>
      <c r="N431" s="25">
        <v>12000</v>
      </c>
      <c r="O431" s="25">
        <v>5</v>
      </c>
      <c r="P431" s="25">
        <v>79800</v>
      </c>
      <c r="Q431" s="25">
        <v>4</v>
      </c>
      <c r="R431" s="25" t="s">
        <v>80</v>
      </c>
      <c r="S431" s="25" t="s">
        <v>152</v>
      </c>
      <c r="T431" s="25" t="s">
        <v>257</v>
      </c>
      <c r="U431" s="25" t="s">
        <v>1859</v>
      </c>
      <c r="V431" s="25" t="s">
        <v>70</v>
      </c>
      <c r="W431" s="26">
        <v>46023</v>
      </c>
    </row>
    <row r="432" spans="1:23" ht="15.75" customHeight="1">
      <c r="A432" s="25" t="s">
        <v>1860</v>
      </c>
      <c r="B432" s="25" t="s">
        <v>328</v>
      </c>
      <c r="C432" s="25" t="s">
        <v>223</v>
      </c>
      <c r="D432" s="25" t="s">
        <v>602</v>
      </c>
      <c r="E432" s="25" t="s">
        <v>65</v>
      </c>
      <c r="F432" s="25" t="s">
        <v>395</v>
      </c>
      <c r="G432" s="25" t="s">
        <v>77</v>
      </c>
      <c r="H432" s="25" t="s">
        <v>1861</v>
      </c>
      <c r="I432" s="25" t="s">
        <v>295</v>
      </c>
      <c r="J432" s="25" t="s">
        <v>296</v>
      </c>
      <c r="K432" s="25" t="s">
        <v>123</v>
      </c>
      <c r="L432" s="25" t="s">
        <v>228</v>
      </c>
      <c r="M432" s="25">
        <v>8</v>
      </c>
      <c r="N432" s="25">
        <v>20</v>
      </c>
      <c r="O432" s="25">
        <v>0</v>
      </c>
      <c r="P432" s="25">
        <v>160</v>
      </c>
      <c r="Q432" s="25">
        <v>4</v>
      </c>
      <c r="R432" s="25" t="s">
        <v>80</v>
      </c>
      <c r="S432" s="25" t="s">
        <v>62</v>
      </c>
      <c r="T432" s="25" t="s">
        <v>333</v>
      </c>
      <c r="U432" s="25" t="s">
        <v>1862</v>
      </c>
      <c r="V432" s="25" t="s">
        <v>65</v>
      </c>
      <c r="W432" s="26">
        <v>46143</v>
      </c>
    </row>
    <row r="433" spans="1:23" ht="15.75" customHeight="1">
      <c r="A433" s="25" t="s">
        <v>1863</v>
      </c>
      <c r="B433" s="25" t="s">
        <v>24</v>
      </c>
      <c r="C433" s="25" t="s">
        <v>93</v>
      </c>
      <c r="D433" s="25" t="s">
        <v>1864</v>
      </c>
      <c r="E433" s="25" t="s">
        <v>901</v>
      </c>
      <c r="F433" s="25" t="s">
        <v>28</v>
      </c>
      <c r="G433" s="25" t="s">
        <v>29</v>
      </c>
      <c r="H433" s="25" t="s">
        <v>1865</v>
      </c>
      <c r="I433" s="25" t="s">
        <v>295</v>
      </c>
      <c r="J433" s="25" t="s">
        <v>296</v>
      </c>
      <c r="K433" s="25" t="s">
        <v>33</v>
      </c>
      <c r="L433" s="25" t="s">
        <v>98</v>
      </c>
      <c r="M433" s="25">
        <v>16</v>
      </c>
      <c r="N433" s="25">
        <v>3500</v>
      </c>
      <c r="O433" s="25">
        <v>5</v>
      </c>
      <c r="P433" s="25">
        <v>53200</v>
      </c>
      <c r="Q433" s="25">
        <v>1</v>
      </c>
      <c r="R433" s="25" t="s">
        <v>80</v>
      </c>
      <c r="S433" s="25" t="s">
        <v>62</v>
      </c>
      <c r="T433" s="25" t="s">
        <v>51</v>
      </c>
      <c r="U433" s="25" t="s">
        <v>1866</v>
      </c>
      <c r="V433" s="25" t="s">
        <v>70</v>
      </c>
      <c r="W433" s="26">
        <v>45689</v>
      </c>
    </row>
    <row r="434" spans="1:23" ht="15.75" customHeight="1">
      <c r="A434" s="25" t="s">
        <v>1867</v>
      </c>
      <c r="B434" s="25" t="s">
        <v>328</v>
      </c>
      <c r="C434" s="25" t="s">
        <v>170</v>
      </c>
      <c r="D434" s="25" t="s">
        <v>1868</v>
      </c>
      <c r="E434" s="25" t="s">
        <v>1158</v>
      </c>
      <c r="F434" s="25" t="s">
        <v>395</v>
      </c>
      <c r="G434" s="25" t="s">
        <v>77</v>
      </c>
      <c r="H434" s="25" t="s">
        <v>1869</v>
      </c>
      <c r="I434" s="25" t="s">
        <v>106</v>
      </c>
      <c r="J434" s="25" t="s">
        <v>107</v>
      </c>
      <c r="K434" s="25" t="s">
        <v>33</v>
      </c>
      <c r="L434" s="25" t="s">
        <v>175</v>
      </c>
      <c r="M434" s="25">
        <v>12</v>
      </c>
      <c r="N434" s="25">
        <v>8500</v>
      </c>
      <c r="O434" s="25">
        <v>10</v>
      </c>
      <c r="P434" s="25">
        <v>91800</v>
      </c>
      <c r="Q434" s="25">
        <v>3</v>
      </c>
      <c r="R434" s="25" t="s">
        <v>80</v>
      </c>
      <c r="S434" s="25" t="s">
        <v>36</v>
      </c>
      <c r="T434" s="25" t="s">
        <v>333</v>
      </c>
      <c r="U434" s="25" t="s">
        <v>1870</v>
      </c>
      <c r="V434" s="25" t="s">
        <v>39</v>
      </c>
      <c r="W434" s="26">
        <v>45689</v>
      </c>
    </row>
    <row r="435" spans="1:23" ht="15.75" customHeight="1">
      <c r="A435" s="25" t="s">
        <v>1871</v>
      </c>
      <c r="B435" s="25" t="s">
        <v>24</v>
      </c>
      <c r="C435" s="25" t="s">
        <v>119</v>
      </c>
      <c r="D435" s="25" t="s">
        <v>540</v>
      </c>
      <c r="E435" s="25" t="s">
        <v>1115</v>
      </c>
      <c r="F435" s="25" t="s">
        <v>28</v>
      </c>
      <c r="G435" s="25" t="s">
        <v>29</v>
      </c>
      <c r="H435" s="25" t="s">
        <v>1872</v>
      </c>
      <c r="I435" s="25" t="s">
        <v>139</v>
      </c>
      <c r="J435" s="25" t="s">
        <v>107</v>
      </c>
      <c r="K435" s="25" t="s">
        <v>123</v>
      </c>
      <c r="L435" s="25" t="s">
        <v>124</v>
      </c>
      <c r="M435" s="25">
        <v>1</v>
      </c>
      <c r="N435" s="25">
        <v>60</v>
      </c>
      <c r="O435" s="25">
        <v>20</v>
      </c>
      <c r="P435" s="25">
        <v>48</v>
      </c>
      <c r="Q435" s="25">
        <v>2</v>
      </c>
      <c r="R435" s="25" t="s">
        <v>80</v>
      </c>
      <c r="S435" s="25" t="s">
        <v>152</v>
      </c>
      <c r="T435" s="25" t="s">
        <v>51</v>
      </c>
      <c r="U435" s="25" t="s">
        <v>1873</v>
      </c>
      <c r="V435" s="25" t="s">
        <v>39</v>
      </c>
      <c r="W435" s="26">
        <v>45748</v>
      </c>
    </row>
    <row r="436" spans="1:23" ht="15.75" customHeight="1">
      <c r="A436" s="25" t="s">
        <v>1874</v>
      </c>
      <c r="B436" s="25" t="s">
        <v>128</v>
      </c>
      <c r="C436" s="25" t="s">
        <v>119</v>
      </c>
      <c r="D436" s="25" t="s">
        <v>508</v>
      </c>
      <c r="E436" s="25" t="s">
        <v>536</v>
      </c>
      <c r="F436" s="25" t="s">
        <v>201</v>
      </c>
      <c r="G436" s="25" t="s">
        <v>77</v>
      </c>
      <c r="H436" s="25" t="s">
        <v>1875</v>
      </c>
      <c r="I436" s="25" t="s">
        <v>31</v>
      </c>
      <c r="J436" s="25" t="s">
        <v>32</v>
      </c>
      <c r="K436" s="25" t="s">
        <v>123</v>
      </c>
      <c r="L436" s="25" t="s">
        <v>124</v>
      </c>
      <c r="M436" s="25">
        <v>3</v>
      </c>
      <c r="N436" s="25">
        <v>60</v>
      </c>
      <c r="O436" s="25">
        <v>15</v>
      </c>
      <c r="P436" s="25">
        <v>153</v>
      </c>
      <c r="Q436" s="25">
        <v>4</v>
      </c>
      <c r="R436" s="25" t="s">
        <v>80</v>
      </c>
      <c r="S436" s="25" t="s">
        <v>36</v>
      </c>
      <c r="T436" s="25" t="s">
        <v>133</v>
      </c>
      <c r="U436" s="25" t="s">
        <v>1876</v>
      </c>
      <c r="V436" s="25" t="s">
        <v>39</v>
      </c>
      <c r="W436" s="26">
        <v>45962</v>
      </c>
    </row>
    <row r="437" spans="1:23" ht="15.75" customHeight="1">
      <c r="A437" s="25" t="s">
        <v>1877</v>
      </c>
      <c r="B437" s="25" t="s">
        <v>101</v>
      </c>
      <c r="C437" s="25" t="s">
        <v>185</v>
      </c>
      <c r="D437" s="25" t="s">
        <v>569</v>
      </c>
      <c r="E437" s="25" t="s">
        <v>120</v>
      </c>
      <c r="F437" s="25" t="s">
        <v>104</v>
      </c>
      <c r="G437" s="25" t="s">
        <v>29</v>
      </c>
      <c r="H437" s="25" t="s">
        <v>1878</v>
      </c>
      <c r="I437" s="25" t="s">
        <v>295</v>
      </c>
      <c r="J437" s="25" t="s">
        <v>296</v>
      </c>
      <c r="K437" s="25" t="s">
        <v>47</v>
      </c>
      <c r="L437" s="25" t="s">
        <v>190</v>
      </c>
      <c r="M437" s="25">
        <v>10</v>
      </c>
      <c r="N437" s="25">
        <v>700</v>
      </c>
      <c r="O437" s="25">
        <v>15</v>
      </c>
      <c r="P437" s="25">
        <v>5950</v>
      </c>
      <c r="Q437" s="25">
        <v>3</v>
      </c>
      <c r="R437" s="25" t="s">
        <v>49</v>
      </c>
      <c r="S437" s="25" t="s">
        <v>36</v>
      </c>
      <c r="T437" s="25" t="s">
        <v>145</v>
      </c>
      <c r="U437" s="25" t="s">
        <v>1879</v>
      </c>
      <c r="V437" s="25" t="s">
        <v>65</v>
      </c>
      <c r="W437" s="26">
        <v>45717</v>
      </c>
    </row>
    <row r="438" spans="1:23" ht="15.75" customHeight="1">
      <c r="A438" s="25" t="s">
        <v>1880</v>
      </c>
      <c r="B438" s="25" t="s">
        <v>84</v>
      </c>
      <c r="C438" s="25" t="s">
        <v>223</v>
      </c>
      <c r="D438" s="25" t="s">
        <v>1881</v>
      </c>
      <c r="E438" s="25" t="s">
        <v>1882</v>
      </c>
      <c r="F438" s="25" t="s">
        <v>181</v>
      </c>
      <c r="G438" s="25" t="s">
        <v>77</v>
      </c>
      <c r="H438" s="25" t="s">
        <v>1883</v>
      </c>
      <c r="I438" s="25" t="s">
        <v>139</v>
      </c>
      <c r="J438" s="25" t="s">
        <v>107</v>
      </c>
      <c r="K438" s="25" t="s">
        <v>123</v>
      </c>
      <c r="L438" s="25" t="s">
        <v>228</v>
      </c>
      <c r="M438" s="25">
        <v>2</v>
      </c>
      <c r="N438" s="25">
        <v>20</v>
      </c>
      <c r="O438" s="25">
        <v>10</v>
      </c>
      <c r="P438" s="25">
        <v>36</v>
      </c>
      <c r="Q438" s="25">
        <v>2</v>
      </c>
      <c r="R438" s="25" t="s">
        <v>89</v>
      </c>
      <c r="S438" s="25" t="s">
        <v>62</v>
      </c>
      <c r="T438" s="25" t="s">
        <v>90</v>
      </c>
      <c r="U438" s="25" t="s">
        <v>1884</v>
      </c>
      <c r="V438" s="25" t="s">
        <v>39</v>
      </c>
      <c r="W438" s="26">
        <v>45931</v>
      </c>
    </row>
    <row r="439" spans="1:23" ht="15.75" customHeight="1">
      <c r="A439" s="25" t="s">
        <v>1885</v>
      </c>
      <c r="B439" s="25" t="s">
        <v>84</v>
      </c>
      <c r="C439" s="25" t="s">
        <v>223</v>
      </c>
      <c r="D439" s="25" t="s">
        <v>1886</v>
      </c>
      <c r="E439" s="25" t="s">
        <v>1200</v>
      </c>
      <c r="F439" s="25" t="s">
        <v>181</v>
      </c>
      <c r="G439" s="25" t="s">
        <v>77</v>
      </c>
      <c r="H439" s="25" t="s">
        <v>1887</v>
      </c>
      <c r="I439" s="25" t="s">
        <v>45</v>
      </c>
      <c r="J439" s="25" t="s">
        <v>46</v>
      </c>
      <c r="K439" s="25" t="s">
        <v>123</v>
      </c>
      <c r="L439" s="25" t="s">
        <v>228</v>
      </c>
      <c r="M439" s="25">
        <v>14</v>
      </c>
      <c r="N439" s="25">
        <v>20</v>
      </c>
      <c r="O439" s="25">
        <v>20</v>
      </c>
      <c r="P439" s="25">
        <v>224</v>
      </c>
      <c r="Q439" s="25">
        <v>5</v>
      </c>
      <c r="R439" s="25" t="s">
        <v>35</v>
      </c>
      <c r="S439" s="25" t="s">
        <v>152</v>
      </c>
      <c r="T439" s="25" t="s">
        <v>90</v>
      </c>
      <c r="U439" s="25" t="s">
        <v>1888</v>
      </c>
      <c r="V439" s="25" t="s">
        <v>65</v>
      </c>
      <c r="W439" s="26">
        <v>45992</v>
      </c>
    </row>
    <row r="440" spans="1:23" ht="15.75" customHeight="1">
      <c r="A440" s="25" t="s">
        <v>1889</v>
      </c>
      <c r="B440" s="25" t="s">
        <v>328</v>
      </c>
      <c r="C440" s="25" t="s">
        <v>93</v>
      </c>
      <c r="D440" s="25" t="s">
        <v>1714</v>
      </c>
      <c r="E440" s="25" t="s">
        <v>194</v>
      </c>
      <c r="F440" s="25" t="s">
        <v>395</v>
      </c>
      <c r="G440" s="25" t="s">
        <v>77</v>
      </c>
      <c r="H440" s="25" t="s">
        <v>1890</v>
      </c>
      <c r="I440" s="25" t="s">
        <v>139</v>
      </c>
      <c r="J440" s="25" t="s">
        <v>107</v>
      </c>
      <c r="K440" s="25" t="s">
        <v>33</v>
      </c>
      <c r="L440" s="25" t="s">
        <v>98</v>
      </c>
      <c r="M440" s="25">
        <v>4</v>
      </c>
      <c r="N440" s="25">
        <v>3500</v>
      </c>
      <c r="O440" s="25">
        <v>0</v>
      </c>
      <c r="P440" s="25">
        <v>14000</v>
      </c>
      <c r="Q440" s="25">
        <v>2</v>
      </c>
      <c r="R440" s="25" t="s">
        <v>89</v>
      </c>
      <c r="S440" s="25" t="s">
        <v>36</v>
      </c>
      <c r="T440" s="25" t="s">
        <v>333</v>
      </c>
      <c r="U440" s="25" t="s">
        <v>1891</v>
      </c>
      <c r="V440" s="25" t="s">
        <v>70</v>
      </c>
      <c r="W440" s="26">
        <v>45809</v>
      </c>
    </row>
    <row r="441" spans="1:23" ht="15.75" customHeight="1">
      <c r="A441" s="25" t="s">
        <v>1892</v>
      </c>
      <c r="B441" s="25" t="s">
        <v>84</v>
      </c>
      <c r="C441" s="25" t="s">
        <v>93</v>
      </c>
      <c r="D441" s="25" t="s">
        <v>319</v>
      </c>
      <c r="E441" s="25" t="s">
        <v>1120</v>
      </c>
      <c r="F441" s="25" t="s">
        <v>181</v>
      </c>
      <c r="G441" s="25" t="s">
        <v>77</v>
      </c>
      <c r="H441" s="25" t="s">
        <v>1893</v>
      </c>
      <c r="I441" s="25" t="s">
        <v>213</v>
      </c>
      <c r="J441" s="25" t="s">
        <v>46</v>
      </c>
      <c r="K441" s="25" t="s">
        <v>33</v>
      </c>
      <c r="L441" s="25" t="s">
        <v>98</v>
      </c>
      <c r="M441" s="25">
        <v>9</v>
      </c>
      <c r="N441" s="25">
        <v>3500</v>
      </c>
      <c r="O441" s="25">
        <v>5</v>
      </c>
      <c r="P441" s="25">
        <v>29925</v>
      </c>
      <c r="Q441" s="25">
        <v>3</v>
      </c>
      <c r="R441" s="25" t="s">
        <v>80</v>
      </c>
      <c r="S441" s="25" t="s">
        <v>62</v>
      </c>
      <c r="T441" s="25" t="s">
        <v>90</v>
      </c>
      <c r="U441" s="25" t="s">
        <v>1894</v>
      </c>
      <c r="V441" s="25" t="s">
        <v>39</v>
      </c>
      <c r="W441" s="26">
        <v>45809</v>
      </c>
    </row>
    <row r="442" spans="1:23" ht="15.75" customHeight="1">
      <c r="A442" s="25" t="s">
        <v>1895</v>
      </c>
      <c r="B442" s="25" t="s">
        <v>128</v>
      </c>
      <c r="C442" s="25" t="s">
        <v>119</v>
      </c>
      <c r="D442" s="25" t="s">
        <v>684</v>
      </c>
      <c r="E442" s="25" t="s">
        <v>1466</v>
      </c>
      <c r="F442" s="25" t="s">
        <v>201</v>
      </c>
      <c r="G442" s="25" t="s">
        <v>77</v>
      </c>
      <c r="H442" s="25" t="s">
        <v>1896</v>
      </c>
      <c r="I442" s="25" t="s">
        <v>106</v>
      </c>
      <c r="J442" s="25" t="s">
        <v>107</v>
      </c>
      <c r="K442" s="25" t="s">
        <v>123</v>
      </c>
      <c r="L442" s="25" t="s">
        <v>124</v>
      </c>
      <c r="M442" s="25">
        <v>9</v>
      </c>
      <c r="N442" s="25">
        <v>60</v>
      </c>
      <c r="O442" s="25">
        <v>0</v>
      </c>
      <c r="P442" s="25">
        <v>540</v>
      </c>
      <c r="Q442" s="25">
        <v>3</v>
      </c>
      <c r="R442" s="25" t="s">
        <v>89</v>
      </c>
      <c r="S442" s="25" t="s">
        <v>36</v>
      </c>
      <c r="T442" s="25" t="s">
        <v>133</v>
      </c>
      <c r="U442" s="25" t="s">
        <v>1897</v>
      </c>
      <c r="V442" s="25" t="s">
        <v>65</v>
      </c>
      <c r="W442" s="26">
        <v>45778</v>
      </c>
    </row>
    <row r="443" spans="1:23" ht="15.75" customHeight="1">
      <c r="A443" s="25" t="s">
        <v>1898</v>
      </c>
      <c r="B443" s="25" t="s">
        <v>169</v>
      </c>
      <c r="C443" s="25" t="s">
        <v>73</v>
      </c>
      <c r="D443" s="25" t="s">
        <v>1899</v>
      </c>
      <c r="E443" s="25" t="s">
        <v>1264</v>
      </c>
      <c r="F443" s="25" t="s">
        <v>362</v>
      </c>
      <c r="G443" s="25" t="s">
        <v>29</v>
      </c>
      <c r="H443" s="25" t="s">
        <v>1900</v>
      </c>
      <c r="I443" s="25" t="s">
        <v>139</v>
      </c>
      <c r="J443" s="25" t="s">
        <v>107</v>
      </c>
      <c r="K443" s="25" t="s">
        <v>47</v>
      </c>
      <c r="L443" s="25" t="s">
        <v>79</v>
      </c>
      <c r="M443" s="25">
        <v>4</v>
      </c>
      <c r="N443" s="25">
        <v>1200</v>
      </c>
      <c r="O443" s="25">
        <v>0</v>
      </c>
      <c r="P443" s="25">
        <v>4800</v>
      </c>
      <c r="Q443" s="25">
        <v>1</v>
      </c>
      <c r="R443" s="25" t="s">
        <v>49</v>
      </c>
      <c r="S443" s="25" t="s">
        <v>62</v>
      </c>
      <c r="T443" s="25" t="s">
        <v>176</v>
      </c>
      <c r="U443" s="25" t="s">
        <v>1901</v>
      </c>
      <c r="V443" s="25" t="s">
        <v>39</v>
      </c>
      <c r="W443" s="26">
        <v>45778</v>
      </c>
    </row>
    <row r="444" spans="1:23" ht="15.75" customHeight="1">
      <c r="A444" s="25" t="s">
        <v>1902</v>
      </c>
      <c r="B444" s="25" t="s">
        <v>54</v>
      </c>
      <c r="C444" s="25" t="s">
        <v>55</v>
      </c>
      <c r="D444" s="25" t="s">
        <v>1621</v>
      </c>
      <c r="E444" s="25" t="s">
        <v>303</v>
      </c>
      <c r="F444" s="25" t="s">
        <v>164</v>
      </c>
      <c r="G444" s="25" t="s">
        <v>29</v>
      </c>
      <c r="H444" s="25" t="s">
        <v>1903</v>
      </c>
      <c r="I444" s="25" t="s">
        <v>31</v>
      </c>
      <c r="J444" s="25" t="s">
        <v>32</v>
      </c>
      <c r="K444" s="25" t="s">
        <v>47</v>
      </c>
      <c r="L444" s="25" t="s">
        <v>61</v>
      </c>
      <c r="M444" s="25">
        <v>10</v>
      </c>
      <c r="N444" s="25">
        <v>55000</v>
      </c>
      <c r="O444" s="25">
        <v>5</v>
      </c>
      <c r="P444" s="25">
        <v>522500</v>
      </c>
      <c r="Q444" s="25">
        <v>5</v>
      </c>
      <c r="R444" s="25" t="s">
        <v>89</v>
      </c>
      <c r="S444" s="25" t="s">
        <v>116</v>
      </c>
      <c r="T444" s="25" t="s">
        <v>63</v>
      </c>
      <c r="U444" s="25" t="s">
        <v>1904</v>
      </c>
      <c r="V444" s="25" t="s">
        <v>39</v>
      </c>
      <c r="W444" s="26">
        <v>45689</v>
      </c>
    </row>
    <row r="445" spans="1:23" ht="15.75" customHeight="1">
      <c r="A445" s="25" t="s">
        <v>1905</v>
      </c>
      <c r="B445" s="25" t="s">
        <v>222</v>
      </c>
      <c r="C445" s="25" t="s">
        <v>260</v>
      </c>
      <c r="D445" s="25" t="s">
        <v>1906</v>
      </c>
      <c r="E445" s="25" t="s">
        <v>882</v>
      </c>
      <c r="F445" s="25" t="s">
        <v>226</v>
      </c>
      <c r="G445" s="25" t="s">
        <v>77</v>
      </c>
      <c r="H445" s="25" t="s">
        <v>1907</v>
      </c>
      <c r="I445" s="25" t="s">
        <v>31</v>
      </c>
      <c r="J445" s="25" t="s">
        <v>32</v>
      </c>
      <c r="K445" s="25" t="s">
        <v>123</v>
      </c>
      <c r="L445" s="25" t="s">
        <v>264</v>
      </c>
      <c r="M445" s="25">
        <v>20</v>
      </c>
      <c r="N445" s="25">
        <v>45</v>
      </c>
      <c r="O445" s="25">
        <v>15</v>
      </c>
      <c r="P445" s="25">
        <v>765</v>
      </c>
      <c r="Q445" s="25">
        <v>2</v>
      </c>
      <c r="R445" s="25" t="s">
        <v>80</v>
      </c>
      <c r="S445" s="25" t="s">
        <v>36</v>
      </c>
      <c r="T445" s="25" t="s">
        <v>229</v>
      </c>
      <c r="U445" s="25" t="s">
        <v>1908</v>
      </c>
      <c r="V445" s="25" t="s">
        <v>70</v>
      </c>
      <c r="W445" s="26">
        <v>45809</v>
      </c>
    </row>
    <row r="446" spans="1:23" ht="15.75" customHeight="1">
      <c r="A446" s="25" t="s">
        <v>1909</v>
      </c>
      <c r="B446" s="25" t="s">
        <v>24</v>
      </c>
      <c r="C446" s="25" t="s">
        <v>223</v>
      </c>
      <c r="D446" s="25" t="s">
        <v>315</v>
      </c>
      <c r="E446" s="25" t="s">
        <v>171</v>
      </c>
      <c r="F446" s="25" t="s">
        <v>28</v>
      </c>
      <c r="G446" s="25" t="s">
        <v>29</v>
      </c>
      <c r="H446" s="25" t="s">
        <v>1910</v>
      </c>
      <c r="I446" s="25" t="s">
        <v>106</v>
      </c>
      <c r="J446" s="25" t="s">
        <v>107</v>
      </c>
      <c r="K446" s="25" t="s">
        <v>123</v>
      </c>
      <c r="L446" s="25" t="s">
        <v>228</v>
      </c>
      <c r="M446" s="25">
        <v>9</v>
      </c>
      <c r="N446" s="25">
        <v>20</v>
      </c>
      <c r="O446" s="25">
        <v>20</v>
      </c>
      <c r="P446" s="25">
        <v>144</v>
      </c>
      <c r="Q446" s="25">
        <v>3</v>
      </c>
      <c r="R446" s="25" t="s">
        <v>80</v>
      </c>
      <c r="S446" s="25" t="s">
        <v>62</v>
      </c>
      <c r="T446" s="25" t="s">
        <v>51</v>
      </c>
      <c r="U446" s="25" t="s">
        <v>1911</v>
      </c>
      <c r="V446" s="25" t="s">
        <v>39</v>
      </c>
      <c r="W446" s="26">
        <v>46054</v>
      </c>
    </row>
    <row r="447" spans="1:23" ht="15.75" customHeight="1">
      <c r="A447" s="25" t="s">
        <v>1912</v>
      </c>
      <c r="B447" s="25" t="s">
        <v>24</v>
      </c>
      <c r="C447" s="25" t="s">
        <v>55</v>
      </c>
      <c r="D447" s="25" t="s">
        <v>1913</v>
      </c>
      <c r="E447" s="25" t="s">
        <v>911</v>
      </c>
      <c r="F447" s="25" t="s">
        <v>28</v>
      </c>
      <c r="G447" s="25" t="s">
        <v>29</v>
      </c>
      <c r="H447" s="25" t="s">
        <v>1914</v>
      </c>
      <c r="I447" s="25" t="s">
        <v>115</v>
      </c>
      <c r="J447" s="25" t="s">
        <v>107</v>
      </c>
      <c r="K447" s="25" t="s">
        <v>47</v>
      </c>
      <c r="L447" s="25" t="s">
        <v>61</v>
      </c>
      <c r="M447" s="25">
        <v>8</v>
      </c>
      <c r="N447" s="25">
        <v>55000</v>
      </c>
      <c r="O447" s="25">
        <v>0</v>
      </c>
      <c r="P447" s="25">
        <v>440000</v>
      </c>
      <c r="Q447" s="25">
        <v>4</v>
      </c>
      <c r="R447" s="25" t="s">
        <v>35</v>
      </c>
      <c r="S447" s="25" t="s">
        <v>116</v>
      </c>
      <c r="T447" s="25" t="s">
        <v>51</v>
      </c>
      <c r="U447" s="25" t="s">
        <v>1915</v>
      </c>
      <c r="V447" s="25" t="s">
        <v>39</v>
      </c>
      <c r="W447" s="26">
        <v>45717</v>
      </c>
    </row>
    <row r="448" spans="1:23" ht="15.75" customHeight="1">
      <c r="A448" s="25" t="s">
        <v>1916</v>
      </c>
      <c r="B448" s="25" t="s">
        <v>328</v>
      </c>
      <c r="C448" s="25" t="s">
        <v>73</v>
      </c>
      <c r="D448" s="25" t="s">
        <v>1917</v>
      </c>
      <c r="E448" s="25" t="s">
        <v>1431</v>
      </c>
      <c r="F448" s="25" t="s">
        <v>395</v>
      </c>
      <c r="G448" s="25" t="s">
        <v>77</v>
      </c>
      <c r="H448" s="25" t="s">
        <v>1918</v>
      </c>
      <c r="I448" s="25" t="s">
        <v>139</v>
      </c>
      <c r="J448" s="25" t="s">
        <v>107</v>
      </c>
      <c r="K448" s="25" t="s">
        <v>47</v>
      </c>
      <c r="L448" s="25" t="s">
        <v>79</v>
      </c>
      <c r="M448" s="25">
        <v>4</v>
      </c>
      <c r="N448" s="25">
        <v>1200</v>
      </c>
      <c r="O448" s="25">
        <v>10</v>
      </c>
      <c r="P448" s="25">
        <v>4320</v>
      </c>
      <c r="Q448" s="25">
        <v>4</v>
      </c>
      <c r="R448" s="25" t="s">
        <v>89</v>
      </c>
      <c r="S448" s="25" t="s">
        <v>36</v>
      </c>
      <c r="T448" s="25" t="s">
        <v>1919</v>
      </c>
      <c r="U448" s="25" t="s">
        <v>1920</v>
      </c>
      <c r="V448" s="25" t="s">
        <v>70</v>
      </c>
      <c r="W448" s="26">
        <v>46113</v>
      </c>
    </row>
    <row r="449" spans="1:23" ht="15.75" customHeight="1">
      <c r="A449" s="25" t="s">
        <v>1921</v>
      </c>
      <c r="B449" s="25" t="s">
        <v>328</v>
      </c>
      <c r="C449" s="25" t="s">
        <v>170</v>
      </c>
      <c r="D449" s="25" t="s">
        <v>519</v>
      </c>
      <c r="E449" s="25" t="s">
        <v>427</v>
      </c>
      <c r="F449" s="25" t="s">
        <v>395</v>
      </c>
      <c r="G449" s="25" t="s">
        <v>77</v>
      </c>
      <c r="H449" s="25" t="s">
        <v>1922</v>
      </c>
      <c r="I449" s="25" t="s">
        <v>295</v>
      </c>
      <c r="J449" s="25" t="s">
        <v>296</v>
      </c>
      <c r="K449" s="25" t="s">
        <v>33</v>
      </c>
      <c r="L449" s="25" t="s">
        <v>175</v>
      </c>
      <c r="M449" s="25">
        <v>14</v>
      </c>
      <c r="N449" s="25">
        <v>8500</v>
      </c>
      <c r="O449" s="25">
        <v>10</v>
      </c>
      <c r="P449" s="25">
        <v>107100</v>
      </c>
      <c r="Q449" s="25">
        <v>4</v>
      </c>
      <c r="R449" s="25" t="s">
        <v>35</v>
      </c>
      <c r="S449" s="25" t="s">
        <v>36</v>
      </c>
      <c r="T449" s="25" t="s">
        <v>333</v>
      </c>
      <c r="U449" s="25" t="s">
        <v>1923</v>
      </c>
      <c r="V449" s="25" t="s">
        <v>39</v>
      </c>
      <c r="W449" s="26">
        <v>46143</v>
      </c>
    </row>
    <row r="450" spans="1:23" ht="15.75" customHeight="1">
      <c r="A450" s="25" t="s">
        <v>1924</v>
      </c>
      <c r="B450" s="25" t="s">
        <v>72</v>
      </c>
      <c r="C450" s="25" t="s">
        <v>260</v>
      </c>
      <c r="D450" s="25" t="s">
        <v>684</v>
      </c>
      <c r="E450" s="25" t="s">
        <v>1925</v>
      </c>
      <c r="F450" s="25" t="s">
        <v>218</v>
      </c>
      <c r="G450" s="25" t="s">
        <v>77</v>
      </c>
      <c r="H450" s="25" t="s">
        <v>1926</v>
      </c>
      <c r="I450" s="25" t="s">
        <v>31</v>
      </c>
      <c r="J450" s="25" t="s">
        <v>32</v>
      </c>
      <c r="K450" s="25" t="s">
        <v>123</v>
      </c>
      <c r="L450" s="25" t="s">
        <v>264</v>
      </c>
      <c r="M450" s="25">
        <v>1</v>
      </c>
      <c r="N450" s="25">
        <v>45</v>
      </c>
      <c r="O450" s="25">
        <v>0</v>
      </c>
      <c r="P450" s="25">
        <v>45</v>
      </c>
      <c r="Q450" s="25">
        <v>3</v>
      </c>
      <c r="R450" s="25" t="s">
        <v>89</v>
      </c>
      <c r="S450" s="25" t="s">
        <v>152</v>
      </c>
      <c r="T450" s="25" t="s">
        <v>81</v>
      </c>
      <c r="U450" s="25" t="s">
        <v>1927</v>
      </c>
      <c r="V450" s="25" t="s">
        <v>70</v>
      </c>
      <c r="W450" s="26">
        <v>45778</v>
      </c>
    </row>
    <row r="451" spans="1:23" ht="15.75" customHeight="1">
      <c r="A451" s="25" t="s">
        <v>1928</v>
      </c>
      <c r="B451" s="25" t="s">
        <v>72</v>
      </c>
      <c r="C451" s="25" t="s">
        <v>55</v>
      </c>
      <c r="D451" s="25" t="s">
        <v>902</v>
      </c>
      <c r="E451" s="25" t="s">
        <v>1070</v>
      </c>
      <c r="F451" s="25" t="s">
        <v>218</v>
      </c>
      <c r="G451" s="25" t="s">
        <v>77</v>
      </c>
      <c r="H451" s="25" t="s">
        <v>1929</v>
      </c>
      <c r="I451" s="25" t="s">
        <v>45</v>
      </c>
      <c r="J451" s="25" t="s">
        <v>46</v>
      </c>
      <c r="K451" s="25" t="s">
        <v>47</v>
      </c>
      <c r="L451" s="25" t="s">
        <v>61</v>
      </c>
      <c r="M451" s="25">
        <v>16</v>
      </c>
      <c r="N451" s="25">
        <v>55000</v>
      </c>
      <c r="O451" s="25">
        <v>15</v>
      </c>
      <c r="P451" s="25">
        <v>748000</v>
      </c>
      <c r="Q451" s="25">
        <v>1</v>
      </c>
      <c r="R451" s="25" t="s">
        <v>80</v>
      </c>
      <c r="S451" s="25" t="s">
        <v>152</v>
      </c>
      <c r="T451" s="25" t="s">
        <v>81</v>
      </c>
      <c r="U451" s="25" t="s">
        <v>1930</v>
      </c>
      <c r="V451" s="25" t="s">
        <v>70</v>
      </c>
      <c r="W451" s="26">
        <v>45689</v>
      </c>
    </row>
    <row r="452" spans="1:23" ht="15.75" customHeight="1">
      <c r="A452" s="25" t="s">
        <v>1931</v>
      </c>
      <c r="B452" s="25" t="s">
        <v>54</v>
      </c>
      <c r="C452" s="25" t="s">
        <v>185</v>
      </c>
      <c r="D452" s="25" t="s">
        <v>1932</v>
      </c>
      <c r="E452" s="25" t="s">
        <v>1933</v>
      </c>
      <c r="F452" s="25" t="s">
        <v>164</v>
      </c>
      <c r="G452" s="25" t="s">
        <v>29</v>
      </c>
      <c r="H452" s="25" t="s">
        <v>1934</v>
      </c>
      <c r="I452" s="25" t="s">
        <v>139</v>
      </c>
      <c r="J452" s="25" t="s">
        <v>107</v>
      </c>
      <c r="K452" s="25" t="s">
        <v>47</v>
      </c>
      <c r="L452" s="25" t="s">
        <v>190</v>
      </c>
      <c r="M452" s="25">
        <v>8</v>
      </c>
      <c r="N452" s="25">
        <v>700</v>
      </c>
      <c r="O452" s="25">
        <v>0</v>
      </c>
      <c r="P452" s="25">
        <v>5600</v>
      </c>
      <c r="Q452" s="25">
        <v>3</v>
      </c>
      <c r="R452" s="25" t="s">
        <v>35</v>
      </c>
      <c r="S452" s="25" t="s">
        <v>50</v>
      </c>
      <c r="T452" s="25" t="s">
        <v>63</v>
      </c>
      <c r="U452" s="25" t="s">
        <v>1935</v>
      </c>
      <c r="V452" s="25" t="s">
        <v>39</v>
      </c>
      <c r="W452" s="26">
        <v>46082</v>
      </c>
    </row>
    <row r="453" spans="1:23" ht="15.75" customHeight="1">
      <c r="A453" s="25" t="s">
        <v>1936</v>
      </c>
      <c r="B453" s="25" t="s">
        <v>252</v>
      </c>
      <c r="C453" s="25" t="s">
        <v>73</v>
      </c>
      <c r="D453" s="25" t="s">
        <v>67</v>
      </c>
      <c r="E453" s="25" t="s">
        <v>1937</v>
      </c>
      <c r="F453" s="25" t="s">
        <v>255</v>
      </c>
      <c r="G453" s="25" t="s">
        <v>29</v>
      </c>
      <c r="H453" s="25" t="s">
        <v>1938</v>
      </c>
      <c r="I453" s="25" t="s">
        <v>139</v>
      </c>
      <c r="J453" s="25" t="s">
        <v>107</v>
      </c>
      <c r="K453" s="25" t="s">
        <v>47</v>
      </c>
      <c r="L453" s="25" t="s">
        <v>79</v>
      </c>
      <c r="M453" s="25">
        <v>3</v>
      </c>
      <c r="N453" s="25">
        <v>1200</v>
      </c>
      <c r="O453" s="25">
        <v>0</v>
      </c>
      <c r="P453" s="25">
        <v>3600</v>
      </c>
      <c r="Q453" s="25">
        <v>1</v>
      </c>
      <c r="R453" s="25" t="s">
        <v>80</v>
      </c>
      <c r="S453" s="25" t="s">
        <v>50</v>
      </c>
      <c r="T453" s="25" t="s">
        <v>257</v>
      </c>
      <c r="U453" s="25" t="s">
        <v>1939</v>
      </c>
      <c r="V453" s="25" t="s">
        <v>70</v>
      </c>
      <c r="W453" s="26">
        <v>46113</v>
      </c>
    </row>
    <row r="454" spans="1:23" ht="15.75" customHeight="1">
      <c r="A454" s="25" t="s">
        <v>1940</v>
      </c>
      <c r="B454" s="25" t="s">
        <v>72</v>
      </c>
      <c r="C454" s="25" t="s">
        <v>93</v>
      </c>
      <c r="D454" s="25" t="s">
        <v>989</v>
      </c>
      <c r="E454" s="25" t="s">
        <v>388</v>
      </c>
      <c r="F454" s="25" t="s">
        <v>218</v>
      </c>
      <c r="G454" s="25" t="s">
        <v>77</v>
      </c>
      <c r="H454" s="25" t="s">
        <v>1941</v>
      </c>
      <c r="I454" s="25" t="s">
        <v>295</v>
      </c>
      <c r="J454" s="25" t="s">
        <v>296</v>
      </c>
      <c r="K454" s="25" t="s">
        <v>33</v>
      </c>
      <c r="L454" s="25" t="s">
        <v>98</v>
      </c>
      <c r="M454" s="25">
        <v>7</v>
      </c>
      <c r="N454" s="25">
        <v>3500</v>
      </c>
      <c r="O454" s="25">
        <v>15</v>
      </c>
      <c r="P454" s="25">
        <v>20825</v>
      </c>
      <c r="Q454" s="25">
        <v>4</v>
      </c>
      <c r="R454" s="25" t="s">
        <v>80</v>
      </c>
      <c r="S454" s="25" t="s">
        <v>62</v>
      </c>
      <c r="T454" s="25" t="s">
        <v>81</v>
      </c>
      <c r="U454" s="25" t="s">
        <v>1942</v>
      </c>
      <c r="V454" s="25" t="s">
        <v>65</v>
      </c>
      <c r="W454" s="26">
        <v>45689</v>
      </c>
    </row>
    <row r="455" spans="1:23" ht="15.75" customHeight="1">
      <c r="A455" s="25" t="s">
        <v>1943</v>
      </c>
      <c r="B455" s="25" t="s">
        <v>54</v>
      </c>
      <c r="C455" s="25" t="s">
        <v>55</v>
      </c>
      <c r="D455" s="25" t="s">
        <v>1933</v>
      </c>
      <c r="E455" s="25" t="s">
        <v>741</v>
      </c>
      <c r="F455" s="25" t="s">
        <v>164</v>
      </c>
      <c r="G455" s="25" t="s">
        <v>29</v>
      </c>
      <c r="H455" s="25" t="s">
        <v>1944</v>
      </c>
      <c r="I455" s="25" t="s">
        <v>115</v>
      </c>
      <c r="J455" s="25" t="s">
        <v>107</v>
      </c>
      <c r="K455" s="25" t="s">
        <v>47</v>
      </c>
      <c r="L455" s="25" t="s">
        <v>61</v>
      </c>
      <c r="M455" s="25">
        <v>9</v>
      </c>
      <c r="N455" s="25">
        <v>55000</v>
      </c>
      <c r="O455" s="25">
        <v>15</v>
      </c>
      <c r="P455" s="25">
        <v>420750</v>
      </c>
      <c r="Q455" s="25">
        <v>3</v>
      </c>
      <c r="R455" s="25" t="s">
        <v>89</v>
      </c>
      <c r="S455" s="25" t="s">
        <v>36</v>
      </c>
      <c r="T455" s="25" t="s">
        <v>63</v>
      </c>
      <c r="U455" s="25" t="s">
        <v>1945</v>
      </c>
      <c r="V455" s="25" t="s">
        <v>70</v>
      </c>
      <c r="W455" s="26">
        <v>46082</v>
      </c>
    </row>
    <row r="456" spans="1:23" ht="15.75" customHeight="1">
      <c r="A456" s="25" t="s">
        <v>1946</v>
      </c>
      <c r="B456" s="25" t="s">
        <v>328</v>
      </c>
      <c r="C456" s="25" t="s">
        <v>41</v>
      </c>
      <c r="D456" s="25" t="s">
        <v>186</v>
      </c>
      <c r="E456" s="25" t="s">
        <v>919</v>
      </c>
      <c r="F456" s="25" t="s">
        <v>395</v>
      </c>
      <c r="G456" s="25" t="s">
        <v>77</v>
      </c>
      <c r="H456" s="25" t="s">
        <v>1947</v>
      </c>
      <c r="I456" s="25" t="s">
        <v>60</v>
      </c>
      <c r="J456" s="25" t="s">
        <v>32</v>
      </c>
      <c r="K456" s="25" t="s">
        <v>47</v>
      </c>
      <c r="L456" s="25" t="s">
        <v>48</v>
      </c>
      <c r="M456" s="25">
        <v>12</v>
      </c>
      <c r="N456" s="25">
        <v>12000</v>
      </c>
      <c r="O456" s="25">
        <v>0</v>
      </c>
      <c r="P456" s="25">
        <v>144000</v>
      </c>
      <c r="Q456" s="25">
        <v>3</v>
      </c>
      <c r="R456" s="25" t="s">
        <v>80</v>
      </c>
      <c r="S456" s="25" t="s">
        <v>152</v>
      </c>
      <c r="T456" s="25" t="s">
        <v>333</v>
      </c>
      <c r="U456" s="25" t="s">
        <v>1948</v>
      </c>
      <c r="V456" s="25" t="s">
        <v>70</v>
      </c>
      <c r="W456" s="26">
        <v>45992</v>
      </c>
    </row>
    <row r="457" spans="1:23" ht="15.75" customHeight="1">
      <c r="A457" s="25" t="s">
        <v>1949</v>
      </c>
      <c r="B457" s="25" t="s">
        <v>101</v>
      </c>
      <c r="C457" s="25" t="s">
        <v>119</v>
      </c>
      <c r="D457" s="25" t="s">
        <v>43</v>
      </c>
      <c r="E457" s="25" t="s">
        <v>598</v>
      </c>
      <c r="F457" s="25" t="s">
        <v>104</v>
      </c>
      <c r="G457" s="25" t="s">
        <v>29</v>
      </c>
      <c r="H457" s="25" t="s">
        <v>1950</v>
      </c>
      <c r="I457" s="25" t="s">
        <v>139</v>
      </c>
      <c r="J457" s="25" t="s">
        <v>107</v>
      </c>
      <c r="K457" s="25" t="s">
        <v>123</v>
      </c>
      <c r="L457" s="25" t="s">
        <v>124</v>
      </c>
      <c r="M457" s="25">
        <v>7</v>
      </c>
      <c r="N457" s="25">
        <v>60</v>
      </c>
      <c r="O457" s="25">
        <v>10</v>
      </c>
      <c r="P457" s="25">
        <v>378</v>
      </c>
      <c r="Q457" s="25">
        <v>4</v>
      </c>
      <c r="R457" s="25" t="s">
        <v>35</v>
      </c>
      <c r="S457" s="25" t="s">
        <v>50</v>
      </c>
      <c r="T457" s="25" t="s">
        <v>145</v>
      </c>
      <c r="U457" s="25" t="s">
        <v>1951</v>
      </c>
      <c r="V457" s="25" t="s">
        <v>70</v>
      </c>
      <c r="W457" s="26">
        <v>45778</v>
      </c>
    </row>
    <row r="458" spans="1:23" ht="15.75" customHeight="1">
      <c r="A458" s="25" t="s">
        <v>1952</v>
      </c>
      <c r="B458" s="25" t="s">
        <v>222</v>
      </c>
      <c r="C458" s="25" t="s">
        <v>25</v>
      </c>
      <c r="D458" s="25" t="s">
        <v>378</v>
      </c>
      <c r="E458" s="25" t="s">
        <v>675</v>
      </c>
      <c r="F458" s="25" t="s">
        <v>226</v>
      </c>
      <c r="G458" s="25" t="s">
        <v>77</v>
      </c>
      <c r="H458" s="25" t="s">
        <v>1953</v>
      </c>
      <c r="I458" s="25" t="s">
        <v>106</v>
      </c>
      <c r="J458" s="25" t="s">
        <v>107</v>
      </c>
      <c r="K458" s="25" t="s">
        <v>33</v>
      </c>
      <c r="L458" s="25" t="s">
        <v>34</v>
      </c>
      <c r="M458" s="25">
        <v>17</v>
      </c>
      <c r="N458" s="25">
        <v>2200</v>
      </c>
      <c r="O458" s="25">
        <v>15</v>
      </c>
      <c r="P458" s="25">
        <v>31790</v>
      </c>
      <c r="Q458" s="25">
        <v>3</v>
      </c>
      <c r="R458" s="25" t="s">
        <v>89</v>
      </c>
      <c r="S458" s="25" t="s">
        <v>152</v>
      </c>
      <c r="T458" s="25" t="s">
        <v>229</v>
      </c>
      <c r="U458" s="25" t="s">
        <v>1954</v>
      </c>
      <c r="V458" s="25" t="s">
        <v>65</v>
      </c>
      <c r="W458" s="26">
        <v>45870</v>
      </c>
    </row>
    <row r="459" spans="1:23" ht="15.75" customHeight="1">
      <c r="A459" s="25" t="s">
        <v>1955</v>
      </c>
      <c r="B459" s="25" t="s">
        <v>328</v>
      </c>
      <c r="C459" s="25" t="s">
        <v>185</v>
      </c>
      <c r="D459" s="25" t="s">
        <v>352</v>
      </c>
      <c r="E459" s="25" t="s">
        <v>1538</v>
      </c>
      <c r="F459" s="25" t="s">
        <v>395</v>
      </c>
      <c r="G459" s="25" t="s">
        <v>77</v>
      </c>
      <c r="H459" s="25" t="s">
        <v>1956</v>
      </c>
      <c r="I459" s="25" t="s">
        <v>60</v>
      </c>
      <c r="J459" s="25" t="s">
        <v>32</v>
      </c>
      <c r="K459" s="25" t="s">
        <v>47</v>
      </c>
      <c r="L459" s="25" t="s">
        <v>190</v>
      </c>
      <c r="M459" s="25">
        <v>17</v>
      </c>
      <c r="N459" s="25">
        <v>700</v>
      </c>
      <c r="O459" s="25">
        <v>10</v>
      </c>
      <c r="P459" s="25">
        <v>10710</v>
      </c>
      <c r="Q459" s="25">
        <v>2</v>
      </c>
      <c r="R459" s="25" t="s">
        <v>35</v>
      </c>
      <c r="S459" s="25" t="s">
        <v>62</v>
      </c>
      <c r="T459" s="25" t="s">
        <v>333</v>
      </c>
      <c r="U459" s="25" t="s">
        <v>1957</v>
      </c>
      <c r="V459" s="25" t="s">
        <v>65</v>
      </c>
      <c r="W459" s="26">
        <v>45962</v>
      </c>
    </row>
    <row r="460" spans="1:23" ht="15.75" customHeight="1">
      <c r="A460" s="25" t="s">
        <v>1958</v>
      </c>
      <c r="B460" s="25" t="s">
        <v>328</v>
      </c>
      <c r="C460" s="25" t="s">
        <v>55</v>
      </c>
      <c r="D460" s="25" t="s">
        <v>1959</v>
      </c>
      <c r="E460" s="25" t="s">
        <v>1189</v>
      </c>
      <c r="F460" s="25" t="s">
        <v>395</v>
      </c>
      <c r="G460" s="25" t="s">
        <v>77</v>
      </c>
      <c r="H460" s="25" t="s">
        <v>1960</v>
      </c>
      <c r="I460" s="25" t="s">
        <v>45</v>
      </c>
      <c r="J460" s="25" t="s">
        <v>46</v>
      </c>
      <c r="K460" s="25" t="s">
        <v>47</v>
      </c>
      <c r="L460" s="25" t="s">
        <v>61</v>
      </c>
      <c r="M460" s="25">
        <v>19</v>
      </c>
      <c r="N460" s="25">
        <v>55000</v>
      </c>
      <c r="O460" s="25">
        <v>20</v>
      </c>
      <c r="P460" s="25">
        <v>836000</v>
      </c>
      <c r="Q460" s="25">
        <v>5</v>
      </c>
      <c r="R460" s="25" t="s">
        <v>49</v>
      </c>
      <c r="S460" s="25" t="s">
        <v>62</v>
      </c>
      <c r="T460" s="25" t="s">
        <v>333</v>
      </c>
      <c r="U460" s="25" t="s">
        <v>1961</v>
      </c>
      <c r="V460" s="25" t="s">
        <v>39</v>
      </c>
      <c r="W460" s="26">
        <v>45778</v>
      </c>
    </row>
    <row r="461" spans="1:23" ht="15.75" customHeight="1">
      <c r="A461" s="25" t="s">
        <v>1962</v>
      </c>
      <c r="B461" s="25" t="s">
        <v>128</v>
      </c>
      <c r="C461" s="25" t="s">
        <v>119</v>
      </c>
      <c r="D461" s="25" t="s">
        <v>1173</v>
      </c>
      <c r="E461" s="25" t="s">
        <v>129</v>
      </c>
      <c r="F461" s="25" t="s">
        <v>201</v>
      </c>
      <c r="G461" s="25" t="s">
        <v>77</v>
      </c>
      <c r="H461" s="25" t="s">
        <v>1963</v>
      </c>
      <c r="I461" s="25" t="s">
        <v>45</v>
      </c>
      <c r="J461" s="25" t="s">
        <v>46</v>
      </c>
      <c r="K461" s="25" t="s">
        <v>123</v>
      </c>
      <c r="L461" s="25" t="s">
        <v>124</v>
      </c>
      <c r="M461" s="25">
        <v>1</v>
      </c>
      <c r="N461" s="25">
        <v>60</v>
      </c>
      <c r="O461" s="25">
        <v>10</v>
      </c>
      <c r="P461" s="25">
        <v>54</v>
      </c>
      <c r="Q461" s="25">
        <v>4</v>
      </c>
      <c r="R461" s="25" t="s">
        <v>49</v>
      </c>
      <c r="S461" s="25" t="s">
        <v>2160</v>
      </c>
      <c r="T461" s="25" t="s">
        <v>1964</v>
      </c>
      <c r="U461" s="25" t="s">
        <v>1965</v>
      </c>
      <c r="V461" s="25" t="s">
        <v>70</v>
      </c>
      <c r="W461" s="26">
        <v>45901</v>
      </c>
    </row>
    <row r="462" spans="1:23" ht="15.75" customHeight="1">
      <c r="A462" s="25" t="s">
        <v>1966</v>
      </c>
      <c r="B462" s="25" t="s">
        <v>72</v>
      </c>
      <c r="C462" s="25" t="s">
        <v>93</v>
      </c>
      <c r="D462" s="25" t="s">
        <v>1143</v>
      </c>
      <c r="E462" s="25" t="s">
        <v>555</v>
      </c>
      <c r="F462" s="25" t="s">
        <v>218</v>
      </c>
      <c r="G462" s="25" t="s">
        <v>77</v>
      </c>
      <c r="H462" s="25" t="s">
        <v>1967</v>
      </c>
      <c r="I462" s="25" t="s">
        <v>31</v>
      </c>
      <c r="J462" s="25" t="s">
        <v>32</v>
      </c>
      <c r="K462" s="25" t="s">
        <v>33</v>
      </c>
      <c r="L462" s="25" t="s">
        <v>98</v>
      </c>
      <c r="M462" s="25">
        <v>16</v>
      </c>
      <c r="N462" s="25">
        <v>3500</v>
      </c>
      <c r="O462" s="25">
        <v>0</v>
      </c>
      <c r="P462" s="25">
        <v>56000</v>
      </c>
      <c r="Q462" s="25">
        <v>4</v>
      </c>
      <c r="R462" s="25" t="s">
        <v>49</v>
      </c>
      <c r="S462" s="25" t="s">
        <v>36</v>
      </c>
      <c r="T462" s="25" t="s">
        <v>81</v>
      </c>
      <c r="U462" s="25" t="s">
        <v>1968</v>
      </c>
      <c r="V462" s="25" t="s">
        <v>65</v>
      </c>
      <c r="W462" s="26">
        <v>46082</v>
      </c>
    </row>
    <row r="463" spans="1:23" ht="15.75" customHeight="1">
      <c r="A463" s="25" t="s">
        <v>1969</v>
      </c>
      <c r="B463" s="25" t="s">
        <v>128</v>
      </c>
      <c r="C463" s="25" t="s">
        <v>223</v>
      </c>
      <c r="D463" s="25" t="s">
        <v>958</v>
      </c>
      <c r="E463" s="25" t="s">
        <v>767</v>
      </c>
      <c r="F463" s="25" t="s">
        <v>201</v>
      </c>
      <c r="G463" s="25" t="s">
        <v>77</v>
      </c>
      <c r="H463" s="25" t="s">
        <v>1296</v>
      </c>
      <c r="I463" s="25" t="s">
        <v>115</v>
      </c>
      <c r="J463" s="25" t="s">
        <v>107</v>
      </c>
      <c r="K463" s="25" t="s">
        <v>123</v>
      </c>
      <c r="L463" s="25" t="s">
        <v>228</v>
      </c>
      <c r="M463" s="25">
        <v>14</v>
      </c>
      <c r="N463" s="25">
        <v>20</v>
      </c>
      <c r="O463" s="25">
        <v>10</v>
      </c>
      <c r="P463" s="25">
        <v>252</v>
      </c>
      <c r="Q463" s="25">
        <v>1</v>
      </c>
      <c r="R463" s="25" t="s">
        <v>49</v>
      </c>
      <c r="S463" s="25" t="s">
        <v>62</v>
      </c>
      <c r="T463" s="25" t="s">
        <v>133</v>
      </c>
      <c r="U463" s="25" t="s">
        <v>1970</v>
      </c>
      <c r="V463" s="25" t="s">
        <v>65</v>
      </c>
      <c r="W463" s="26">
        <v>45658</v>
      </c>
    </row>
    <row r="464" spans="1:23" ht="15.75" customHeight="1">
      <c r="A464" s="25" t="s">
        <v>1971</v>
      </c>
      <c r="B464" s="25" t="s">
        <v>72</v>
      </c>
      <c r="C464" s="25" t="s">
        <v>25</v>
      </c>
      <c r="D464" s="25" t="s">
        <v>474</v>
      </c>
      <c r="E464" s="25" t="s">
        <v>455</v>
      </c>
      <c r="F464" s="25" t="s">
        <v>218</v>
      </c>
      <c r="G464" s="25" t="s">
        <v>77</v>
      </c>
      <c r="H464" s="25" t="s">
        <v>1972</v>
      </c>
      <c r="I464" s="25" t="s">
        <v>60</v>
      </c>
      <c r="J464" s="25" t="s">
        <v>32</v>
      </c>
      <c r="K464" s="25" t="s">
        <v>33</v>
      </c>
      <c r="L464" s="25" t="s">
        <v>34</v>
      </c>
      <c r="M464" s="25">
        <v>11</v>
      </c>
      <c r="N464" s="25">
        <v>2200</v>
      </c>
      <c r="O464" s="25">
        <v>15</v>
      </c>
      <c r="P464" s="25">
        <v>20570</v>
      </c>
      <c r="Q464" s="25">
        <v>4</v>
      </c>
      <c r="R464" s="25" t="s">
        <v>49</v>
      </c>
      <c r="S464" s="25" t="s">
        <v>50</v>
      </c>
      <c r="T464" s="25" t="s">
        <v>81</v>
      </c>
      <c r="U464" s="25" t="s">
        <v>1973</v>
      </c>
      <c r="V464" s="25" t="s">
        <v>70</v>
      </c>
      <c r="W464" s="26">
        <v>45992</v>
      </c>
    </row>
    <row r="465" spans="1:23" ht="15.75" customHeight="1">
      <c r="A465" s="25" t="s">
        <v>1974</v>
      </c>
      <c r="B465" s="25" t="s">
        <v>84</v>
      </c>
      <c r="C465" s="25" t="s">
        <v>55</v>
      </c>
      <c r="D465" s="25" t="s">
        <v>757</v>
      </c>
      <c r="E465" s="25" t="s">
        <v>1283</v>
      </c>
      <c r="F465" s="25" t="s">
        <v>181</v>
      </c>
      <c r="G465" s="25" t="s">
        <v>77</v>
      </c>
      <c r="H465" s="25" t="s">
        <v>1975</v>
      </c>
      <c r="I465" s="25" t="s">
        <v>213</v>
      </c>
      <c r="J465" s="25" t="s">
        <v>46</v>
      </c>
      <c r="K465" s="25" t="s">
        <v>47</v>
      </c>
      <c r="L465" s="25" t="s">
        <v>61</v>
      </c>
      <c r="M465" s="25">
        <v>2</v>
      </c>
      <c r="N465" s="25">
        <v>55000</v>
      </c>
      <c r="O465" s="25">
        <v>0</v>
      </c>
      <c r="P465" s="25">
        <v>110000</v>
      </c>
      <c r="Q465" s="25">
        <v>4</v>
      </c>
      <c r="R465" s="25" t="s">
        <v>49</v>
      </c>
      <c r="S465" s="25" t="s">
        <v>50</v>
      </c>
      <c r="T465" s="25" t="s">
        <v>90</v>
      </c>
      <c r="U465" s="25" t="s">
        <v>1976</v>
      </c>
      <c r="V465" s="25" t="s">
        <v>70</v>
      </c>
      <c r="W465" s="26">
        <v>45870</v>
      </c>
    </row>
    <row r="466" spans="1:23" ht="15.75" customHeight="1">
      <c r="A466" s="25" t="s">
        <v>1977</v>
      </c>
      <c r="B466" s="25" t="s">
        <v>54</v>
      </c>
      <c r="C466" s="25" t="s">
        <v>25</v>
      </c>
      <c r="D466" s="25" t="s">
        <v>513</v>
      </c>
      <c r="E466" s="25" t="s">
        <v>514</v>
      </c>
      <c r="F466" s="25" t="s">
        <v>164</v>
      </c>
      <c r="G466" s="25" t="s">
        <v>29</v>
      </c>
      <c r="H466" s="25" t="s">
        <v>1978</v>
      </c>
      <c r="I466" s="25" t="s">
        <v>115</v>
      </c>
      <c r="J466" s="25" t="s">
        <v>107</v>
      </c>
      <c r="K466" s="25" t="s">
        <v>33</v>
      </c>
      <c r="L466" s="25" t="s">
        <v>34</v>
      </c>
      <c r="M466" s="25">
        <v>7</v>
      </c>
      <c r="N466" s="25">
        <v>2200</v>
      </c>
      <c r="O466" s="25">
        <v>5</v>
      </c>
      <c r="P466" s="25">
        <v>14630</v>
      </c>
      <c r="Q466" s="25">
        <v>4</v>
      </c>
      <c r="R466" s="25" t="s">
        <v>80</v>
      </c>
      <c r="S466" s="25" t="s">
        <v>116</v>
      </c>
      <c r="T466" s="25" t="s">
        <v>63</v>
      </c>
      <c r="U466" s="25" t="s">
        <v>1979</v>
      </c>
      <c r="V466" s="25" t="s">
        <v>70</v>
      </c>
      <c r="W466" s="26">
        <v>45658</v>
      </c>
    </row>
    <row r="467" spans="1:23" ht="15.75" customHeight="1">
      <c r="A467" s="25" t="s">
        <v>1980</v>
      </c>
      <c r="B467" s="25" t="s">
        <v>24</v>
      </c>
      <c r="C467" s="25" t="s">
        <v>260</v>
      </c>
      <c r="D467" s="25" t="s">
        <v>1508</v>
      </c>
      <c r="E467" s="25" t="s">
        <v>578</v>
      </c>
      <c r="F467" s="25" t="s">
        <v>28</v>
      </c>
      <c r="G467" s="25" t="s">
        <v>29</v>
      </c>
      <c r="H467" s="25" t="s">
        <v>1981</v>
      </c>
      <c r="I467" s="25" t="s">
        <v>139</v>
      </c>
      <c r="J467" s="25" t="s">
        <v>107</v>
      </c>
      <c r="K467" s="25" t="s">
        <v>123</v>
      </c>
      <c r="L467" s="25" t="s">
        <v>264</v>
      </c>
      <c r="M467" s="25">
        <v>11</v>
      </c>
      <c r="N467" s="25">
        <v>45</v>
      </c>
      <c r="O467" s="25">
        <v>15</v>
      </c>
      <c r="P467" s="25">
        <v>420.75</v>
      </c>
      <c r="Q467" s="25">
        <v>4</v>
      </c>
      <c r="R467" s="25" t="s">
        <v>80</v>
      </c>
      <c r="S467" s="25" t="s">
        <v>62</v>
      </c>
      <c r="T467" s="25" t="s">
        <v>51</v>
      </c>
      <c r="U467" s="25" t="s">
        <v>1982</v>
      </c>
      <c r="V467" s="25" t="s">
        <v>65</v>
      </c>
      <c r="W467" s="26">
        <v>45748</v>
      </c>
    </row>
    <row r="468" spans="1:23" ht="15.75" customHeight="1">
      <c r="A468" s="25" t="s">
        <v>1983</v>
      </c>
      <c r="B468" s="25" t="s">
        <v>101</v>
      </c>
      <c r="C468" s="25" t="s">
        <v>119</v>
      </c>
      <c r="D468" s="25" t="s">
        <v>1115</v>
      </c>
      <c r="E468" s="25" t="s">
        <v>211</v>
      </c>
      <c r="F468" s="25" t="s">
        <v>104</v>
      </c>
      <c r="G468" s="25" t="s">
        <v>29</v>
      </c>
      <c r="H468" s="25" t="s">
        <v>1984</v>
      </c>
      <c r="I468" s="25" t="s">
        <v>106</v>
      </c>
      <c r="J468" s="25" t="s">
        <v>107</v>
      </c>
      <c r="K468" s="25" t="s">
        <v>123</v>
      </c>
      <c r="L468" s="25" t="s">
        <v>124</v>
      </c>
      <c r="M468" s="25">
        <v>16</v>
      </c>
      <c r="N468" s="25">
        <v>60</v>
      </c>
      <c r="O468" s="25">
        <v>5</v>
      </c>
      <c r="P468" s="25">
        <v>912</v>
      </c>
      <c r="Q468" s="25">
        <v>2</v>
      </c>
      <c r="R468" s="25" t="s">
        <v>35</v>
      </c>
      <c r="S468" s="25" t="s">
        <v>116</v>
      </c>
      <c r="T468" s="25" t="s">
        <v>145</v>
      </c>
      <c r="U468" s="25" t="s">
        <v>1985</v>
      </c>
      <c r="V468" s="25" t="s">
        <v>70</v>
      </c>
      <c r="W468" s="26">
        <v>45748</v>
      </c>
    </row>
    <row r="469" spans="1:23" ht="15.75" customHeight="1">
      <c r="A469" s="25" t="s">
        <v>1986</v>
      </c>
      <c r="B469" s="25" t="s">
        <v>328</v>
      </c>
      <c r="C469" s="25" t="s">
        <v>55</v>
      </c>
      <c r="D469" s="25" t="s">
        <v>1103</v>
      </c>
      <c r="E469" s="25" t="s">
        <v>865</v>
      </c>
      <c r="F469" s="25" t="s">
        <v>395</v>
      </c>
      <c r="G469" s="25" t="s">
        <v>77</v>
      </c>
      <c r="H469" s="25" t="s">
        <v>1987</v>
      </c>
      <c r="I469" s="25" t="s">
        <v>115</v>
      </c>
      <c r="J469" s="25" t="s">
        <v>107</v>
      </c>
      <c r="K469" s="25" t="s">
        <v>47</v>
      </c>
      <c r="L469" s="25" t="s">
        <v>61</v>
      </c>
      <c r="M469" s="25">
        <v>18</v>
      </c>
      <c r="N469" s="25">
        <v>55000</v>
      </c>
      <c r="O469" s="25">
        <v>0</v>
      </c>
      <c r="P469" s="25">
        <v>990000</v>
      </c>
      <c r="Q469" s="25">
        <v>5</v>
      </c>
      <c r="R469" s="25" t="s">
        <v>49</v>
      </c>
      <c r="S469" s="25" t="s">
        <v>50</v>
      </c>
      <c r="T469" s="25" t="s">
        <v>333</v>
      </c>
      <c r="U469" s="25" t="s">
        <v>1988</v>
      </c>
      <c r="V469" s="25" t="s">
        <v>65</v>
      </c>
      <c r="W469" s="26">
        <v>45962</v>
      </c>
    </row>
    <row r="470" spans="1:23" ht="15.75" customHeight="1">
      <c r="A470" s="25" t="s">
        <v>1989</v>
      </c>
      <c r="B470" s="25" t="s">
        <v>24</v>
      </c>
      <c r="C470" s="25" t="s">
        <v>73</v>
      </c>
      <c r="D470" s="25" t="s">
        <v>1990</v>
      </c>
      <c r="E470" s="25" t="s">
        <v>1881</v>
      </c>
      <c r="F470" s="25" t="s">
        <v>28</v>
      </c>
      <c r="G470" s="25" t="s">
        <v>29</v>
      </c>
      <c r="H470" s="25" t="s">
        <v>1991</v>
      </c>
      <c r="I470" s="25" t="s">
        <v>60</v>
      </c>
      <c r="J470" s="25" t="s">
        <v>32</v>
      </c>
      <c r="K470" s="25" t="s">
        <v>47</v>
      </c>
      <c r="L470" s="25" t="s">
        <v>79</v>
      </c>
      <c r="M470" s="25">
        <v>17</v>
      </c>
      <c r="N470" s="25">
        <v>1200</v>
      </c>
      <c r="O470" s="25">
        <v>5</v>
      </c>
      <c r="P470" s="25">
        <v>19380</v>
      </c>
      <c r="Q470" s="25">
        <v>1</v>
      </c>
      <c r="R470" s="25" t="s">
        <v>49</v>
      </c>
      <c r="S470" s="25" t="s">
        <v>36</v>
      </c>
      <c r="T470" s="25" t="s">
        <v>51</v>
      </c>
      <c r="U470" s="25" t="s">
        <v>1992</v>
      </c>
      <c r="V470" s="25" t="s">
        <v>65</v>
      </c>
      <c r="W470" s="26">
        <v>45931</v>
      </c>
    </row>
    <row r="471" spans="1:23" ht="15.75" customHeight="1">
      <c r="A471" s="25" t="s">
        <v>1993</v>
      </c>
      <c r="B471" s="25" t="s">
        <v>54</v>
      </c>
      <c r="C471" s="25" t="s">
        <v>55</v>
      </c>
      <c r="D471" s="25" t="s">
        <v>42</v>
      </c>
      <c r="E471" s="25" t="s">
        <v>200</v>
      </c>
      <c r="F471" s="25" t="s">
        <v>164</v>
      </c>
      <c r="G471" s="25" t="s">
        <v>29</v>
      </c>
      <c r="H471" s="25" t="s">
        <v>1994</v>
      </c>
      <c r="I471" s="25" t="s">
        <v>115</v>
      </c>
      <c r="J471" s="25" t="s">
        <v>107</v>
      </c>
      <c r="K471" s="25" t="s">
        <v>47</v>
      </c>
      <c r="L471" s="25" t="s">
        <v>61</v>
      </c>
      <c r="M471" s="25">
        <v>11</v>
      </c>
      <c r="N471" s="25">
        <v>55000</v>
      </c>
      <c r="O471" s="25">
        <v>0</v>
      </c>
      <c r="P471" s="25">
        <v>605000</v>
      </c>
      <c r="Q471" s="25">
        <v>2</v>
      </c>
      <c r="R471" s="25" t="s">
        <v>35</v>
      </c>
      <c r="S471" s="25" t="s">
        <v>62</v>
      </c>
      <c r="T471" s="25" t="s">
        <v>63</v>
      </c>
      <c r="U471" s="25" t="s">
        <v>1995</v>
      </c>
      <c r="V471" s="25" t="s">
        <v>65</v>
      </c>
      <c r="W471" s="26">
        <v>45748</v>
      </c>
    </row>
    <row r="472" spans="1:23" ht="15.75" customHeight="1">
      <c r="A472" s="25" t="s">
        <v>1996</v>
      </c>
      <c r="B472" s="25" t="s">
        <v>252</v>
      </c>
      <c r="C472" s="25" t="s">
        <v>185</v>
      </c>
      <c r="D472" s="25" t="s">
        <v>237</v>
      </c>
      <c r="E472" s="25" t="s">
        <v>679</v>
      </c>
      <c r="F472" s="25" t="s">
        <v>255</v>
      </c>
      <c r="G472" s="25" t="s">
        <v>29</v>
      </c>
      <c r="H472" s="25" t="s">
        <v>1997</v>
      </c>
      <c r="I472" s="25" t="s">
        <v>45</v>
      </c>
      <c r="J472" s="25" t="s">
        <v>46</v>
      </c>
      <c r="K472" s="25" t="s">
        <v>47</v>
      </c>
      <c r="L472" s="25" t="s">
        <v>190</v>
      </c>
      <c r="M472" s="25">
        <v>20</v>
      </c>
      <c r="N472" s="25">
        <v>700</v>
      </c>
      <c r="O472" s="25">
        <v>20</v>
      </c>
      <c r="P472" s="25">
        <v>11200</v>
      </c>
      <c r="Q472" s="25">
        <v>5</v>
      </c>
      <c r="R472" s="25" t="s">
        <v>49</v>
      </c>
      <c r="S472" s="25" t="s">
        <v>62</v>
      </c>
      <c r="T472" s="25" t="s">
        <v>257</v>
      </c>
      <c r="U472" s="25" t="s">
        <v>1998</v>
      </c>
      <c r="V472" s="25" t="s">
        <v>39</v>
      </c>
      <c r="W472" s="26">
        <v>45778</v>
      </c>
    </row>
    <row r="473" spans="1:23" ht="15.75" customHeight="1">
      <c r="A473" s="25" t="s">
        <v>1999</v>
      </c>
      <c r="B473" s="25" t="s">
        <v>72</v>
      </c>
      <c r="C473" s="25" t="s">
        <v>223</v>
      </c>
      <c r="D473" s="25" t="s">
        <v>485</v>
      </c>
      <c r="E473" s="25" t="s">
        <v>323</v>
      </c>
      <c r="F473" s="25" t="s">
        <v>218</v>
      </c>
      <c r="G473" s="25" t="s">
        <v>77</v>
      </c>
      <c r="H473" s="25" t="s">
        <v>2000</v>
      </c>
      <c r="I473" s="25" t="s">
        <v>45</v>
      </c>
      <c r="J473" s="25" t="s">
        <v>46</v>
      </c>
      <c r="K473" s="25" t="s">
        <v>123</v>
      </c>
      <c r="L473" s="25" t="s">
        <v>228</v>
      </c>
      <c r="M473" s="25">
        <v>5</v>
      </c>
      <c r="N473" s="25">
        <v>20</v>
      </c>
      <c r="O473" s="25">
        <v>5</v>
      </c>
      <c r="P473" s="25">
        <v>95</v>
      </c>
      <c r="Q473" s="25">
        <v>4</v>
      </c>
      <c r="R473" s="25" t="s">
        <v>35</v>
      </c>
      <c r="S473" s="25" t="s">
        <v>50</v>
      </c>
      <c r="T473" s="25" t="s">
        <v>81</v>
      </c>
      <c r="U473" s="25" t="s">
        <v>2001</v>
      </c>
      <c r="V473" s="25" t="s">
        <v>70</v>
      </c>
      <c r="W473" s="26">
        <v>46023</v>
      </c>
    </row>
    <row r="474" spans="1:23" ht="15.75" customHeight="1">
      <c r="A474" s="25" t="s">
        <v>2002</v>
      </c>
      <c r="B474" s="25" t="s">
        <v>328</v>
      </c>
      <c r="C474" s="25" t="s">
        <v>55</v>
      </c>
      <c r="D474" s="25" t="s">
        <v>766</v>
      </c>
      <c r="E474" s="25" t="s">
        <v>1374</v>
      </c>
      <c r="F474" s="25" t="s">
        <v>395</v>
      </c>
      <c r="G474" s="25" t="s">
        <v>77</v>
      </c>
      <c r="H474" s="25" t="s">
        <v>2003</v>
      </c>
      <c r="I474" s="25" t="s">
        <v>106</v>
      </c>
      <c r="J474" s="25" t="s">
        <v>107</v>
      </c>
      <c r="K474" s="25" t="s">
        <v>47</v>
      </c>
      <c r="L474" s="25" t="s">
        <v>61</v>
      </c>
      <c r="M474" s="25">
        <v>13</v>
      </c>
      <c r="N474" s="25">
        <v>55000</v>
      </c>
      <c r="O474" s="25">
        <v>5</v>
      </c>
      <c r="P474" s="25">
        <v>679250</v>
      </c>
      <c r="Q474" s="25">
        <v>1</v>
      </c>
      <c r="R474" s="25" t="s">
        <v>49</v>
      </c>
      <c r="S474" s="25" t="s">
        <v>50</v>
      </c>
      <c r="T474" s="25" t="s">
        <v>333</v>
      </c>
      <c r="U474" s="25" t="s">
        <v>2004</v>
      </c>
      <c r="V474" s="25" t="s">
        <v>65</v>
      </c>
      <c r="W474" s="26">
        <v>45689</v>
      </c>
    </row>
    <row r="475" spans="1:23" ht="15.75" customHeight="1">
      <c r="A475" s="25" t="s">
        <v>2005</v>
      </c>
      <c r="B475" s="25" t="s">
        <v>128</v>
      </c>
      <c r="C475" s="25" t="s">
        <v>55</v>
      </c>
      <c r="D475" s="25" t="s">
        <v>103</v>
      </c>
      <c r="E475" s="25" t="s">
        <v>1115</v>
      </c>
      <c r="F475" s="25" t="s">
        <v>201</v>
      </c>
      <c r="G475" s="25" t="s">
        <v>77</v>
      </c>
      <c r="H475" s="25" t="s">
        <v>2006</v>
      </c>
      <c r="I475" s="25" t="s">
        <v>295</v>
      </c>
      <c r="J475" s="25" t="s">
        <v>296</v>
      </c>
      <c r="K475" s="25" t="s">
        <v>47</v>
      </c>
      <c r="L475" s="25" t="s">
        <v>61</v>
      </c>
      <c r="M475" s="25">
        <v>12</v>
      </c>
      <c r="N475" s="25">
        <v>55000</v>
      </c>
      <c r="O475" s="25">
        <v>5</v>
      </c>
      <c r="P475" s="25">
        <v>627000</v>
      </c>
      <c r="Q475" s="25">
        <v>1</v>
      </c>
      <c r="R475" s="25" t="s">
        <v>49</v>
      </c>
      <c r="S475" s="25" t="s">
        <v>116</v>
      </c>
      <c r="T475" s="25" t="s">
        <v>133</v>
      </c>
      <c r="U475" s="25" t="s">
        <v>2007</v>
      </c>
      <c r="V475" s="25" t="s">
        <v>70</v>
      </c>
      <c r="W475" s="26">
        <v>45748</v>
      </c>
    </row>
    <row r="476" spans="1:23" ht="15.75" customHeight="1">
      <c r="A476" s="25" t="s">
        <v>2008</v>
      </c>
      <c r="B476" s="25" t="s">
        <v>54</v>
      </c>
      <c r="C476" s="25" t="s">
        <v>260</v>
      </c>
      <c r="D476" s="25" t="s">
        <v>762</v>
      </c>
      <c r="E476" s="25" t="s">
        <v>1706</v>
      </c>
      <c r="F476" s="25" t="s">
        <v>164</v>
      </c>
      <c r="G476" s="25" t="s">
        <v>29</v>
      </c>
      <c r="H476" s="25" t="s">
        <v>2009</v>
      </c>
      <c r="I476" s="25" t="s">
        <v>106</v>
      </c>
      <c r="J476" s="25" t="s">
        <v>107</v>
      </c>
      <c r="K476" s="25" t="s">
        <v>123</v>
      </c>
      <c r="L476" s="25" t="s">
        <v>264</v>
      </c>
      <c r="M476" s="25">
        <v>16</v>
      </c>
      <c r="N476" s="25">
        <v>45</v>
      </c>
      <c r="O476" s="25">
        <v>20</v>
      </c>
      <c r="P476" s="25">
        <v>576</v>
      </c>
      <c r="Q476" s="25">
        <v>2</v>
      </c>
      <c r="R476" s="25" t="s">
        <v>35</v>
      </c>
      <c r="S476" s="25" t="s">
        <v>50</v>
      </c>
      <c r="T476" s="25" t="s">
        <v>63</v>
      </c>
      <c r="U476" s="25" t="s">
        <v>2010</v>
      </c>
      <c r="V476" s="25" t="s">
        <v>65</v>
      </c>
      <c r="W476" s="26">
        <v>45658</v>
      </c>
    </row>
    <row r="477" spans="1:23" ht="15.75" customHeight="1">
      <c r="A477" s="25" t="s">
        <v>2011</v>
      </c>
      <c r="B477" s="25" t="s">
        <v>24</v>
      </c>
      <c r="C477" s="25" t="s">
        <v>73</v>
      </c>
      <c r="D477" s="25" t="s">
        <v>26</v>
      </c>
      <c r="E477" s="25" t="s">
        <v>74</v>
      </c>
      <c r="F477" s="25" t="s">
        <v>28</v>
      </c>
      <c r="G477" s="25" t="s">
        <v>29</v>
      </c>
      <c r="H477" s="25" t="s">
        <v>2012</v>
      </c>
      <c r="I477" s="25" t="s">
        <v>60</v>
      </c>
      <c r="J477" s="25" t="s">
        <v>32</v>
      </c>
      <c r="K477" s="25" t="s">
        <v>47</v>
      </c>
      <c r="L477" s="25" t="s">
        <v>79</v>
      </c>
      <c r="M477" s="25">
        <v>5</v>
      </c>
      <c r="N477" s="25">
        <v>1200</v>
      </c>
      <c r="O477" s="25">
        <v>10</v>
      </c>
      <c r="P477" s="25">
        <v>5400</v>
      </c>
      <c r="Q477" s="25">
        <v>1</v>
      </c>
      <c r="R477" s="25" t="s">
        <v>35</v>
      </c>
      <c r="S477" s="25" t="s">
        <v>2160</v>
      </c>
      <c r="T477" s="25" t="s">
        <v>2013</v>
      </c>
      <c r="U477" s="25" t="s">
        <v>2014</v>
      </c>
      <c r="V477" s="25" t="s">
        <v>39</v>
      </c>
      <c r="W477" s="26">
        <v>45901</v>
      </c>
    </row>
    <row r="478" spans="1:23" ht="15.75" customHeight="1">
      <c r="A478" s="25" t="s">
        <v>2015</v>
      </c>
      <c r="B478" s="25" t="s">
        <v>169</v>
      </c>
      <c r="C478" s="25" t="s">
        <v>260</v>
      </c>
      <c r="D478" s="25" t="s">
        <v>283</v>
      </c>
      <c r="E478" s="25" t="s">
        <v>703</v>
      </c>
      <c r="F478" s="25" t="s">
        <v>362</v>
      </c>
      <c r="G478" s="25" t="s">
        <v>29</v>
      </c>
      <c r="H478" s="25" t="s">
        <v>2017</v>
      </c>
      <c r="I478" s="25" t="s">
        <v>295</v>
      </c>
      <c r="J478" s="25" t="s">
        <v>296</v>
      </c>
      <c r="K478" s="25" t="s">
        <v>123</v>
      </c>
      <c r="L478" s="25" t="s">
        <v>264</v>
      </c>
      <c r="M478" s="25">
        <v>2</v>
      </c>
      <c r="N478" s="25">
        <v>45</v>
      </c>
      <c r="O478" s="25">
        <v>10</v>
      </c>
      <c r="P478" s="25">
        <v>81</v>
      </c>
      <c r="Q478" s="25">
        <v>4</v>
      </c>
      <c r="R478" s="25" t="s">
        <v>89</v>
      </c>
      <c r="S478" s="25" t="s">
        <v>50</v>
      </c>
      <c r="T478" s="25" t="s">
        <v>176</v>
      </c>
      <c r="U478" s="25" t="s">
        <v>2018</v>
      </c>
      <c r="V478" s="25" t="s">
        <v>65</v>
      </c>
      <c r="W478" s="26">
        <v>45931</v>
      </c>
    </row>
    <row r="479" spans="1:23" ht="15.75" customHeight="1">
      <c r="A479" s="25" t="s">
        <v>2019</v>
      </c>
      <c r="B479" s="25" t="s">
        <v>128</v>
      </c>
      <c r="C479" s="25" t="s">
        <v>41</v>
      </c>
      <c r="D479" s="25" t="s">
        <v>86</v>
      </c>
      <c r="E479" s="25" t="s">
        <v>588</v>
      </c>
      <c r="F479" s="25" t="s">
        <v>201</v>
      </c>
      <c r="G479" s="25" t="s">
        <v>77</v>
      </c>
      <c r="H479" s="25" t="s">
        <v>2020</v>
      </c>
      <c r="I479" s="25" t="s">
        <v>139</v>
      </c>
      <c r="J479" s="25" t="s">
        <v>107</v>
      </c>
      <c r="K479" s="25" t="s">
        <v>47</v>
      </c>
      <c r="L479" s="25" t="s">
        <v>48</v>
      </c>
      <c r="M479" s="25">
        <v>3</v>
      </c>
      <c r="N479" s="25">
        <v>12000</v>
      </c>
      <c r="O479" s="25">
        <v>0</v>
      </c>
      <c r="P479" s="25">
        <v>36000</v>
      </c>
      <c r="Q479" s="25">
        <v>2</v>
      </c>
      <c r="R479" s="25" t="s">
        <v>89</v>
      </c>
      <c r="S479" s="25" t="s">
        <v>152</v>
      </c>
      <c r="T479" s="25" t="s">
        <v>133</v>
      </c>
      <c r="U479" s="25" t="s">
        <v>2021</v>
      </c>
      <c r="V479" s="25" t="s">
        <v>65</v>
      </c>
      <c r="W479" s="26">
        <v>46023</v>
      </c>
    </row>
    <row r="480" spans="1:23" ht="15.75" customHeight="1">
      <c r="A480" s="25" t="s">
        <v>2022</v>
      </c>
      <c r="B480" s="25" t="s">
        <v>24</v>
      </c>
      <c r="C480" s="25" t="s">
        <v>41</v>
      </c>
      <c r="D480" s="25" t="s">
        <v>2023</v>
      </c>
      <c r="E480" s="25" t="s">
        <v>1864</v>
      </c>
      <c r="F480" s="25" t="s">
        <v>28</v>
      </c>
      <c r="G480" s="25" t="s">
        <v>29</v>
      </c>
      <c r="H480" s="25" t="s">
        <v>2024</v>
      </c>
      <c r="I480" s="25" t="s">
        <v>60</v>
      </c>
      <c r="J480" s="25" t="s">
        <v>32</v>
      </c>
      <c r="K480" s="25" t="s">
        <v>47</v>
      </c>
      <c r="L480" s="25" t="s">
        <v>48</v>
      </c>
      <c r="M480" s="25">
        <v>3</v>
      </c>
      <c r="N480" s="25">
        <v>12000</v>
      </c>
      <c r="O480" s="25">
        <v>20</v>
      </c>
      <c r="P480" s="25">
        <v>28800</v>
      </c>
      <c r="Q480" s="25">
        <v>3</v>
      </c>
      <c r="R480" s="25" t="s">
        <v>89</v>
      </c>
      <c r="S480" s="25" t="s">
        <v>116</v>
      </c>
      <c r="T480" s="25" t="s">
        <v>51</v>
      </c>
      <c r="U480" s="25" t="s">
        <v>2025</v>
      </c>
      <c r="V480" s="25" t="s">
        <v>39</v>
      </c>
      <c r="W480" s="26">
        <v>45658</v>
      </c>
    </row>
    <row r="481" spans="1:23" ht="15.75" customHeight="1">
      <c r="A481" s="25" t="s">
        <v>2026</v>
      </c>
      <c r="B481" s="25" t="s">
        <v>128</v>
      </c>
      <c r="C481" s="25" t="s">
        <v>170</v>
      </c>
      <c r="D481" s="25" t="s">
        <v>893</v>
      </c>
      <c r="E481" s="25" t="s">
        <v>162</v>
      </c>
      <c r="F481" s="25" t="s">
        <v>201</v>
      </c>
      <c r="G481" s="25" t="s">
        <v>77</v>
      </c>
      <c r="H481" s="25" t="s">
        <v>2027</v>
      </c>
      <c r="I481" s="25" t="s">
        <v>295</v>
      </c>
      <c r="J481" s="25" t="s">
        <v>296</v>
      </c>
      <c r="K481" s="25" t="s">
        <v>33</v>
      </c>
      <c r="L481" s="25" t="s">
        <v>175</v>
      </c>
      <c r="M481" s="25">
        <v>9</v>
      </c>
      <c r="N481" s="25">
        <v>8500</v>
      </c>
      <c r="O481" s="25">
        <v>15</v>
      </c>
      <c r="P481" s="25">
        <v>65025</v>
      </c>
      <c r="Q481" s="25">
        <v>5</v>
      </c>
      <c r="R481" s="25" t="s">
        <v>35</v>
      </c>
      <c r="S481" s="25" t="s">
        <v>50</v>
      </c>
      <c r="T481" s="25" t="s">
        <v>133</v>
      </c>
      <c r="U481" s="25" t="s">
        <v>2028</v>
      </c>
      <c r="V481" s="25" t="s">
        <v>65</v>
      </c>
      <c r="W481" s="26">
        <v>46113</v>
      </c>
    </row>
    <row r="482" spans="1:23" ht="15.75" customHeight="1">
      <c r="A482" s="25" t="s">
        <v>2029</v>
      </c>
      <c r="B482" s="25" t="s">
        <v>72</v>
      </c>
      <c r="C482" s="25" t="s">
        <v>185</v>
      </c>
      <c r="D482" s="25" t="s">
        <v>262</v>
      </c>
      <c r="E482" s="25" t="s">
        <v>882</v>
      </c>
      <c r="F482" s="25" t="s">
        <v>218</v>
      </c>
      <c r="G482" s="25" t="s">
        <v>77</v>
      </c>
      <c r="H482" s="25" t="s">
        <v>2031</v>
      </c>
      <c r="I482" s="25" t="s">
        <v>295</v>
      </c>
      <c r="J482" s="25" t="s">
        <v>296</v>
      </c>
      <c r="K482" s="25" t="s">
        <v>47</v>
      </c>
      <c r="L482" s="25" t="s">
        <v>190</v>
      </c>
      <c r="M482" s="25">
        <v>17</v>
      </c>
      <c r="N482" s="25">
        <v>700</v>
      </c>
      <c r="O482" s="25">
        <v>0</v>
      </c>
      <c r="P482" s="25">
        <v>11900</v>
      </c>
      <c r="Q482" s="25">
        <v>2</v>
      </c>
      <c r="R482" s="25" t="s">
        <v>35</v>
      </c>
      <c r="S482" s="25" t="s">
        <v>62</v>
      </c>
      <c r="T482" s="25" t="s">
        <v>81</v>
      </c>
      <c r="U482" s="25" t="s">
        <v>2032</v>
      </c>
      <c r="V482" s="25" t="s">
        <v>70</v>
      </c>
      <c r="W482" s="26">
        <v>45809</v>
      </c>
    </row>
    <row r="483" spans="1:23" ht="15.75" customHeight="1">
      <c r="A483" s="25" t="s">
        <v>2033</v>
      </c>
      <c r="B483" s="25" t="s">
        <v>24</v>
      </c>
      <c r="C483" s="25" t="s">
        <v>185</v>
      </c>
      <c r="D483" s="25" t="s">
        <v>1250</v>
      </c>
      <c r="E483" s="25" t="s">
        <v>1573</v>
      </c>
      <c r="F483" s="25" t="s">
        <v>28</v>
      </c>
      <c r="G483" s="25" t="s">
        <v>29</v>
      </c>
      <c r="H483" s="25" t="s">
        <v>2034</v>
      </c>
      <c r="I483" s="25" t="s">
        <v>31</v>
      </c>
      <c r="J483" s="25" t="s">
        <v>32</v>
      </c>
      <c r="K483" s="25" t="s">
        <v>47</v>
      </c>
      <c r="L483" s="25" t="s">
        <v>190</v>
      </c>
      <c r="M483" s="25">
        <v>20</v>
      </c>
      <c r="N483" s="25">
        <v>700</v>
      </c>
      <c r="O483" s="25">
        <v>5</v>
      </c>
      <c r="P483" s="25">
        <v>13300</v>
      </c>
      <c r="Q483" s="25">
        <v>2</v>
      </c>
      <c r="R483" s="25" t="s">
        <v>89</v>
      </c>
      <c r="S483" s="25" t="s">
        <v>36</v>
      </c>
      <c r="T483" s="25" t="s">
        <v>51</v>
      </c>
      <c r="U483" s="25" t="s">
        <v>2035</v>
      </c>
      <c r="V483" s="25" t="s">
        <v>39</v>
      </c>
      <c r="W483" s="26">
        <v>45839</v>
      </c>
    </row>
    <row r="484" spans="1:23" ht="15.75" customHeight="1">
      <c r="A484" s="25" t="s">
        <v>2036</v>
      </c>
      <c r="B484" s="25" t="s">
        <v>328</v>
      </c>
      <c r="C484" s="25" t="s">
        <v>73</v>
      </c>
      <c r="D484" s="25" t="s">
        <v>555</v>
      </c>
      <c r="E484" s="25" t="s">
        <v>66</v>
      </c>
      <c r="F484" s="25" t="s">
        <v>395</v>
      </c>
      <c r="G484" s="25" t="s">
        <v>77</v>
      </c>
      <c r="H484" s="25" t="s">
        <v>2038</v>
      </c>
      <c r="I484" s="25" t="s">
        <v>139</v>
      </c>
      <c r="J484" s="25" t="s">
        <v>107</v>
      </c>
      <c r="K484" s="25" t="s">
        <v>47</v>
      </c>
      <c r="L484" s="25" t="s">
        <v>79</v>
      </c>
      <c r="M484" s="25">
        <v>13</v>
      </c>
      <c r="N484" s="25">
        <v>1200</v>
      </c>
      <c r="O484" s="25">
        <v>20</v>
      </c>
      <c r="P484" s="25">
        <v>12480</v>
      </c>
      <c r="Q484" s="25">
        <v>5</v>
      </c>
      <c r="R484" s="25" t="s">
        <v>80</v>
      </c>
      <c r="S484" s="25" t="s">
        <v>116</v>
      </c>
      <c r="T484" s="25" t="s">
        <v>333</v>
      </c>
      <c r="U484" s="25" t="s">
        <v>2039</v>
      </c>
      <c r="V484" s="25" t="s">
        <v>39</v>
      </c>
      <c r="W484" s="26">
        <v>46082</v>
      </c>
    </row>
    <row r="485" spans="1:23" ht="15.75" customHeight="1">
      <c r="A485" s="25" t="s">
        <v>2040</v>
      </c>
      <c r="B485" s="25" t="s">
        <v>101</v>
      </c>
      <c r="C485" s="25" t="s">
        <v>55</v>
      </c>
      <c r="D485" s="25" t="s">
        <v>2041</v>
      </c>
      <c r="E485" s="25" t="s">
        <v>1933</v>
      </c>
      <c r="F485" s="25" t="s">
        <v>104</v>
      </c>
      <c r="G485" s="25" t="s">
        <v>29</v>
      </c>
      <c r="H485" s="25" t="s">
        <v>1083</v>
      </c>
      <c r="I485" s="25" t="s">
        <v>213</v>
      </c>
      <c r="J485" s="25" t="s">
        <v>46</v>
      </c>
      <c r="K485" s="25" t="s">
        <v>47</v>
      </c>
      <c r="L485" s="25" t="s">
        <v>61</v>
      </c>
      <c r="M485" s="25">
        <v>20</v>
      </c>
      <c r="N485" s="25">
        <v>55000</v>
      </c>
      <c r="O485" s="25">
        <v>10</v>
      </c>
      <c r="P485" s="25">
        <v>990000</v>
      </c>
      <c r="Q485" s="25">
        <v>1</v>
      </c>
      <c r="R485" s="25" t="s">
        <v>89</v>
      </c>
      <c r="S485" s="25" t="s">
        <v>36</v>
      </c>
      <c r="T485" s="25" t="s">
        <v>145</v>
      </c>
      <c r="U485" s="25" t="s">
        <v>2042</v>
      </c>
      <c r="V485" s="25" t="s">
        <v>65</v>
      </c>
      <c r="W485" s="26">
        <v>46082</v>
      </c>
    </row>
    <row r="486" spans="1:23" ht="15.75" customHeight="1">
      <c r="A486" s="25" t="s">
        <v>2043</v>
      </c>
      <c r="B486" s="25" t="s">
        <v>252</v>
      </c>
      <c r="C486" s="25" t="s">
        <v>73</v>
      </c>
      <c r="D486" s="25" t="s">
        <v>532</v>
      </c>
      <c r="E486" s="25" t="s">
        <v>292</v>
      </c>
      <c r="F486" s="25" t="s">
        <v>255</v>
      </c>
      <c r="G486" s="25" t="s">
        <v>29</v>
      </c>
      <c r="H486" s="25" t="s">
        <v>2044</v>
      </c>
      <c r="I486" s="25" t="s">
        <v>295</v>
      </c>
      <c r="J486" s="25" t="s">
        <v>296</v>
      </c>
      <c r="K486" s="25" t="s">
        <v>47</v>
      </c>
      <c r="L486" s="25" t="s">
        <v>79</v>
      </c>
      <c r="M486" s="25">
        <v>8</v>
      </c>
      <c r="N486" s="25">
        <v>1200</v>
      </c>
      <c r="O486" s="25">
        <v>0</v>
      </c>
      <c r="P486" s="25">
        <v>9600</v>
      </c>
      <c r="Q486" s="25">
        <v>2</v>
      </c>
      <c r="R486" s="25" t="s">
        <v>49</v>
      </c>
      <c r="S486" s="25" t="s">
        <v>152</v>
      </c>
      <c r="T486" s="25" t="s">
        <v>257</v>
      </c>
      <c r="U486" s="25" t="s">
        <v>2045</v>
      </c>
      <c r="V486" s="25" t="s">
        <v>39</v>
      </c>
      <c r="W486" s="26">
        <v>45931</v>
      </c>
    </row>
    <row r="487" spans="1:23" ht="15.75" customHeight="1">
      <c r="A487" s="25" t="s">
        <v>2046</v>
      </c>
      <c r="B487" s="25" t="s">
        <v>54</v>
      </c>
      <c r="C487" s="25" t="s">
        <v>223</v>
      </c>
      <c r="D487" s="25" t="s">
        <v>2047</v>
      </c>
      <c r="E487" s="25" t="s">
        <v>1239</v>
      </c>
      <c r="F487" s="25" t="s">
        <v>164</v>
      </c>
      <c r="G487" s="25" t="s">
        <v>29</v>
      </c>
      <c r="H487" s="25" t="s">
        <v>2048</v>
      </c>
      <c r="I487" s="25" t="s">
        <v>295</v>
      </c>
      <c r="J487" s="25" t="s">
        <v>296</v>
      </c>
      <c r="K487" s="25" t="s">
        <v>123</v>
      </c>
      <c r="L487" s="25" t="s">
        <v>228</v>
      </c>
      <c r="M487" s="25">
        <v>18</v>
      </c>
      <c r="N487" s="25">
        <v>20</v>
      </c>
      <c r="O487" s="25">
        <v>10</v>
      </c>
      <c r="P487" s="25">
        <v>324</v>
      </c>
      <c r="Q487" s="25">
        <v>5</v>
      </c>
      <c r="R487" s="25" t="s">
        <v>80</v>
      </c>
      <c r="S487" s="25" t="s">
        <v>2160</v>
      </c>
      <c r="T487" s="25" t="s">
        <v>2049</v>
      </c>
      <c r="U487" s="25" t="s">
        <v>2050</v>
      </c>
      <c r="V487" s="25" t="s">
        <v>65</v>
      </c>
      <c r="W487" s="26">
        <v>46143</v>
      </c>
    </row>
    <row r="488" spans="1:23" ht="15.75" customHeight="1">
      <c r="A488" s="25" t="s">
        <v>2051</v>
      </c>
      <c r="B488" s="25" t="s">
        <v>169</v>
      </c>
      <c r="C488" s="25" t="s">
        <v>41</v>
      </c>
      <c r="D488" s="25" t="s">
        <v>2052</v>
      </c>
      <c r="E488" s="25" t="s">
        <v>273</v>
      </c>
      <c r="F488" s="25" t="s">
        <v>362</v>
      </c>
      <c r="G488" s="25" t="s">
        <v>29</v>
      </c>
      <c r="H488" s="25" t="s">
        <v>2053</v>
      </c>
      <c r="I488" s="25" t="s">
        <v>115</v>
      </c>
      <c r="J488" s="25" t="s">
        <v>107</v>
      </c>
      <c r="K488" s="25" t="s">
        <v>47</v>
      </c>
      <c r="L488" s="25" t="s">
        <v>48</v>
      </c>
      <c r="M488" s="25">
        <v>11</v>
      </c>
      <c r="N488" s="25">
        <v>12000</v>
      </c>
      <c r="O488" s="25">
        <v>10</v>
      </c>
      <c r="P488" s="25">
        <v>118800</v>
      </c>
      <c r="Q488" s="25">
        <v>1</v>
      </c>
      <c r="R488" s="25" t="s">
        <v>80</v>
      </c>
      <c r="S488" s="25" t="s">
        <v>50</v>
      </c>
      <c r="T488" s="25" t="s">
        <v>176</v>
      </c>
      <c r="U488" s="25" t="s">
        <v>2054</v>
      </c>
      <c r="V488" s="25" t="s">
        <v>70</v>
      </c>
      <c r="W488" s="26">
        <v>45689</v>
      </c>
    </row>
    <row r="489" spans="1:23" ht="15.75" customHeight="1">
      <c r="A489" s="25" t="s">
        <v>2055</v>
      </c>
      <c r="B489" s="25" t="s">
        <v>328</v>
      </c>
      <c r="C489" s="25" t="s">
        <v>170</v>
      </c>
      <c r="D489" s="25" t="s">
        <v>143</v>
      </c>
      <c r="E489" s="25" t="s">
        <v>1379</v>
      </c>
      <c r="F489" s="25" t="s">
        <v>395</v>
      </c>
      <c r="G489" s="25" t="s">
        <v>77</v>
      </c>
      <c r="H489" s="25" t="s">
        <v>2056</v>
      </c>
      <c r="I489" s="25" t="s">
        <v>31</v>
      </c>
      <c r="J489" s="25" t="s">
        <v>32</v>
      </c>
      <c r="K489" s="25" t="s">
        <v>33</v>
      </c>
      <c r="L489" s="25" t="s">
        <v>175</v>
      </c>
      <c r="M489" s="25">
        <v>2</v>
      </c>
      <c r="N489" s="25">
        <v>8500</v>
      </c>
      <c r="O489" s="25">
        <v>5</v>
      </c>
      <c r="P489" s="25">
        <v>16150</v>
      </c>
      <c r="Q489" s="25">
        <v>1</v>
      </c>
      <c r="R489" s="25" t="s">
        <v>80</v>
      </c>
      <c r="S489" s="25" t="s">
        <v>62</v>
      </c>
      <c r="T489" s="25" t="s">
        <v>333</v>
      </c>
      <c r="U489" s="25" t="s">
        <v>2057</v>
      </c>
      <c r="V489" s="25" t="s">
        <v>39</v>
      </c>
      <c r="W489" s="26">
        <v>45658</v>
      </c>
    </row>
    <row r="490" spans="1:23" ht="15.75" customHeight="1">
      <c r="A490" s="25" t="s">
        <v>2058</v>
      </c>
      <c r="B490" s="25" t="s">
        <v>101</v>
      </c>
      <c r="C490" s="25" t="s">
        <v>25</v>
      </c>
      <c r="D490" s="25" t="s">
        <v>329</v>
      </c>
      <c r="E490" s="25" t="s">
        <v>1508</v>
      </c>
      <c r="F490" s="25" t="s">
        <v>104</v>
      </c>
      <c r="G490" s="25" t="s">
        <v>29</v>
      </c>
      <c r="H490" s="25" t="s">
        <v>2060</v>
      </c>
      <c r="I490" s="25" t="s">
        <v>115</v>
      </c>
      <c r="J490" s="25" t="s">
        <v>107</v>
      </c>
      <c r="K490" s="25" t="s">
        <v>33</v>
      </c>
      <c r="L490" s="25" t="s">
        <v>34</v>
      </c>
      <c r="M490" s="25">
        <v>7</v>
      </c>
      <c r="N490" s="25">
        <v>2200</v>
      </c>
      <c r="O490" s="25">
        <v>0</v>
      </c>
      <c r="P490" s="25">
        <v>15400</v>
      </c>
      <c r="Q490" s="25">
        <v>5</v>
      </c>
      <c r="R490" s="25" t="s">
        <v>49</v>
      </c>
      <c r="S490" s="25" t="s">
        <v>36</v>
      </c>
      <c r="T490" s="25" t="s">
        <v>145</v>
      </c>
      <c r="U490" s="25" t="s">
        <v>2061</v>
      </c>
      <c r="V490" s="25" t="s">
        <v>65</v>
      </c>
      <c r="W490" s="26">
        <v>45717</v>
      </c>
    </row>
    <row r="491" spans="1:23" ht="15.75" customHeight="1">
      <c r="A491" s="25" t="s">
        <v>2062</v>
      </c>
      <c r="B491" s="25" t="s">
        <v>84</v>
      </c>
      <c r="C491" s="25" t="s">
        <v>170</v>
      </c>
      <c r="D491" s="25" t="s">
        <v>1917</v>
      </c>
      <c r="E491" s="25" t="s">
        <v>1099</v>
      </c>
      <c r="F491" s="25" t="s">
        <v>181</v>
      </c>
      <c r="G491" s="25" t="s">
        <v>77</v>
      </c>
      <c r="H491" s="25" t="s">
        <v>2063</v>
      </c>
      <c r="I491" s="25" t="s">
        <v>45</v>
      </c>
      <c r="J491" s="25" t="s">
        <v>46</v>
      </c>
      <c r="K491" s="25" t="s">
        <v>33</v>
      </c>
      <c r="L491" s="25" t="s">
        <v>175</v>
      </c>
      <c r="M491" s="25">
        <v>20</v>
      </c>
      <c r="N491" s="25">
        <v>8500</v>
      </c>
      <c r="O491" s="25">
        <v>0</v>
      </c>
      <c r="P491" s="25">
        <v>170000</v>
      </c>
      <c r="Q491" s="25">
        <v>3</v>
      </c>
      <c r="R491" s="25" t="s">
        <v>49</v>
      </c>
      <c r="S491" s="25" t="s">
        <v>50</v>
      </c>
      <c r="T491" s="25" t="s">
        <v>90</v>
      </c>
      <c r="U491" s="25" t="s">
        <v>2064</v>
      </c>
      <c r="V491" s="25" t="s">
        <v>39</v>
      </c>
      <c r="W491" s="26">
        <v>46113</v>
      </c>
    </row>
    <row r="492" spans="1:23" ht="15.75" customHeight="1">
      <c r="A492" s="25" t="s">
        <v>2065</v>
      </c>
      <c r="B492" s="25" t="s">
        <v>128</v>
      </c>
      <c r="C492" s="25" t="s">
        <v>73</v>
      </c>
      <c r="D492" s="25" t="s">
        <v>1107</v>
      </c>
      <c r="E492" s="25" t="s">
        <v>840</v>
      </c>
      <c r="F492" s="25" t="s">
        <v>201</v>
      </c>
      <c r="G492" s="25" t="s">
        <v>77</v>
      </c>
      <c r="H492" s="25" t="s">
        <v>2067</v>
      </c>
      <c r="I492" s="25" t="s">
        <v>31</v>
      </c>
      <c r="J492" s="25" t="s">
        <v>32</v>
      </c>
      <c r="K492" s="25" t="s">
        <v>47</v>
      </c>
      <c r="L492" s="25" t="s">
        <v>79</v>
      </c>
      <c r="M492" s="25">
        <v>11</v>
      </c>
      <c r="N492" s="25">
        <v>1200</v>
      </c>
      <c r="O492" s="25">
        <v>5</v>
      </c>
      <c r="P492" s="25">
        <v>12540</v>
      </c>
      <c r="Q492" s="25">
        <v>2</v>
      </c>
      <c r="R492" s="25" t="s">
        <v>35</v>
      </c>
      <c r="S492" s="25" t="s">
        <v>36</v>
      </c>
      <c r="T492" s="25" t="s">
        <v>133</v>
      </c>
      <c r="U492" s="25" t="s">
        <v>2068</v>
      </c>
      <c r="V492" s="25" t="s">
        <v>65</v>
      </c>
      <c r="W492" s="26">
        <v>45839</v>
      </c>
    </row>
    <row r="493" spans="1:23" ht="15.75" customHeight="1">
      <c r="A493" s="25" t="s">
        <v>2069</v>
      </c>
      <c r="B493" s="25" t="s">
        <v>84</v>
      </c>
      <c r="C493" s="25" t="s">
        <v>185</v>
      </c>
      <c r="D493" s="25" t="s">
        <v>840</v>
      </c>
      <c r="E493" s="25" t="s">
        <v>757</v>
      </c>
      <c r="F493" s="25" t="s">
        <v>181</v>
      </c>
      <c r="G493" s="25" t="s">
        <v>77</v>
      </c>
      <c r="H493" s="25" t="s">
        <v>2070</v>
      </c>
      <c r="I493" s="25" t="s">
        <v>139</v>
      </c>
      <c r="J493" s="25" t="s">
        <v>107</v>
      </c>
      <c r="K493" s="25" t="s">
        <v>47</v>
      </c>
      <c r="L493" s="25" t="s">
        <v>190</v>
      </c>
      <c r="M493" s="25">
        <v>14</v>
      </c>
      <c r="N493" s="25">
        <v>700</v>
      </c>
      <c r="O493" s="25">
        <v>0</v>
      </c>
      <c r="P493" s="25">
        <v>9800</v>
      </c>
      <c r="Q493" s="25">
        <v>2</v>
      </c>
      <c r="R493" s="25" t="s">
        <v>80</v>
      </c>
      <c r="S493" s="25" t="s">
        <v>152</v>
      </c>
      <c r="T493" s="25" t="s">
        <v>90</v>
      </c>
      <c r="U493" s="25" t="s">
        <v>2071</v>
      </c>
      <c r="V493" s="25" t="s">
        <v>70</v>
      </c>
      <c r="W493" s="26">
        <v>45839</v>
      </c>
    </row>
    <row r="494" spans="1:23" ht="15.75" customHeight="1">
      <c r="A494" s="25" t="s">
        <v>2072</v>
      </c>
      <c r="B494" s="25" t="s">
        <v>72</v>
      </c>
      <c r="C494" s="25" t="s">
        <v>73</v>
      </c>
      <c r="D494" s="25" t="s">
        <v>794</v>
      </c>
      <c r="E494" s="25" t="s">
        <v>1651</v>
      </c>
      <c r="F494" s="25" t="s">
        <v>218</v>
      </c>
      <c r="G494" s="25" t="s">
        <v>77</v>
      </c>
      <c r="H494" s="25" t="s">
        <v>2073</v>
      </c>
      <c r="I494" s="25" t="s">
        <v>115</v>
      </c>
      <c r="J494" s="25" t="s">
        <v>107</v>
      </c>
      <c r="K494" s="25" t="s">
        <v>47</v>
      </c>
      <c r="L494" s="25" t="s">
        <v>79</v>
      </c>
      <c r="M494" s="25">
        <v>16</v>
      </c>
      <c r="N494" s="25">
        <v>1200</v>
      </c>
      <c r="O494" s="25">
        <v>15</v>
      </c>
      <c r="P494" s="25">
        <v>16320</v>
      </c>
      <c r="Q494" s="25">
        <v>4</v>
      </c>
      <c r="R494" s="25" t="s">
        <v>35</v>
      </c>
      <c r="S494" s="25" t="s">
        <v>152</v>
      </c>
      <c r="T494" s="25" t="s">
        <v>81</v>
      </c>
      <c r="U494" s="25" t="s">
        <v>2074</v>
      </c>
      <c r="V494" s="25" t="s">
        <v>65</v>
      </c>
      <c r="W494" s="26">
        <v>45931</v>
      </c>
    </row>
    <row r="495" spans="1:23" ht="15.75" customHeight="1">
      <c r="A495" s="25" t="s">
        <v>2075</v>
      </c>
      <c r="B495" s="25" t="s">
        <v>169</v>
      </c>
      <c r="C495" s="25" t="s">
        <v>25</v>
      </c>
      <c r="D495" s="25" t="s">
        <v>494</v>
      </c>
      <c r="E495" s="25" t="s">
        <v>1933</v>
      </c>
      <c r="F495" s="25" t="s">
        <v>362</v>
      </c>
      <c r="G495" s="25" t="s">
        <v>29</v>
      </c>
      <c r="H495" s="25" t="s">
        <v>2077</v>
      </c>
      <c r="I495" s="25" t="s">
        <v>213</v>
      </c>
      <c r="J495" s="25" t="s">
        <v>46</v>
      </c>
      <c r="K495" s="25" t="s">
        <v>33</v>
      </c>
      <c r="L495" s="25" t="s">
        <v>34</v>
      </c>
      <c r="M495" s="25">
        <v>20</v>
      </c>
      <c r="N495" s="25">
        <v>2200</v>
      </c>
      <c r="O495" s="25">
        <v>0</v>
      </c>
      <c r="P495" s="25">
        <v>44000</v>
      </c>
      <c r="Q495" s="25">
        <v>5</v>
      </c>
      <c r="R495" s="25" t="s">
        <v>35</v>
      </c>
      <c r="S495" s="25" t="s">
        <v>36</v>
      </c>
      <c r="T495" s="25" t="s">
        <v>176</v>
      </c>
      <c r="U495" s="25" t="s">
        <v>2078</v>
      </c>
      <c r="V495" s="25" t="s">
        <v>70</v>
      </c>
      <c r="W495" s="26">
        <v>46082</v>
      </c>
    </row>
    <row r="496" spans="1:23" ht="15.75" customHeight="1">
      <c r="A496" s="25" t="s">
        <v>2079</v>
      </c>
      <c r="B496" s="25" t="s">
        <v>84</v>
      </c>
      <c r="C496" s="25" t="s">
        <v>41</v>
      </c>
      <c r="D496" s="25" t="s">
        <v>2052</v>
      </c>
      <c r="E496" s="25" t="s">
        <v>273</v>
      </c>
      <c r="F496" s="25" t="s">
        <v>181</v>
      </c>
      <c r="G496" s="25" t="s">
        <v>77</v>
      </c>
      <c r="H496" s="25" t="s">
        <v>2080</v>
      </c>
      <c r="I496" s="25" t="s">
        <v>213</v>
      </c>
      <c r="J496" s="25" t="s">
        <v>46</v>
      </c>
      <c r="K496" s="25" t="s">
        <v>47</v>
      </c>
      <c r="L496" s="25" t="s">
        <v>48</v>
      </c>
      <c r="M496" s="25">
        <v>12</v>
      </c>
      <c r="N496" s="25">
        <v>12000</v>
      </c>
      <c r="O496" s="25">
        <v>15</v>
      </c>
      <c r="P496" s="25">
        <v>122400</v>
      </c>
      <c r="Q496" s="25">
        <v>5</v>
      </c>
      <c r="R496" s="25" t="s">
        <v>35</v>
      </c>
      <c r="S496" s="25" t="s">
        <v>152</v>
      </c>
      <c r="T496" s="25" t="s">
        <v>90</v>
      </c>
      <c r="U496" s="25" t="s">
        <v>2081</v>
      </c>
      <c r="V496" s="25" t="s">
        <v>39</v>
      </c>
      <c r="W496" s="26">
        <v>45689</v>
      </c>
    </row>
    <row r="497" spans="1:23" ht="15.75" customHeight="1">
      <c r="A497" s="25" t="s">
        <v>2082</v>
      </c>
      <c r="B497" s="25" t="s">
        <v>222</v>
      </c>
      <c r="C497" s="25" t="s">
        <v>73</v>
      </c>
      <c r="D497" s="25" t="s">
        <v>611</v>
      </c>
      <c r="E497" s="25" t="s">
        <v>612</v>
      </c>
      <c r="F497" s="25" t="s">
        <v>226</v>
      </c>
      <c r="G497" s="25" t="s">
        <v>77</v>
      </c>
      <c r="H497" s="25" t="s">
        <v>2083</v>
      </c>
      <c r="I497" s="25" t="s">
        <v>45</v>
      </c>
      <c r="J497" s="25" t="s">
        <v>46</v>
      </c>
      <c r="K497" s="25" t="s">
        <v>47</v>
      </c>
      <c r="L497" s="25" t="s">
        <v>79</v>
      </c>
      <c r="M497" s="25">
        <v>3</v>
      </c>
      <c r="N497" s="25">
        <v>1200</v>
      </c>
      <c r="O497" s="25">
        <v>20</v>
      </c>
      <c r="P497" s="25">
        <v>2880</v>
      </c>
      <c r="Q497" s="25">
        <v>2</v>
      </c>
      <c r="R497" s="25" t="s">
        <v>49</v>
      </c>
      <c r="S497" s="25" t="s">
        <v>116</v>
      </c>
      <c r="T497" s="25" t="s">
        <v>908</v>
      </c>
      <c r="U497" s="25" t="s">
        <v>2084</v>
      </c>
      <c r="V497" s="25" t="s">
        <v>65</v>
      </c>
      <c r="W497" s="26">
        <v>45992</v>
      </c>
    </row>
    <row r="498" spans="1:23" ht="15.75" customHeight="1">
      <c r="A498" s="25" t="s">
        <v>2085</v>
      </c>
      <c r="B498" s="25" t="s">
        <v>101</v>
      </c>
      <c r="C498" s="25" t="s">
        <v>55</v>
      </c>
      <c r="D498" s="25" t="s">
        <v>277</v>
      </c>
      <c r="E498" s="25" t="s">
        <v>2086</v>
      </c>
      <c r="F498" s="25" t="s">
        <v>104</v>
      </c>
      <c r="G498" s="25" t="s">
        <v>29</v>
      </c>
      <c r="H498" s="25" t="s">
        <v>2087</v>
      </c>
      <c r="I498" s="25" t="s">
        <v>106</v>
      </c>
      <c r="J498" s="25" t="s">
        <v>107</v>
      </c>
      <c r="K498" s="25" t="s">
        <v>47</v>
      </c>
      <c r="L498" s="25" t="s">
        <v>2088</v>
      </c>
      <c r="M498" s="25">
        <v>6</v>
      </c>
      <c r="N498" s="25">
        <v>55000</v>
      </c>
      <c r="O498" s="25">
        <v>20</v>
      </c>
      <c r="P498" s="25">
        <v>264000</v>
      </c>
      <c r="Q498" s="25">
        <v>3</v>
      </c>
      <c r="R498" s="25" t="s">
        <v>35</v>
      </c>
      <c r="S498" s="25" t="s">
        <v>152</v>
      </c>
      <c r="T498" s="25" t="s">
        <v>145</v>
      </c>
      <c r="U498" s="25" t="s">
        <v>2089</v>
      </c>
      <c r="V498" s="25" t="s">
        <v>39</v>
      </c>
      <c r="W498" s="26">
        <v>45839</v>
      </c>
    </row>
    <row r="499" spans="1:23" ht="15.75" customHeight="1">
      <c r="A499" s="25" t="s">
        <v>2090</v>
      </c>
      <c r="B499" s="25" t="s">
        <v>101</v>
      </c>
      <c r="C499" s="25" t="s">
        <v>93</v>
      </c>
      <c r="D499" s="25" t="s">
        <v>2091</v>
      </c>
      <c r="E499" s="25" t="s">
        <v>130</v>
      </c>
      <c r="F499" s="25" t="s">
        <v>104</v>
      </c>
      <c r="G499" s="25" t="s">
        <v>29</v>
      </c>
      <c r="H499" s="25" t="s">
        <v>2092</v>
      </c>
      <c r="I499" s="25" t="s">
        <v>60</v>
      </c>
      <c r="J499" s="25" t="s">
        <v>32</v>
      </c>
      <c r="K499" s="25" t="s">
        <v>33</v>
      </c>
      <c r="L499" s="25" t="s">
        <v>98</v>
      </c>
      <c r="M499" s="25">
        <v>20</v>
      </c>
      <c r="N499" s="25">
        <v>3500</v>
      </c>
      <c r="O499" s="25">
        <v>0</v>
      </c>
      <c r="P499" s="25">
        <v>70000</v>
      </c>
      <c r="Q499" s="25">
        <v>1</v>
      </c>
      <c r="R499" s="25" t="s">
        <v>49</v>
      </c>
      <c r="S499" s="25" t="s">
        <v>152</v>
      </c>
      <c r="T499" s="25" t="s">
        <v>145</v>
      </c>
      <c r="U499" s="25" t="s">
        <v>2093</v>
      </c>
      <c r="V499" s="25" t="s">
        <v>65</v>
      </c>
      <c r="W499" s="26">
        <v>45901</v>
      </c>
    </row>
  </sheetData>
  <autoFilter ref="A1:V499" xr:uid="{00000000-0009-0000-0000-00000A000000}"/>
  <conditionalFormatting sqref="O2:O28 O30:O499">
    <cfRule type="cellIs" dxfId="1" priority="2" operator="greaterThan">
      <formula>20</formula>
    </cfRule>
  </conditionalFormatting>
  <dataValidations count="2">
    <dataValidation type="whole" errorTitle="Invalid Quantity" error="Quantity must be between 1 and 20." prompt="Enter a whole number from 1 to 20." sqref="M2:M499" xr:uid="{00000000-0002-0000-0A00-000000000000}">
      <formula1>1</formula1>
      <formula2>20</formula2>
    </dataValidation>
    <dataValidation type="list" errorTitle="Invalid Payment Mode" error="Select UPI, Cash, Card, or NetBanking." sqref="R2:R499" xr:uid="{00000000-0002-0000-0A00-000001000000}">
      <formula1>"UPI,Cash,Card,NetBanking"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7"/>
  <sheetViews>
    <sheetView zoomScaleNormal="100" workbookViewId="0"/>
  </sheetViews>
  <sheetFormatPr defaultColWidth="8.5546875" defaultRowHeight="15" customHeight="1"/>
  <cols>
    <col min="1" max="1" width="15" customWidth="1"/>
    <col min="2" max="2" width="20" customWidth="1"/>
    <col min="4" max="4" width="22" customWidth="1"/>
    <col min="5" max="5" width="20" customWidth="1"/>
    <col min="7" max="7" width="15" customWidth="1"/>
    <col min="8" max="8" width="22" customWidth="1"/>
    <col min="10" max="10" width="25" customWidth="1"/>
    <col min="11" max="11" width="22" customWidth="1"/>
  </cols>
  <sheetData>
    <row r="1" spans="1:12" ht="27.75" customHeight="1">
      <c r="A1" s="1" t="s">
        <v>2161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15" customHeight="1">
      <c r="A3" t="s">
        <v>2162</v>
      </c>
      <c r="D3" t="s">
        <v>2162</v>
      </c>
      <c r="G3" t="s">
        <v>2162</v>
      </c>
      <c r="J3" s="2" t="s">
        <v>2163</v>
      </c>
      <c r="K3" s="2" t="s">
        <v>2164</v>
      </c>
    </row>
    <row r="4" spans="1:12" ht="15" customHeight="1">
      <c r="J4" t="s">
        <v>2165</v>
      </c>
      <c r="K4" s="11">
        <f>SUM(Cleaned_Data!$P$2:$P$499)</f>
        <v>34745967.5</v>
      </c>
    </row>
    <row r="5" spans="1:12" ht="15" customHeight="1">
      <c r="A5" s="12" t="s">
        <v>9</v>
      </c>
      <c r="B5" s="13" t="s">
        <v>2166</v>
      </c>
      <c r="D5" s="12" t="s">
        <v>10</v>
      </c>
      <c r="E5" s="13" t="s">
        <v>2166</v>
      </c>
      <c r="G5" s="12" t="s">
        <v>2159</v>
      </c>
      <c r="H5" s="13" t="s">
        <v>2166</v>
      </c>
      <c r="J5" t="s">
        <v>2167</v>
      </c>
      <c r="K5" s="14">
        <f>COUNTA(Cleaned_Data!$A$2:$A$499)</f>
        <v>498</v>
      </c>
    </row>
    <row r="6" spans="1:12" ht="15" customHeight="1">
      <c r="A6" s="15" t="s">
        <v>296</v>
      </c>
      <c r="B6" s="16">
        <v>4041922</v>
      </c>
      <c r="D6" s="15" t="s">
        <v>47</v>
      </c>
      <c r="E6" s="16">
        <v>27823939</v>
      </c>
      <c r="G6" s="17">
        <v>45658</v>
      </c>
      <c r="H6" s="16">
        <v>2274817.5</v>
      </c>
      <c r="J6" t="s">
        <v>2168</v>
      </c>
      <c r="K6" s="11">
        <f>IFERROR(K4/K5,0)</f>
        <v>69771.019076305223</v>
      </c>
    </row>
    <row r="7" spans="1:12" ht="15" customHeight="1">
      <c r="A7" s="18" t="s">
        <v>46</v>
      </c>
      <c r="B7" s="19">
        <v>10013332.5</v>
      </c>
      <c r="D7" s="18" t="s">
        <v>33</v>
      </c>
      <c r="E7" s="19">
        <v>6806525</v>
      </c>
      <c r="G7" s="20">
        <v>45689</v>
      </c>
      <c r="H7" s="19">
        <v>3868013.75</v>
      </c>
    </row>
    <row r="8" spans="1:12" ht="15" customHeight="1">
      <c r="A8" s="18" t="s">
        <v>32</v>
      </c>
      <c r="B8" s="19">
        <v>7487181.5</v>
      </c>
      <c r="D8" s="18" t="s">
        <v>123</v>
      </c>
      <c r="E8" s="21">
        <v>115503.5</v>
      </c>
      <c r="G8" s="20">
        <v>45717</v>
      </c>
      <c r="H8" s="19">
        <v>1303035.25</v>
      </c>
    </row>
    <row r="9" spans="1:12" ht="15" customHeight="1">
      <c r="A9" s="18" t="s">
        <v>107</v>
      </c>
      <c r="B9" s="21">
        <v>13203531.5</v>
      </c>
      <c r="D9" s="22" t="s">
        <v>2169</v>
      </c>
      <c r="E9" s="23">
        <v>34745967.5</v>
      </c>
      <c r="G9" s="20">
        <v>45748</v>
      </c>
      <c r="H9" s="19">
        <v>3042603.75</v>
      </c>
    </row>
    <row r="10" spans="1:12" ht="15" customHeight="1">
      <c r="A10" s="22" t="s">
        <v>2169</v>
      </c>
      <c r="B10" s="23">
        <v>34745967.5</v>
      </c>
      <c r="G10" s="20">
        <v>45778</v>
      </c>
      <c r="H10" s="19">
        <v>3134828.5</v>
      </c>
    </row>
    <row r="11" spans="1:12" ht="15" customHeight="1">
      <c r="G11" s="20">
        <v>45809</v>
      </c>
      <c r="H11" s="19">
        <v>1032385</v>
      </c>
    </row>
    <row r="12" spans="1:12" ht="15" customHeight="1">
      <c r="G12" s="20">
        <v>45839</v>
      </c>
      <c r="H12" s="19">
        <v>1741047.5</v>
      </c>
    </row>
    <row r="13" spans="1:12" ht="15" customHeight="1">
      <c r="G13" s="20">
        <v>45870</v>
      </c>
      <c r="H13" s="19">
        <v>1836526</v>
      </c>
    </row>
    <row r="14" spans="1:12" ht="15" customHeight="1">
      <c r="G14" s="20">
        <v>45901</v>
      </c>
      <c r="H14" s="19">
        <v>1226591.5</v>
      </c>
    </row>
    <row r="15" spans="1:12" ht="15" customHeight="1">
      <c r="G15" s="20">
        <v>45931</v>
      </c>
      <c r="H15" s="19">
        <v>1775603.5</v>
      </c>
    </row>
    <row r="16" spans="1:12" ht="15" customHeight="1">
      <c r="G16" s="20">
        <v>45962</v>
      </c>
      <c r="H16" s="19">
        <v>1992715.25</v>
      </c>
    </row>
    <row r="17" spans="7:8" ht="15" customHeight="1">
      <c r="G17" s="20">
        <v>45992</v>
      </c>
      <c r="H17" s="19">
        <v>2185859.5</v>
      </c>
    </row>
    <row r="18" spans="7:8" ht="15" customHeight="1">
      <c r="G18" s="20">
        <v>46023</v>
      </c>
      <c r="H18" s="19">
        <v>2304380</v>
      </c>
    </row>
    <row r="19" spans="7:8" ht="15" customHeight="1">
      <c r="G19" s="20">
        <v>46054</v>
      </c>
      <c r="H19" s="19">
        <v>487533.5</v>
      </c>
    </row>
    <row r="20" spans="7:8" ht="15" customHeight="1">
      <c r="G20" s="20">
        <v>46082</v>
      </c>
      <c r="H20" s="19">
        <v>2337934.5</v>
      </c>
    </row>
    <row r="21" spans="7:8" ht="15" customHeight="1">
      <c r="G21" s="20">
        <v>46113</v>
      </c>
      <c r="H21" s="19">
        <v>2647114</v>
      </c>
    </row>
    <row r="22" spans="7:8" ht="15" customHeight="1">
      <c r="G22" s="20">
        <v>46143</v>
      </c>
      <c r="H22" s="19">
        <v>714403.5</v>
      </c>
    </row>
    <row r="23" spans="7:8" ht="15" customHeight="1">
      <c r="G23" s="20" t="s">
        <v>2170</v>
      </c>
      <c r="H23" s="21">
        <v>840575</v>
      </c>
    </row>
    <row r="24" spans="7:8" ht="15" customHeight="1">
      <c r="G24" s="24" t="s">
        <v>2169</v>
      </c>
      <c r="H24" s="23">
        <v>34745967.5</v>
      </c>
    </row>
    <row r="25" spans="7:8" ht="15" customHeight="1">
      <c r="G25" s="10">
        <v>46296</v>
      </c>
      <c r="H25">
        <f>SUMPRODUCT((IFERROR(DATE(VALUE(RIGHT(Cleaned_Data!$D$2:$D$499,4)),VALUE(MID(Cleaned_Data!$D$2:$D$499,4,2)),VALUE(LEFT(Cleaned_Data!$D$2:$D$499,2))),0)&gt;=DATE(YEAR(G25),MONTH(G25),1))*(IFERROR(DATE(VALUE(RIGHT(Cleaned_Data!$D$2:$D$499,4)),VALUE(MID(Cleaned_Data!$D$2:$D$499,4,2)),VALUE(LEFT(Cleaned_Data!$D$2:$D$499,2))),0)&lt;EDATE(G25,1))*Cleaned_Data!$P$2:$P$499)</f>
        <v>0</v>
      </c>
    </row>
    <row r="26" spans="7:8" ht="15" customHeight="1">
      <c r="G26" s="10">
        <v>46327</v>
      </c>
      <c r="H26">
        <f>SUMPRODUCT((IFERROR(DATE(VALUE(RIGHT(Cleaned_Data!$D$2:$D$499,4)),VALUE(MID(Cleaned_Data!$D$2:$D$499,4,2)),VALUE(LEFT(Cleaned_Data!$D$2:$D$499,2))),0)&gt;=DATE(YEAR(G26),MONTH(G26),1))*(IFERROR(DATE(VALUE(RIGHT(Cleaned_Data!$D$2:$D$499,4)),VALUE(MID(Cleaned_Data!$D$2:$D$499,4,2)),VALUE(LEFT(Cleaned_Data!$D$2:$D$499,2))),0)&lt;EDATE(G26,1))*Cleaned_Data!$P$2:$P$499)</f>
        <v>0</v>
      </c>
    </row>
    <row r="27" spans="7:8" ht="15" customHeight="1">
      <c r="G27" s="10">
        <v>46357</v>
      </c>
      <c r="H27">
        <f>SUMPRODUCT((IFERROR(DATE(VALUE(RIGHT(Cleaned_Data!$D$2:$D$499,4)),VALUE(MID(Cleaned_Data!$D$2:$D$499,4,2)),VALUE(LEFT(Cleaned_Data!$D$2:$D$499,2))),0)&gt;=DATE(YEAR(G27),MONTH(G27),1))*(IFERROR(DATE(VALUE(RIGHT(Cleaned_Data!$D$2:$D$499,4)),VALUE(MID(Cleaned_Data!$D$2:$D$499,4,2)),VALUE(LEFT(Cleaned_Data!$D$2:$D$499,2))),0)&lt;EDATE(G27,1))*Cleaned_Data!$P$2:$P$499)</f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4F7F-C549-446A-8905-35AFD456D44A}">
  <dimension ref="A1:AJC148"/>
  <sheetViews>
    <sheetView showGridLines="0" zoomScale="99" zoomScaleNormal="99" workbookViewId="0">
      <pane ySplit="2" topLeftCell="A3" activePane="bottomLeft" state="frozen"/>
      <selection pane="bottomLeft" sqref="A1:O2"/>
    </sheetView>
  </sheetViews>
  <sheetFormatPr defaultRowHeight="13.8"/>
  <cols>
    <col min="1" max="1" width="10" style="27" bestFit="1" customWidth="1"/>
    <col min="2" max="2" width="18.77734375" style="27" bestFit="1" customWidth="1"/>
    <col min="3" max="3" width="8.88671875" style="27" bestFit="1" customWidth="1"/>
    <col min="4" max="4" width="10.21875" style="27" bestFit="1" customWidth="1"/>
    <col min="5" max="5" width="9.5546875" style="27" bestFit="1" customWidth="1"/>
    <col min="6" max="6" width="11.6640625" style="27" bestFit="1" customWidth="1"/>
    <col min="7" max="8" width="13.33203125" style="27" customWidth="1"/>
    <col min="9" max="9" width="17.77734375" style="27" customWidth="1"/>
    <col min="10" max="13" width="13.33203125" style="27" customWidth="1"/>
    <col min="14" max="14" width="18" style="27" bestFit="1" customWidth="1"/>
    <col min="15" max="15" width="10.5546875" style="27" bestFit="1" customWidth="1"/>
    <col min="16" max="20" width="8.88671875" style="27"/>
    <col min="21" max="21" width="12.6640625" style="27" bestFit="1" customWidth="1"/>
    <col min="22" max="22" width="8.88671875" style="27"/>
    <col min="23" max="23" width="16.6640625" style="27" bestFit="1" customWidth="1"/>
    <col min="24" max="24" width="16.44140625" style="27" bestFit="1" customWidth="1"/>
    <col min="25" max="26" width="8.88671875" style="27"/>
    <col min="27" max="27" width="7.88671875" style="27" bestFit="1" customWidth="1"/>
    <col min="28" max="28" width="16.6640625" style="27" bestFit="1" customWidth="1"/>
    <col min="29" max="29" width="7.109375" style="27" bestFit="1" customWidth="1"/>
    <col min="30" max="30" width="9" style="27" bestFit="1" customWidth="1"/>
    <col min="31" max="31" width="7.88671875" style="27" bestFit="1" customWidth="1"/>
    <col min="32" max="32" width="9.33203125" style="27" bestFit="1" customWidth="1"/>
    <col min="33" max="16384" width="8.88671875" style="27"/>
  </cols>
  <sheetData>
    <row r="1" spans="1:939" ht="14.4">
      <c r="A1" s="86" t="s">
        <v>2197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</row>
    <row r="2" spans="1:939" ht="14.4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  <c r="Q2"/>
    </row>
    <row r="3" spans="1:939" ht="14.4">
      <c r="A3" s="74"/>
      <c r="B3" s="75"/>
      <c r="C3" s="75"/>
      <c r="D3" s="75"/>
      <c r="E3" s="75"/>
      <c r="F3" s="75"/>
      <c r="G3" s="75"/>
      <c r="H3" s="75"/>
      <c r="I3" s="76"/>
      <c r="J3" s="76"/>
      <c r="K3" s="76"/>
      <c r="L3" s="76"/>
      <c r="M3" s="76"/>
      <c r="N3" s="76"/>
      <c r="O3" s="77"/>
    </row>
    <row r="4" spans="1:939">
      <c r="A4" s="51" t="s">
        <v>2195</v>
      </c>
      <c r="B4" s="52"/>
      <c r="C4" s="52"/>
      <c r="D4" s="53"/>
      <c r="E4" s="51" t="s">
        <v>2194</v>
      </c>
      <c r="F4" s="52"/>
      <c r="G4" s="52"/>
      <c r="H4" s="53"/>
      <c r="I4" s="51" t="s">
        <v>2193</v>
      </c>
      <c r="J4" s="52"/>
      <c r="K4" s="52"/>
      <c r="L4" s="53"/>
      <c r="M4" s="76"/>
      <c r="N4" s="76"/>
      <c r="O4" s="77"/>
    </row>
    <row r="5" spans="1:939">
      <c r="A5" s="57" t="s">
        <v>2173</v>
      </c>
      <c r="B5" s="58"/>
      <c r="C5" s="58"/>
      <c r="D5" s="59"/>
      <c r="E5" s="57" t="s">
        <v>2173</v>
      </c>
      <c r="F5" s="58"/>
      <c r="G5" s="58"/>
      <c r="H5" s="59"/>
      <c r="I5" s="58" t="s">
        <v>2173</v>
      </c>
      <c r="J5" s="58"/>
      <c r="K5" s="58"/>
      <c r="L5" s="59"/>
      <c r="M5" s="76"/>
      <c r="N5" s="76"/>
      <c r="O5" s="77"/>
    </row>
    <row r="6" spans="1:939">
      <c r="A6" s="60"/>
      <c r="B6" s="61"/>
      <c r="C6" s="61"/>
      <c r="D6" s="62"/>
      <c r="E6" s="60"/>
      <c r="F6" s="61"/>
      <c r="G6" s="61"/>
      <c r="H6" s="62"/>
      <c r="I6" s="61"/>
      <c r="J6" s="61"/>
      <c r="K6" s="61"/>
      <c r="L6" s="62"/>
      <c r="M6" s="76"/>
      <c r="N6" s="76"/>
      <c r="O6" s="77"/>
    </row>
    <row r="7" spans="1:939">
      <c r="A7" s="78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7"/>
    </row>
    <row r="8" spans="1:939">
      <c r="A8" s="51" t="s">
        <v>2171</v>
      </c>
      <c r="B8" s="52"/>
      <c r="C8" s="53"/>
      <c r="D8" s="79"/>
      <c r="E8" s="51" t="s">
        <v>2172</v>
      </c>
      <c r="F8" s="52"/>
      <c r="G8" s="53"/>
      <c r="H8" s="79"/>
      <c r="I8" s="51" t="s">
        <v>2192</v>
      </c>
      <c r="J8" s="52"/>
      <c r="K8" s="53"/>
      <c r="L8" s="79"/>
      <c r="M8" s="51" t="s">
        <v>2191</v>
      </c>
      <c r="N8" s="52"/>
      <c r="O8" s="53"/>
    </row>
    <row r="9" spans="1:939" ht="22.8">
      <c r="A9" s="63">
        <f>SUMIFS($D$16:$D$148,$A$16:$A$148,IF($A$5="All","*",$A$5),$B$16:$B$148,IF($E$5="All","*",$E$5),$C$16:$C$148,IF($I$5="All","*",$I$5))</f>
        <v>33924872.5</v>
      </c>
      <c r="B9" s="64"/>
      <c r="C9" s="65"/>
      <c r="D9" s="80"/>
      <c r="E9" s="72">
        <f>SUMIFS($E$16:$E$148,$A$16:$A$148,IF($A$5="All","*",$A$5),$B$16:$B$148,IF($E$5="All","*",$E$5),$C$16:$C$148,IF($I$5="All","*",$I$5))</f>
        <v>496</v>
      </c>
      <c r="F9" s="64"/>
      <c r="G9" s="65"/>
      <c r="H9" s="80"/>
      <c r="I9" s="72">
        <f>SUMIFS($F$16:$F$148,$A$16:$A$148,IF($A$5="All","*",$A$5),$B$16:$B$148,IF($E$5="All","*",$E$5),$C$16:$C$148,IF($I$5="All","*",$I$5))</f>
        <v>5207</v>
      </c>
      <c r="J9" s="64"/>
      <c r="K9" s="65"/>
      <c r="L9" s="80"/>
      <c r="M9" s="63">
        <f>IFERROR(A9/E9,0)</f>
        <v>68396.920362903227</v>
      </c>
      <c r="N9" s="64"/>
      <c r="O9" s="65"/>
    </row>
    <row r="10" spans="1:939" ht="22.8">
      <c r="A10" s="66"/>
      <c r="B10" s="67"/>
      <c r="C10" s="68"/>
      <c r="D10" s="80"/>
      <c r="E10" s="66"/>
      <c r="F10" s="67"/>
      <c r="G10" s="68"/>
      <c r="H10" s="80"/>
      <c r="I10" s="66"/>
      <c r="J10" s="67"/>
      <c r="K10" s="68"/>
      <c r="L10" s="80"/>
      <c r="M10" s="66"/>
      <c r="N10" s="67"/>
      <c r="O10" s="68"/>
    </row>
    <row r="11" spans="1:939" ht="22.8">
      <c r="A11" s="69"/>
      <c r="B11" s="70"/>
      <c r="C11" s="71"/>
      <c r="D11" s="80"/>
      <c r="E11" s="69"/>
      <c r="F11" s="70"/>
      <c r="G11" s="71"/>
      <c r="H11" s="80"/>
      <c r="I11" s="69"/>
      <c r="J11" s="70"/>
      <c r="K11" s="71"/>
      <c r="L11" s="80"/>
      <c r="M11" s="69"/>
      <c r="N11" s="70"/>
      <c r="O11" s="71"/>
    </row>
    <row r="12" spans="1:939">
      <c r="A12" s="78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7"/>
    </row>
    <row r="13" spans="1:939">
      <c r="A13" s="54" t="s">
        <v>2190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1:939">
      <c r="A14" s="78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7"/>
    </row>
    <row r="15" spans="1:939">
      <c r="A15" s="73" t="s">
        <v>9</v>
      </c>
      <c r="B15" s="73" t="s">
        <v>10</v>
      </c>
      <c r="C15" s="73" t="s">
        <v>2189</v>
      </c>
      <c r="D15" s="73" t="s">
        <v>15</v>
      </c>
      <c r="E15" s="73" t="s">
        <v>2196</v>
      </c>
      <c r="F15" s="73" t="s">
        <v>12</v>
      </c>
      <c r="G15" s="76"/>
      <c r="H15" s="73" t="s">
        <v>2189</v>
      </c>
      <c r="I15" s="73" t="s">
        <v>15</v>
      </c>
      <c r="J15" s="76"/>
      <c r="K15" s="73" t="s">
        <v>9</v>
      </c>
      <c r="L15" s="73" t="s">
        <v>15</v>
      </c>
      <c r="M15" s="76"/>
      <c r="N15" s="73" t="s">
        <v>10</v>
      </c>
      <c r="O15" s="73" t="s">
        <v>15</v>
      </c>
    </row>
    <row r="16" spans="1:939">
      <c r="A16" s="49" t="s">
        <v>296</v>
      </c>
      <c r="B16" s="49" t="s">
        <v>47</v>
      </c>
      <c r="C16" s="49" t="s">
        <v>2188</v>
      </c>
      <c r="D16" s="49">
        <v>385020</v>
      </c>
      <c r="E16" s="49">
        <v>5</v>
      </c>
      <c r="F16" s="49">
        <v>41</v>
      </c>
      <c r="G16" s="76"/>
      <c r="H16" s="49" t="s">
        <v>2188</v>
      </c>
      <c r="I16" s="49">
        <f>SUMIFS($D$16:$D$148,$C$16:$C$148,H16,$A$16:$A$148,IF($A$5="All","*",$A$5),$B$16:$B$148,IF($E$5="All","*",$E$5))</f>
        <v>4579197.5</v>
      </c>
      <c r="J16" s="76"/>
      <c r="K16" s="50" t="s">
        <v>296</v>
      </c>
      <c r="L16" s="50">
        <f>SUMIFS($D$16:$D$148,$A$16:$A$148,K16,$B$16:$B$148,IF($E$5="All","*",$E$5),$C$16:$C$148,IF($I$5="All","*",$I$5))</f>
        <v>4041922</v>
      </c>
      <c r="M16" s="76"/>
      <c r="N16" s="49" t="s">
        <v>47</v>
      </c>
      <c r="O16" s="49">
        <f>SUMIFS($D$16:$D$148,$B$16:$B$148,N16,$A$16:$A$148,IF($A$5="All","*",$A$5),$C$16:$C$148,IF($I$5="All","*",$I$5))</f>
        <v>26992394</v>
      </c>
    </row>
    <row r="17" spans="1:15">
      <c r="A17" s="49" t="s">
        <v>296</v>
      </c>
      <c r="B17" s="49" t="s">
        <v>47</v>
      </c>
      <c r="C17" s="49" t="s">
        <v>2187</v>
      </c>
      <c r="D17" s="49">
        <v>4800</v>
      </c>
      <c r="E17" s="49">
        <v>1</v>
      </c>
      <c r="F17" s="49">
        <v>4</v>
      </c>
      <c r="G17" s="76"/>
      <c r="H17" s="49" t="s">
        <v>2187</v>
      </c>
      <c r="I17" s="49">
        <f>SUMIFS($D$16:$D$148,$C$16:$C$148,H17,$A$16:$A$148,IF($A$5="All","*",$A$5),$B$16:$B$148,IF($E$5="All","*",$E$5))</f>
        <v>4362197.25</v>
      </c>
      <c r="J17" s="76"/>
      <c r="K17" s="50" t="s">
        <v>46</v>
      </c>
      <c r="L17" s="50">
        <f>SUMIFS($D$16:$D$148,$A$16:$A$148,K17,$B$16:$B$148,IF($E$5="All","*",$E$5),$C$16:$C$148,IF($I$5="All","*",$I$5))</f>
        <v>9197852.5</v>
      </c>
      <c r="M17" s="76"/>
      <c r="N17" s="49" t="s">
        <v>33</v>
      </c>
      <c r="O17" s="49">
        <f>SUMIFS($D$16:$D$148,$B$16:$B$148,N17,$A$16:$A$148,IF($A$5="All","*",$A$5),$C$16:$C$148,IF($I$5="All","*",$I$5))</f>
        <v>6816975</v>
      </c>
    </row>
    <row r="18" spans="1:15">
      <c r="A18" s="49" t="s">
        <v>296</v>
      </c>
      <c r="B18" s="49" t="s">
        <v>47</v>
      </c>
      <c r="C18" s="49" t="s">
        <v>2186</v>
      </c>
      <c r="D18" s="49">
        <v>89950</v>
      </c>
      <c r="E18" s="49">
        <v>2</v>
      </c>
      <c r="F18" s="49">
        <v>17</v>
      </c>
      <c r="G18" s="76"/>
      <c r="H18" s="49" t="s">
        <v>2186</v>
      </c>
      <c r="I18" s="49">
        <f>SUMIFS($D$16:$D$148,$C$16:$C$148,H18,$A$16:$A$148,IF($A$5="All","*",$A$5),$B$16:$B$148,IF($E$5="All","*",$E$5))</f>
        <v>3651419.75</v>
      </c>
      <c r="J18" s="76"/>
      <c r="K18" s="50" t="s">
        <v>32</v>
      </c>
      <c r="L18" s="50">
        <f>SUMIFS($D$16:$D$148,$A$16:$A$148,K18,$B$16:$B$148,IF($E$5="All","*",$E$5),$C$16:$C$148,IF($I$5="All","*",$I$5))</f>
        <v>7490491.5</v>
      </c>
      <c r="M18" s="76"/>
      <c r="N18" s="49" t="s">
        <v>123</v>
      </c>
      <c r="O18" s="49">
        <f>SUMIFS($D$16:$D$148,$B$16:$B$148,N18,$A$16:$A$148,IF($A$5="All","*",$A$5),$C$16:$C$148,IF($I$5="All","*",$I$5))</f>
        <v>115503.5</v>
      </c>
    </row>
    <row r="19" spans="1:15">
      <c r="A19" s="49" t="s">
        <v>296</v>
      </c>
      <c r="B19" s="49" t="s">
        <v>47</v>
      </c>
      <c r="C19" s="49" t="s">
        <v>2185</v>
      </c>
      <c r="D19" s="49">
        <v>833100</v>
      </c>
      <c r="E19" s="49">
        <v>3</v>
      </c>
      <c r="F19" s="49">
        <v>35</v>
      </c>
      <c r="G19" s="76"/>
      <c r="H19" s="49" t="s">
        <v>2185</v>
      </c>
      <c r="I19" s="49">
        <f>SUMIFS($D$16:$D$148,$C$16:$C$148,H19,$A$16:$A$148,IF($A$5="All","*",$A$5),$B$16:$B$148,IF($E$5="All","*",$E$5))</f>
        <v>5689717.75</v>
      </c>
      <c r="J19" s="76"/>
      <c r="K19" s="50" t="s">
        <v>107</v>
      </c>
      <c r="L19" s="50">
        <f>SUMIFS($D$16:$D$148,$A$16:$A$148,K19,$B$16:$B$148,IF($E$5="All","*",$E$5),$C$16:$C$148,IF($I$5="All","*",$I$5))</f>
        <v>13194606.5</v>
      </c>
      <c r="M19" s="76"/>
      <c r="N19" s="76"/>
      <c r="O19" s="77"/>
    </row>
    <row r="20" spans="1:15">
      <c r="A20" s="49" t="s">
        <v>296</v>
      </c>
      <c r="B20" s="49" t="s">
        <v>47</v>
      </c>
      <c r="C20" s="49" t="s">
        <v>2184</v>
      </c>
      <c r="D20" s="49">
        <v>172800</v>
      </c>
      <c r="E20" s="49">
        <v>1</v>
      </c>
      <c r="F20" s="49">
        <v>18</v>
      </c>
      <c r="G20" s="76"/>
      <c r="H20" s="49" t="s">
        <v>2184</v>
      </c>
      <c r="I20" s="49">
        <f>SUMIFS($D$16:$D$148,$C$16:$C$148,H20,$A$16:$A$148,IF($A$5="All","*",$A$5),$B$16:$B$148,IF($E$5="All","*",$E$5))</f>
        <v>3842092</v>
      </c>
      <c r="J20" s="76"/>
      <c r="K20" s="76"/>
      <c r="L20" s="76"/>
      <c r="M20" s="76"/>
      <c r="N20" s="76"/>
      <c r="O20" s="77"/>
    </row>
    <row r="21" spans="1:15">
      <c r="A21" s="49" t="s">
        <v>296</v>
      </c>
      <c r="B21" s="49" t="s">
        <v>47</v>
      </c>
      <c r="C21" s="49" t="s">
        <v>2183</v>
      </c>
      <c r="D21" s="49">
        <v>15890</v>
      </c>
      <c r="E21" s="49">
        <v>2</v>
      </c>
      <c r="F21" s="49">
        <v>23</v>
      </c>
      <c r="G21" s="76"/>
      <c r="H21" s="49" t="s">
        <v>2183</v>
      </c>
      <c r="I21" s="49">
        <f>SUMIFS($D$16:$D$148,$C$16:$C$148,H21,$A$16:$A$148,IF($A$5="All","*",$A$5),$B$16:$B$148,IF($E$5="All","*",$E$5))</f>
        <v>1032385</v>
      </c>
      <c r="J21" s="76"/>
      <c r="K21" s="76"/>
      <c r="L21" s="76"/>
      <c r="M21" s="76"/>
      <c r="N21" s="76"/>
      <c r="O21" s="77"/>
    </row>
    <row r="22" spans="1:15">
      <c r="A22" s="49" t="s">
        <v>296</v>
      </c>
      <c r="B22" s="49" t="s">
        <v>47</v>
      </c>
      <c r="C22" s="49" t="s">
        <v>2182</v>
      </c>
      <c r="D22" s="49">
        <v>3240</v>
      </c>
      <c r="E22" s="49">
        <v>1</v>
      </c>
      <c r="F22" s="49">
        <v>3</v>
      </c>
      <c r="G22" s="76"/>
      <c r="H22" s="49" t="s">
        <v>2182</v>
      </c>
      <c r="I22" s="49">
        <f>SUMIFS($D$16:$D$148,$C$16:$C$148,H22,$A$16:$A$148,IF($A$5="All","*",$A$5),$B$16:$B$148,IF($E$5="All","*",$E$5))</f>
        <v>1741047.5</v>
      </c>
      <c r="J22" s="76"/>
      <c r="K22" s="76"/>
      <c r="L22" s="76"/>
      <c r="M22" s="76"/>
      <c r="N22" s="76"/>
      <c r="O22" s="77"/>
    </row>
    <row r="23" spans="1:15">
      <c r="A23" s="49" t="s">
        <v>296</v>
      </c>
      <c r="B23" s="49" t="s">
        <v>47</v>
      </c>
      <c r="C23" s="49" t="s">
        <v>2181</v>
      </c>
      <c r="D23" s="49">
        <v>627000</v>
      </c>
      <c r="E23" s="49">
        <v>1</v>
      </c>
      <c r="F23" s="49">
        <v>12</v>
      </c>
      <c r="G23" s="76"/>
      <c r="H23" s="49" t="s">
        <v>2181</v>
      </c>
      <c r="I23" s="49">
        <f>SUMIFS($D$16:$D$148,$C$16:$C$148,H23,$A$16:$A$148,IF($A$5="All","*",$A$5),$B$16:$B$148,IF($E$5="All","*",$E$5))</f>
        <v>1836526</v>
      </c>
      <c r="J23" s="76"/>
      <c r="K23" s="76"/>
      <c r="L23" s="76"/>
      <c r="M23" s="76"/>
      <c r="N23" s="76"/>
      <c r="O23" s="77"/>
    </row>
    <row r="24" spans="1:15">
      <c r="A24" s="49" t="s">
        <v>296</v>
      </c>
      <c r="B24" s="49" t="s">
        <v>47</v>
      </c>
      <c r="C24" s="49" t="s">
        <v>2179</v>
      </c>
      <c r="D24" s="49">
        <v>9600</v>
      </c>
      <c r="E24" s="49">
        <v>1</v>
      </c>
      <c r="F24" s="49">
        <v>8</v>
      </c>
      <c r="G24" s="76"/>
      <c r="H24" s="49" t="s">
        <v>2180</v>
      </c>
      <c r="I24" s="49">
        <f>SUMIFS($D$16:$D$148,$C$16:$C$148,H24,$A$16:$A$148,IF($A$5="All","*",$A$5),$B$16:$B$148,IF($E$5="All","*",$E$5))</f>
        <v>1236111.5</v>
      </c>
      <c r="J24" s="76"/>
      <c r="K24" s="76"/>
      <c r="L24" s="76"/>
      <c r="M24" s="76"/>
      <c r="N24" s="76"/>
      <c r="O24" s="77"/>
    </row>
    <row r="25" spans="1:15">
      <c r="A25" s="49" t="s">
        <v>296</v>
      </c>
      <c r="B25" s="49" t="s">
        <v>47</v>
      </c>
      <c r="C25" s="49" t="s">
        <v>2178</v>
      </c>
      <c r="D25" s="49">
        <v>568240</v>
      </c>
      <c r="E25" s="49">
        <v>2</v>
      </c>
      <c r="F25" s="49">
        <v>26</v>
      </c>
      <c r="G25" s="76"/>
      <c r="H25" s="49" t="s">
        <v>2179</v>
      </c>
      <c r="I25" s="49">
        <f>SUMIFS($D$16:$D$148,$C$16:$C$148,H25,$A$16:$A$148,IF($A$5="All","*",$A$5),$B$16:$B$148,IF($E$5="All","*",$E$5))</f>
        <v>1775603.5</v>
      </c>
      <c r="J25" s="76"/>
      <c r="K25" s="76"/>
      <c r="L25" s="76"/>
      <c r="M25" s="76"/>
      <c r="N25" s="76"/>
      <c r="O25" s="77"/>
    </row>
    <row r="26" spans="1:15">
      <c r="A26" s="49" t="s">
        <v>296</v>
      </c>
      <c r="B26" s="49" t="s">
        <v>47</v>
      </c>
      <c r="C26" s="49" t="s">
        <v>2177</v>
      </c>
      <c r="D26" s="49">
        <v>24000</v>
      </c>
      <c r="E26" s="49">
        <v>2</v>
      </c>
      <c r="F26" s="49">
        <v>22</v>
      </c>
      <c r="G26" s="76"/>
      <c r="H26" s="49" t="s">
        <v>2178</v>
      </c>
      <c r="I26" s="49">
        <f>SUMIFS($D$16:$D$148,$C$16:$C$148,H26,$A$16:$A$148,IF($A$5="All","*",$A$5),$B$16:$B$148,IF($E$5="All","*",$E$5))</f>
        <v>1992715.25</v>
      </c>
      <c r="J26" s="76"/>
      <c r="K26" s="76"/>
      <c r="L26" s="76"/>
      <c r="M26" s="76"/>
      <c r="N26" s="76"/>
      <c r="O26" s="77"/>
    </row>
    <row r="27" spans="1:15">
      <c r="A27" s="49" t="s">
        <v>296</v>
      </c>
      <c r="B27" s="49" t="s">
        <v>33</v>
      </c>
      <c r="C27" s="49" t="s">
        <v>2188</v>
      </c>
      <c r="D27" s="49">
        <v>82110</v>
      </c>
      <c r="E27" s="49">
        <v>3</v>
      </c>
      <c r="F27" s="49">
        <v>24</v>
      </c>
      <c r="G27" s="76"/>
      <c r="H27" s="49" t="s">
        <v>2177</v>
      </c>
      <c r="I27" s="49">
        <f>SUMIFS($D$16:$D$148,$C$16:$C$148,H27,$A$16:$A$148,IF($A$5="All","*",$A$5),$B$16:$B$148,IF($E$5="All","*",$E$5))</f>
        <v>2185859.5</v>
      </c>
      <c r="J27" s="76"/>
      <c r="K27" s="76"/>
      <c r="L27" s="76"/>
      <c r="M27" s="76"/>
      <c r="N27" s="76"/>
      <c r="O27" s="77"/>
    </row>
    <row r="28" spans="1:15">
      <c r="A28" s="49" t="s">
        <v>296</v>
      </c>
      <c r="B28" s="49" t="s">
        <v>33</v>
      </c>
      <c r="C28" s="49" t="s">
        <v>2187</v>
      </c>
      <c r="D28" s="49">
        <v>74025</v>
      </c>
      <c r="E28" s="49">
        <v>2</v>
      </c>
      <c r="F28" s="49">
        <v>23</v>
      </c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49" t="s">
        <v>296</v>
      </c>
      <c r="B29" s="49" t="s">
        <v>33</v>
      </c>
      <c r="C29" s="49" t="s">
        <v>2186</v>
      </c>
      <c r="D29" s="49">
        <v>199175</v>
      </c>
      <c r="E29" s="49">
        <v>2</v>
      </c>
      <c r="F29" s="49">
        <v>35</v>
      </c>
      <c r="G29" s="76"/>
      <c r="H29" s="76"/>
      <c r="I29" s="76"/>
      <c r="J29" s="76"/>
      <c r="K29" s="76"/>
      <c r="L29" s="76"/>
      <c r="M29" s="76"/>
      <c r="N29" s="76"/>
      <c r="O29" s="77"/>
    </row>
    <row r="30" spans="1:15">
      <c r="A30" s="49" t="s">
        <v>296</v>
      </c>
      <c r="B30" s="49" t="s">
        <v>33</v>
      </c>
      <c r="C30" s="49" t="s">
        <v>2185</v>
      </c>
      <c r="D30" s="49">
        <v>283135</v>
      </c>
      <c r="E30" s="49">
        <v>5</v>
      </c>
      <c r="F30" s="49">
        <v>48</v>
      </c>
      <c r="G30" s="76"/>
      <c r="H30" s="76"/>
      <c r="I30" s="76"/>
      <c r="J30" s="76"/>
      <c r="K30" s="76"/>
      <c r="L30" s="76"/>
      <c r="M30" s="76"/>
      <c r="N30" s="76"/>
      <c r="O30" s="77"/>
    </row>
    <row r="31" spans="1:15">
      <c r="A31" s="49" t="s">
        <v>296</v>
      </c>
      <c r="B31" s="49" t="s">
        <v>33</v>
      </c>
      <c r="C31" s="49" t="s">
        <v>2184</v>
      </c>
      <c r="D31" s="49">
        <v>380375</v>
      </c>
      <c r="E31" s="49">
        <v>3</v>
      </c>
      <c r="F31" s="49">
        <v>49</v>
      </c>
      <c r="G31" s="81"/>
      <c r="H31" s="81"/>
      <c r="I31" s="81"/>
      <c r="J31" s="81"/>
      <c r="K31" s="81"/>
      <c r="L31" s="81"/>
      <c r="M31" s="81"/>
      <c r="N31" s="81"/>
      <c r="O31" s="82"/>
    </row>
    <row r="32" spans="1:15">
      <c r="A32" s="49" t="s">
        <v>296</v>
      </c>
      <c r="B32" s="49" t="s">
        <v>33</v>
      </c>
      <c r="C32" s="49" t="s">
        <v>2183</v>
      </c>
      <c r="D32" s="49">
        <v>8925</v>
      </c>
      <c r="E32" s="49">
        <v>1</v>
      </c>
      <c r="F32" s="49">
        <v>3</v>
      </c>
      <c r="G32" s="81"/>
      <c r="H32" s="81"/>
      <c r="I32" s="81"/>
      <c r="J32" s="81"/>
      <c r="K32" s="81"/>
      <c r="L32" s="81"/>
      <c r="M32" s="81"/>
      <c r="N32" s="81"/>
      <c r="O32" s="82"/>
    </row>
    <row r="33" spans="1:15">
      <c r="A33" s="49" t="s">
        <v>296</v>
      </c>
      <c r="B33" s="49" t="s">
        <v>33</v>
      </c>
      <c r="C33" s="49" t="s">
        <v>2182</v>
      </c>
      <c r="D33" s="49">
        <v>146060</v>
      </c>
      <c r="E33" s="49">
        <v>2</v>
      </c>
      <c r="F33" s="49">
        <v>22</v>
      </c>
      <c r="G33" s="76"/>
      <c r="H33" s="76"/>
      <c r="I33" s="76"/>
      <c r="J33" s="76"/>
      <c r="K33" s="76"/>
      <c r="L33" s="76"/>
      <c r="M33" s="76"/>
      <c r="N33" s="76"/>
      <c r="O33" s="77"/>
    </row>
    <row r="34" spans="1:15" ht="14.4">
      <c r="A34" s="49" t="s">
        <v>296</v>
      </c>
      <c r="B34" s="49" t="s">
        <v>33</v>
      </c>
      <c r="C34" s="49" t="s">
        <v>2179</v>
      </c>
      <c r="D34" s="49">
        <v>88825</v>
      </c>
      <c r="E34" s="49">
        <v>1</v>
      </c>
      <c r="F34" s="49">
        <v>11</v>
      </c>
      <c r="G34" s="75"/>
      <c r="H34" s="75"/>
      <c r="I34" s="75"/>
      <c r="J34" s="75"/>
      <c r="K34" s="75"/>
      <c r="L34" s="75"/>
      <c r="M34" s="75"/>
      <c r="N34" s="75"/>
      <c r="O34" s="83"/>
    </row>
    <row r="35" spans="1:15" ht="14.4">
      <c r="A35" s="49" t="s">
        <v>296</v>
      </c>
      <c r="B35" s="49" t="s">
        <v>33</v>
      </c>
      <c r="C35" s="49" t="s">
        <v>2177</v>
      </c>
      <c r="D35" s="49">
        <v>40375</v>
      </c>
      <c r="E35" s="49">
        <v>1</v>
      </c>
      <c r="F35" s="49">
        <v>5</v>
      </c>
      <c r="G35" s="75"/>
      <c r="H35" s="75"/>
      <c r="I35" s="75"/>
      <c r="J35" s="75"/>
      <c r="K35" s="75"/>
      <c r="L35" s="75"/>
      <c r="M35" s="75"/>
      <c r="N35" s="75"/>
      <c r="O35" s="83"/>
    </row>
    <row r="36" spans="1:15">
      <c r="A36" s="49" t="s">
        <v>296</v>
      </c>
      <c r="B36" s="49" t="s">
        <v>123</v>
      </c>
      <c r="C36" s="49" t="s">
        <v>2188</v>
      </c>
      <c r="D36" s="49">
        <v>681</v>
      </c>
      <c r="E36" s="49">
        <v>3</v>
      </c>
      <c r="F36" s="49">
        <v>22</v>
      </c>
      <c r="G36" s="76"/>
      <c r="H36" s="76"/>
      <c r="I36" s="76"/>
      <c r="J36" s="76"/>
      <c r="K36" s="76"/>
      <c r="L36" s="76"/>
      <c r="M36" s="76"/>
      <c r="N36" s="76"/>
      <c r="O36" s="77"/>
    </row>
    <row r="37" spans="1:15">
      <c r="A37" s="49" t="s">
        <v>296</v>
      </c>
      <c r="B37" s="49" t="s">
        <v>123</v>
      </c>
      <c r="C37" s="49" t="s">
        <v>2187</v>
      </c>
      <c r="D37" s="49">
        <v>114.75</v>
      </c>
      <c r="E37" s="49">
        <v>1</v>
      </c>
      <c r="F37" s="49">
        <v>3</v>
      </c>
      <c r="G37" s="76"/>
      <c r="H37" s="76"/>
      <c r="I37" s="76"/>
      <c r="J37" s="76"/>
      <c r="K37" s="76"/>
      <c r="L37" s="76"/>
      <c r="M37" s="76"/>
      <c r="N37" s="76"/>
      <c r="O37" s="77"/>
    </row>
    <row r="38" spans="1:15">
      <c r="A38" s="49" t="s">
        <v>296</v>
      </c>
      <c r="B38" s="49" t="s">
        <v>123</v>
      </c>
      <c r="C38" s="49" t="s">
        <v>2185</v>
      </c>
      <c r="D38" s="49">
        <v>1026</v>
      </c>
      <c r="E38" s="49">
        <v>1</v>
      </c>
      <c r="F38" s="49">
        <v>19</v>
      </c>
      <c r="G38" s="76"/>
      <c r="H38" s="76"/>
      <c r="I38" s="76"/>
      <c r="J38" s="76"/>
      <c r="K38" s="76"/>
      <c r="L38" s="76"/>
      <c r="M38" s="76"/>
      <c r="N38" s="76"/>
      <c r="O38" s="77"/>
    </row>
    <row r="39" spans="1:15">
      <c r="A39" s="49" t="s">
        <v>296</v>
      </c>
      <c r="B39" s="49" t="s">
        <v>123</v>
      </c>
      <c r="C39" s="49" t="s">
        <v>2184</v>
      </c>
      <c r="D39" s="49">
        <v>1514.75</v>
      </c>
      <c r="E39" s="49">
        <v>4</v>
      </c>
      <c r="F39" s="49">
        <v>64</v>
      </c>
      <c r="G39" s="76"/>
      <c r="H39" s="76"/>
      <c r="I39" s="76"/>
      <c r="J39" s="76"/>
      <c r="K39" s="76"/>
      <c r="L39" s="76"/>
      <c r="M39" s="76"/>
      <c r="N39" s="76"/>
      <c r="O39" s="77"/>
    </row>
    <row r="40" spans="1:15">
      <c r="A40" s="49" t="s">
        <v>296</v>
      </c>
      <c r="B40" s="49" t="s">
        <v>123</v>
      </c>
      <c r="C40" s="49" t="s">
        <v>2182</v>
      </c>
      <c r="D40" s="49">
        <v>1084</v>
      </c>
      <c r="E40" s="49">
        <v>2</v>
      </c>
      <c r="F40" s="49">
        <v>27</v>
      </c>
      <c r="G40" s="76"/>
      <c r="H40" s="76"/>
      <c r="I40" s="76"/>
      <c r="J40" s="76"/>
      <c r="K40" s="76"/>
      <c r="L40" s="76"/>
      <c r="M40" s="76"/>
      <c r="N40" s="76"/>
      <c r="O40" s="77"/>
    </row>
    <row r="41" spans="1:15">
      <c r="A41" s="49" t="s">
        <v>296</v>
      </c>
      <c r="B41" s="49" t="s">
        <v>123</v>
      </c>
      <c r="C41" s="49" t="s">
        <v>2180</v>
      </c>
      <c r="D41" s="49">
        <v>240</v>
      </c>
      <c r="E41" s="49">
        <v>1</v>
      </c>
      <c r="F41" s="49">
        <v>15</v>
      </c>
      <c r="G41" s="76"/>
      <c r="H41" s="76"/>
      <c r="I41" s="76"/>
      <c r="J41" s="76"/>
      <c r="K41" s="76"/>
      <c r="L41" s="76"/>
      <c r="M41" s="76"/>
      <c r="N41" s="76"/>
      <c r="O41" s="77"/>
    </row>
    <row r="42" spans="1:15">
      <c r="A42" s="49" t="s">
        <v>296</v>
      </c>
      <c r="B42" s="49" t="s">
        <v>123</v>
      </c>
      <c r="C42" s="49" t="s">
        <v>2179</v>
      </c>
      <c r="D42" s="49">
        <v>81</v>
      </c>
      <c r="E42" s="49">
        <v>1</v>
      </c>
      <c r="F42" s="49">
        <v>2</v>
      </c>
      <c r="G42" s="76"/>
      <c r="H42" s="76"/>
      <c r="I42" s="76"/>
      <c r="J42" s="76"/>
      <c r="K42" s="76"/>
      <c r="L42" s="76"/>
      <c r="M42" s="76"/>
      <c r="N42" s="76"/>
      <c r="O42" s="77"/>
    </row>
    <row r="43" spans="1:15">
      <c r="A43" s="49" t="s">
        <v>296</v>
      </c>
      <c r="B43" s="49" t="s">
        <v>123</v>
      </c>
      <c r="C43" s="49" t="s">
        <v>2178</v>
      </c>
      <c r="D43" s="49">
        <v>535.5</v>
      </c>
      <c r="E43" s="49">
        <v>1</v>
      </c>
      <c r="F43" s="49">
        <v>14</v>
      </c>
      <c r="G43" s="76"/>
      <c r="H43" s="76"/>
      <c r="I43" s="76"/>
      <c r="J43" s="76"/>
      <c r="K43" s="76"/>
      <c r="L43" s="76"/>
      <c r="M43" s="76"/>
      <c r="N43" s="76"/>
      <c r="O43" s="77"/>
    </row>
    <row r="44" spans="1:15">
      <c r="A44" s="49" t="s">
        <v>46</v>
      </c>
      <c r="B44" s="49" t="s">
        <v>47</v>
      </c>
      <c r="C44" s="49" t="s">
        <v>2188</v>
      </c>
      <c r="D44" s="49">
        <v>35605</v>
      </c>
      <c r="E44" s="49">
        <v>4</v>
      </c>
      <c r="F44" s="49">
        <v>45</v>
      </c>
      <c r="G44" s="76"/>
      <c r="H44" s="76"/>
      <c r="I44" s="76"/>
      <c r="J44" s="76"/>
      <c r="K44" s="76"/>
      <c r="L44" s="76"/>
      <c r="M44" s="76"/>
      <c r="N44" s="76"/>
      <c r="O44" s="77"/>
    </row>
    <row r="45" spans="1:15">
      <c r="A45" s="49" t="s">
        <v>46</v>
      </c>
      <c r="B45" s="49" t="s">
        <v>47</v>
      </c>
      <c r="C45" s="49" t="s">
        <v>2187</v>
      </c>
      <c r="D45" s="49">
        <v>1768990</v>
      </c>
      <c r="E45" s="49">
        <v>5</v>
      </c>
      <c r="F45" s="49">
        <v>67</v>
      </c>
      <c r="G45" s="76"/>
      <c r="H45" s="76"/>
      <c r="I45" s="76"/>
      <c r="J45" s="76"/>
      <c r="K45" s="76"/>
      <c r="L45" s="76"/>
      <c r="M45" s="76"/>
      <c r="N45" s="76"/>
      <c r="O45" s="77"/>
    </row>
    <row r="46" spans="1:15">
      <c r="A46" s="49" t="s">
        <v>46</v>
      </c>
      <c r="B46" s="49" t="s">
        <v>47</v>
      </c>
      <c r="C46" s="49" t="s">
        <v>2186</v>
      </c>
      <c r="D46" s="49">
        <v>1247750</v>
      </c>
      <c r="E46" s="49">
        <v>7</v>
      </c>
      <c r="F46" s="49">
        <v>82</v>
      </c>
      <c r="G46" s="76"/>
      <c r="H46" s="76"/>
      <c r="I46" s="76"/>
      <c r="J46" s="76"/>
      <c r="K46" s="76"/>
      <c r="L46" s="76"/>
      <c r="M46" s="76"/>
      <c r="N46" s="76"/>
      <c r="O46" s="77"/>
    </row>
    <row r="47" spans="1:15">
      <c r="A47" s="49" t="s">
        <v>46</v>
      </c>
      <c r="B47" s="49" t="s">
        <v>47</v>
      </c>
      <c r="C47" s="49" t="s">
        <v>2185</v>
      </c>
      <c r="D47" s="49">
        <v>428505</v>
      </c>
      <c r="E47" s="49">
        <v>4</v>
      </c>
      <c r="F47" s="49">
        <v>65</v>
      </c>
      <c r="G47" s="76"/>
      <c r="H47" s="76"/>
      <c r="I47" s="76"/>
      <c r="J47" s="76"/>
      <c r="K47" s="76"/>
      <c r="L47" s="76"/>
      <c r="M47" s="76"/>
      <c r="N47" s="76"/>
      <c r="O47" s="77"/>
    </row>
    <row r="48" spans="1:15">
      <c r="A48" s="49" t="s">
        <v>46</v>
      </c>
      <c r="B48" s="49" t="s">
        <v>47</v>
      </c>
      <c r="C48" s="49" t="s">
        <v>2184</v>
      </c>
      <c r="D48" s="49">
        <v>2027169</v>
      </c>
      <c r="E48" s="49">
        <v>7</v>
      </c>
      <c r="F48" s="49">
        <v>101</v>
      </c>
      <c r="G48" s="76"/>
      <c r="H48" s="76"/>
      <c r="I48" s="76"/>
      <c r="J48" s="76"/>
      <c r="K48" s="76"/>
      <c r="L48" s="76"/>
      <c r="M48" s="76"/>
      <c r="N48" s="76"/>
      <c r="O48" s="77"/>
    </row>
    <row r="49" spans="1:15">
      <c r="A49" s="49" t="s">
        <v>46</v>
      </c>
      <c r="B49" s="49" t="s">
        <v>47</v>
      </c>
      <c r="C49" s="49" t="s">
        <v>2183</v>
      </c>
      <c r="D49" s="49">
        <v>6160</v>
      </c>
      <c r="E49" s="49">
        <v>1</v>
      </c>
      <c r="F49" s="49">
        <v>11</v>
      </c>
      <c r="G49" s="76"/>
      <c r="H49" s="76"/>
      <c r="I49" s="76"/>
      <c r="J49" s="76"/>
      <c r="K49" s="76"/>
      <c r="L49" s="76"/>
      <c r="M49" s="76"/>
      <c r="N49" s="76"/>
      <c r="O49" s="77"/>
    </row>
    <row r="50" spans="1:15">
      <c r="A50" s="49" t="s">
        <v>46</v>
      </c>
      <c r="B50" s="49" t="s">
        <v>47</v>
      </c>
      <c r="C50" s="49" t="s">
        <v>2182</v>
      </c>
      <c r="D50" s="49">
        <v>272240</v>
      </c>
      <c r="E50" s="49">
        <v>4</v>
      </c>
      <c r="F50" s="49">
        <v>32</v>
      </c>
      <c r="G50" s="76"/>
      <c r="H50" s="76"/>
      <c r="I50" s="76"/>
      <c r="J50" s="76"/>
      <c r="K50" s="76"/>
      <c r="L50" s="76"/>
      <c r="M50" s="76"/>
      <c r="N50" s="76"/>
      <c r="O50" s="77"/>
    </row>
    <row r="51" spans="1:15">
      <c r="A51" s="49" t="s">
        <v>46</v>
      </c>
      <c r="B51" s="49" t="s">
        <v>47</v>
      </c>
      <c r="C51" s="49" t="s">
        <v>2181</v>
      </c>
      <c r="D51" s="49">
        <v>311900</v>
      </c>
      <c r="E51" s="49">
        <v>4</v>
      </c>
      <c r="F51" s="49">
        <v>26</v>
      </c>
      <c r="G51" s="76"/>
      <c r="H51" s="76"/>
      <c r="I51" s="76"/>
      <c r="J51" s="76"/>
      <c r="K51" s="76"/>
      <c r="L51" s="76"/>
      <c r="M51" s="76"/>
      <c r="N51" s="76"/>
      <c r="O51" s="77"/>
    </row>
    <row r="52" spans="1:15">
      <c r="A52" s="49" t="s">
        <v>46</v>
      </c>
      <c r="B52" s="49" t="s">
        <v>47</v>
      </c>
      <c r="C52" s="49" t="s">
        <v>2180</v>
      </c>
      <c r="D52" s="49">
        <v>539040</v>
      </c>
      <c r="E52" s="49">
        <v>5</v>
      </c>
      <c r="F52" s="49">
        <v>39</v>
      </c>
      <c r="G52" s="76"/>
      <c r="H52" s="76"/>
      <c r="I52" s="76"/>
      <c r="J52" s="76"/>
      <c r="K52" s="76"/>
      <c r="L52" s="76"/>
      <c r="M52" s="76"/>
      <c r="N52" s="76"/>
      <c r="O52" s="77"/>
    </row>
    <row r="53" spans="1:15">
      <c r="A53" s="49" t="s">
        <v>46</v>
      </c>
      <c r="B53" s="49" t="s">
        <v>47</v>
      </c>
      <c r="C53" s="49" t="s">
        <v>2179</v>
      </c>
      <c r="D53" s="49">
        <v>679250</v>
      </c>
      <c r="E53" s="49">
        <v>1</v>
      </c>
      <c r="F53" s="49">
        <v>13</v>
      </c>
      <c r="G53" s="76"/>
      <c r="H53" s="76"/>
      <c r="I53" s="76"/>
      <c r="J53" s="76"/>
      <c r="K53" s="76"/>
      <c r="L53" s="76"/>
      <c r="M53" s="76"/>
      <c r="N53" s="76"/>
      <c r="O53" s="77"/>
    </row>
    <row r="54" spans="1:15">
      <c r="A54" s="49" t="s">
        <v>46</v>
      </c>
      <c r="B54" s="49" t="s">
        <v>47</v>
      </c>
      <c r="C54" s="49" t="s">
        <v>2178</v>
      </c>
      <c r="D54" s="49">
        <v>44840</v>
      </c>
      <c r="E54" s="49">
        <v>2</v>
      </c>
      <c r="F54" s="49">
        <v>22</v>
      </c>
      <c r="G54" s="76"/>
      <c r="H54" s="76"/>
      <c r="I54" s="76"/>
      <c r="J54" s="76"/>
      <c r="K54" s="76"/>
      <c r="L54" s="76"/>
      <c r="M54" s="76"/>
      <c r="N54" s="76"/>
      <c r="O54" s="77"/>
    </row>
    <row r="55" spans="1:15">
      <c r="A55" s="49" t="s">
        <v>46</v>
      </c>
      <c r="B55" s="49" t="s">
        <v>47</v>
      </c>
      <c r="C55" s="49" t="s">
        <v>2177</v>
      </c>
      <c r="D55" s="49">
        <v>560020</v>
      </c>
      <c r="E55" s="49">
        <v>5</v>
      </c>
      <c r="F55" s="49">
        <v>39</v>
      </c>
      <c r="G55" s="76"/>
      <c r="H55" s="76"/>
      <c r="I55" s="76"/>
      <c r="J55" s="76"/>
      <c r="K55" s="76"/>
      <c r="L55" s="76"/>
      <c r="M55" s="76"/>
      <c r="N55" s="76"/>
      <c r="O55" s="77"/>
    </row>
    <row r="56" spans="1:15">
      <c r="A56" s="49" t="s">
        <v>46</v>
      </c>
      <c r="B56" s="49" t="s">
        <v>33</v>
      </c>
      <c r="C56" s="49" t="s">
        <v>2188</v>
      </c>
      <c r="D56" s="49">
        <v>45900</v>
      </c>
      <c r="E56" s="49">
        <v>1</v>
      </c>
      <c r="F56" s="49">
        <v>6</v>
      </c>
      <c r="G56" s="76"/>
      <c r="H56" s="76"/>
      <c r="I56" s="76"/>
      <c r="J56" s="76"/>
      <c r="K56" s="76"/>
      <c r="L56" s="76"/>
      <c r="M56" s="76"/>
      <c r="N56" s="76"/>
      <c r="O56" s="77"/>
    </row>
    <row r="57" spans="1:15">
      <c r="A57" s="49" t="s">
        <v>46</v>
      </c>
      <c r="B57" s="49" t="s">
        <v>33</v>
      </c>
      <c r="C57" s="49" t="s">
        <v>2187</v>
      </c>
      <c r="D57" s="49">
        <v>153065</v>
      </c>
      <c r="E57" s="49">
        <v>6</v>
      </c>
      <c r="F57" s="49">
        <v>57</v>
      </c>
      <c r="G57" s="76"/>
      <c r="H57" s="76"/>
      <c r="I57" s="76"/>
      <c r="J57" s="76"/>
      <c r="K57" s="76"/>
      <c r="L57" s="76"/>
      <c r="M57" s="76"/>
      <c r="N57" s="76"/>
      <c r="O57" s="77"/>
    </row>
    <row r="58" spans="1:15">
      <c r="A58" s="49" t="s">
        <v>46</v>
      </c>
      <c r="B58" s="49" t="s">
        <v>33</v>
      </c>
      <c r="C58" s="49" t="s">
        <v>2186</v>
      </c>
      <c r="D58" s="49">
        <v>160200</v>
      </c>
      <c r="E58" s="49">
        <v>4</v>
      </c>
      <c r="F58" s="49">
        <v>56</v>
      </c>
      <c r="G58" s="76"/>
      <c r="H58" s="76"/>
      <c r="I58" s="76"/>
      <c r="J58" s="76"/>
      <c r="K58" s="76"/>
      <c r="L58" s="76"/>
      <c r="M58" s="76"/>
      <c r="N58" s="76"/>
      <c r="O58" s="77"/>
    </row>
    <row r="59" spans="1:15">
      <c r="A59" s="49" t="s">
        <v>46</v>
      </c>
      <c r="B59" s="49" t="s">
        <v>33</v>
      </c>
      <c r="C59" s="49" t="s">
        <v>2185</v>
      </c>
      <c r="D59" s="49">
        <v>215135</v>
      </c>
      <c r="E59" s="49">
        <v>3</v>
      </c>
      <c r="F59" s="49">
        <v>40</v>
      </c>
      <c r="G59" s="76"/>
      <c r="H59" s="76"/>
      <c r="I59" s="76"/>
      <c r="J59" s="76"/>
      <c r="K59" s="76"/>
      <c r="L59" s="76"/>
      <c r="M59" s="76"/>
      <c r="N59" s="76"/>
      <c r="O59" s="77"/>
    </row>
    <row r="60" spans="1:15">
      <c r="A60" s="49" t="s">
        <v>46</v>
      </c>
      <c r="B60" s="49" t="s">
        <v>33</v>
      </c>
      <c r="C60" s="49" t="s">
        <v>2184</v>
      </c>
      <c r="D60" s="49">
        <v>137780</v>
      </c>
      <c r="E60" s="49">
        <v>4</v>
      </c>
      <c r="F60" s="49">
        <v>46</v>
      </c>
      <c r="G60" s="76"/>
      <c r="H60" s="76"/>
      <c r="I60" s="76"/>
      <c r="J60" s="76"/>
      <c r="K60" s="76"/>
      <c r="L60" s="76"/>
      <c r="M60" s="76"/>
      <c r="N60" s="76"/>
      <c r="O60" s="77"/>
    </row>
    <row r="61" spans="1:15">
      <c r="A61" s="49" t="s">
        <v>46</v>
      </c>
      <c r="B61" s="49" t="s">
        <v>33</v>
      </c>
      <c r="C61" s="49" t="s">
        <v>2183</v>
      </c>
      <c r="D61" s="49">
        <v>52220</v>
      </c>
      <c r="E61" s="49">
        <v>3</v>
      </c>
      <c r="F61" s="49">
        <v>19</v>
      </c>
      <c r="G61" s="76"/>
      <c r="H61" s="76"/>
      <c r="I61" s="76"/>
      <c r="J61" s="76"/>
      <c r="K61" s="76"/>
      <c r="L61" s="76"/>
      <c r="M61" s="76"/>
      <c r="N61" s="76"/>
      <c r="O61" s="77"/>
    </row>
    <row r="62" spans="1:15">
      <c r="A62" s="49" t="s">
        <v>46</v>
      </c>
      <c r="B62" s="49" t="s">
        <v>33</v>
      </c>
      <c r="C62" s="49" t="s">
        <v>2182</v>
      </c>
      <c r="D62" s="49">
        <v>25200</v>
      </c>
      <c r="E62" s="49">
        <v>1</v>
      </c>
      <c r="F62" s="49">
        <v>9</v>
      </c>
      <c r="G62" s="76"/>
      <c r="H62" s="76"/>
      <c r="I62" s="76"/>
      <c r="J62" s="76"/>
      <c r="K62" s="76"/>
      <c r="L62" s="76"/>
      <c r="M62" s="76"/>
      <c r="N62" s="76"/>
      <c r="O62" s="77"/>
    </row>
    <row r="63" spans="1:15">
      <c r="A63" s="49" t="s">
        <v>46</v>
      </c>
      <c r="B63" s="49" t="s">
        <v>33</v>
      </c>
      <c r="C63" s="49" t="s">
        <v>2181</v>
      </c>
      <c r="D63" s="49">
        <v>47250</v>
      </c>
      <c r="E63" s="49">
        <v>1</v>
      </c>
      <c r="F63" s="49">
        <v>15</v>
      </c>
      <c r="G63" s="76"/>
      <c r="H63" s="76"/>
      <c r="I63" s="76"/>
      <c r="J63" s="76"/>
      <c r="K63" s="76"/>
      <c r="L63" s="76"/>
      <c r="M63" s="76"/>
      <c r="N63" s="76"/>
      <c r="O63" s="77"/>
    </row>
    <row r="64" spans="1:15">
      <c r="A64" s="49" t="s">
        <v>46</v>
      </c>
      <c r="B64" s="49" t="s">
        <v>33</v>
      </c>
      <c r="C64" s="49" t="s">
        <v>2180</v>
      </c>
      <c r="D64" s="49">
        <v>70840</v>
      </c>
      <c r="E64" s="49">
        <v>2</v>
      </c>
      <c r="F64" s="49">
        <v>15</v>
      </c>
      <c r="G64" s="76"/>
      <c r="H64" s="76"/>
      <c r="I64" s="76"/>
      <c r="J64" s="76"/>
      <c r="K64" s="76"/>
      <c r="L64" s="76"/>
      <c r="M64" s="76"/>
      <c r="N64" s="76"/>
      <c r="O64" s="77"/>
    </row>
    <row r="65" spans="1:15">
      <c r="A65" s="49" t="s">
        <v>46</v>
      </c>
      <c r="B65" s="49" t="s">
        <v>33</v>
      </c>
      <c r="C65" s="49" t="s">
        <v>2179</v>
      </c>
      <c r="D65" s="49">
        <v>77200</v>
      </c>
      <c r="E65" s="49">
        <v>2</v>
      </c>
      <c r="F65" s="49">
        <v>28</v>
      </c>
      <c r="G65" s="76"/>
      <c r="H65" s="76"/>
      <c r="I65" s="76"/>
      <c r="J65" s="76"/>
      <c r="K65" s="76"/>
      <c r="L65" s="76"/>
      <c r="M65" s="76"/>
      <c r="N65" s="76"/>
      <c r="O65" s="77"/>
    </row>
    <row r="66" spans="1:15">
      <c r="A66" s="49" t="s">
        <v>46</v>
      </c>
      <c r="B66" s="49" t="s">
        <v>33</v>
      </c>
      <c r="C66" s="49" t="s">
        <v>2178</v>
      </c>
      <c r="D66" s="49">
        <v>111390</v>
      </c>
      <c r="E66" s="49">
        <v>2</v>
      </c>
      <c r="F66" s="49">
        <v>24</v>
      </c>
      <c r="G66" s="76"/>
      <c r="H66" s="76"/>
      <c r="I66" s="76"/>
      <c r="J66" s="76"/>
      <c r="K66" s="76"/>
      <c r="L66" s="76"/>
      <c r="M66" s="76"/>
      <c r="N66" s="76"/>
      <c r="O66" s="77"/>
    </row>
    <row r="67" spans="1:15">
      <c r="A67" s="49" t="s">
        <v>46</v>
      </c>
      <c r="B67" s="49" t="s">
        <v>33</v>
      </c>
      <c r="C67" s="49" t="s">
        <v>2177</v>
      </c>
      <c r="D67" s="49">
        <v>164740</v>
      </c>
      <c r="E67" s="49">
        <v>4</v>
      </c>
      <c r="F67" s="49">
        <v>30</v>
      </c>
      <c r="G67" s="76"/>
      <c r="H67" s="76"/>
      <c r="I67" s="76"/>
      <c r="J67" s="76"/>
      <c r="K67" s="76"/>
      <c r="L67" s="76"/>
      <c r="M67" s="76"/>
      <c r="N67" s="76"/>
      <c r="O67" s="77"/>
    </row>
    <row r="68" spans="1:15">
      <c r="A68" s="49" t="s">
        <v>46</v>
      </c>
      <c r="B68" s="49" t="s">
        <v>123</v>
      </c>
      <c r="C68" s="49" t="s">
        <v>2188</v>
      </c>
      <c r="D68" s="49">
        <v>1115</v>
      </c>
      <c r="E68" s="49">
        <v>2</v>
      </c>
      <c r="F68" s="49">
        <v>25</v>
      </c>
      <c r="G68" s="76"/>
      <c r="H68" s="76"/>
      <c r="I68" s="76"/>
      <c r="J68" s="76"/>
      <c r="K68" s="76"/>
      <c r="L68" s="76"/>
      <c r="M68" s="76"/>
      <c r="N68" s="76"/>
      <c r="O68" s="77"/>
    </row>
    <row r="69" spans="1:15">
      <c r="A69" s="49" t="s">
        <v>46</v>
      </c>
      <c r="B69" s="49" t="s">
        <v>123</v>
      </c>
      <c r="C69" s="49" t="s">
        <v>2187</v>
      </c>
      <c r="D69" s="49">
        <v>1774.25</v>
      </c>
      <c r="E69" s="49">
        <v>4</v>
      </c>
      <c r="F69" s="49">
        <v>42</v>
      </c>
      <c r="G69" s="76"/>
      <c r="H69" s="76"/>
      <c r="I69" s="76"/>
      <c r="J69" s="76"/>
      <c r="K69" s="76"/>
      <c r="L69" s="76"/>
      <c r="M69" s="76"/>
      <c r="N69" s="76"/>
      <c r="O69" s="77"/>
    </row>
    <row r="70" spans="1:15">
      <c r="A70" s="49" t="s">
        <v>46</v>
      </c>
      <c r="B70" s="49" t="s">
        <v>123</v>
      </c>
      <c r="C70" s="49" t="s">
        <v>2186</v>
      </c>
      <c r="D70" s="49">
        <v>3759.75</v>
      </c>
      <c r="E70" s="49">
        <v>5</v>
      </c>
      <c r="F70" s="49">
        <v>82</v>
      </c>
      <c r="G70" s="76"/>
      <c r="H70" s="76"/>
      <c r="I70" s="76"/>
      <c r="J70" s="76"/>
      <c r="K70" s="76"/>
      <c r="L70" s="76"/>
      <c r="M70" s="76"/>
      <c r="N70" s="76"/>
      <c r="O70" s="77"/>
    </row>
    <row r="71" spans="1:15">
      <c r="A71" s="49" t="s">
        <v>46</v>
      </c>
      <c r="B71" s="49" t="s">
        <v>123</v>
      </c>
      <c r="C71" s="49" t="s">
        <v>2185</v>
      </c>
      <c r="D71" s="49">
        <v>902</v>
      </c>
      <c r="E71" s="49">
        <v>6</v>
      </c>
      <c r="F71" s="49">
        <v>43</v>
      </c>
      <c r="G71" s="76"/>
      <c r="H71" s="76"/>
      <c r="I71" s="76"/>
      <c r="J71" s="76"/>
      <c r="K71" s="76"/>
      <c r="L71" s="76"/>
      <c r="M71" s="76"/>
      <c r="N71" s="76"/>
      <c r="O71" s="77"/>
    </row>
    <row r="72" spans="1:15">
      <c r="A72" s="49" t="s">
        <v>46</v>
      </c>
      <c r="B72" s="49" t="s">
        <v>123</v>
      </c>
      <c r="C72" s="49" t="s">
        <v>2184</v>
      </c>
      <c r="D72" s="49">
        <v>85.5</v>
      </c>
      <c r="E72" s="49">
        <v>1</v>
      </c>
      <c r="F72" s="49">
        <v>2</v>
      </c>
      <c r="G72" s="76"/>
      <c r="H72" s="76"/>
      <c r="I72" s="76"/>
      <c r="J72" s="76"/>
      <c r="K72" s="76"/>
      <c r="L72" s="76"/>
      <c r="M72" s="76"/>
      <c r="N72" s="76"/>
      <c r="O72" s="77"/>
    </row>
    <row r="73" spans="1:15">
      <c r="A73" s="49" t="s">
        <v>46</v>
      </c>
      <c r="B73" s="49" t="s">
        <v>123</v>
      </c>
      <c r="C73" s="49" t="s">
        <v>2183</v>
      </c>
      <c r="D73" s="49">
        <v>314</v>
      </c>
      <c r="E73" s="49">
        <v>2</v>
      </c>
      <c r="F73" s="49">
        <v>17</v>
      </c>
      <c r="G73" s="76"/>
      <c r="H73" s="76"/>
      <c r="I73" s="76"/>
      <c r="J73" s="76"/>
      <c r="K73" s="76"/>
      <c r="L73" s="76"/>
      <c r="M73" s="76"/>
      <c r="N73" s="76"/>
      <c r="O73" s="77"/>
    </row>
    <row r="74" spans="1:15">
      <c r="A74" s="49" t="s">
        <v>46</v>
      </c>
      <c r="B74" s="49" t="s">
        <v>123</v>
      </c>
      <c r="C74" s="49" t="s">
        <v>2182</v>
      </c>
      <c r="D74" s="49">
        <v>746</v>
      </c>
      <c r="E74" s="49">
        <v>2</v>
      </c>
      <c r="F74" s="49">
        <v>16</v>
      </c>
      <c r="G74" s="76"/>
      <c r="H74" s="76"/>
      <c r="I74" s="76"/>
      <c r="J74" s="76"/>
      <c r="K74" s="76"/>
      <c r="L74" s="76"/>
      <c r="M74" s="76"/>
      <c r="N74" s="76"/>
      <c r="O74" s="77"/>
    </row>
    <row r="75" spans="1:15">
      <c r="A75" s="49" t="s">
        <v>46</v>
      </c>
      <c r="B75" s="49" t="s">
        <v>123</v>
      </c>
      <c r="C75" s="49" t="s">
        <v>2181</v>
      </c>
      <c r="D75" s="49">
        <v>1878</v>
      </c>
      <c r="E75" s="49">
        <v>4</v>
      </c>
      <c r="F75" s="49">
        <v>42</v>
      </c>
      <c r="G75" s="76"/>
      <c r="H75" s="76"/>
      <c r="I75" s="76"/>
      <c r="J75" s="76"/>
      <c r="K75" s="76"/>
      <c r="L75" s="76"/>
      <c r="M75" s="76"/>
      <c r="N75" s="76"/>
      <c r="O75" s="77"/>
    </row>
    <row r="76" spans="1:15">
      <c r="A76" s="49" t="s">
        <v>46</v>
      </c>
      <c r="B76" s="49" t="s">
        <v>123</v>
      </c>
      <c r="C76" s="49" t="s">
        <v>2180</v>
      </c>
      <c r="D76" s="49">
        <v>1639.5</v>
      </c>
      <c r="E76" s="49">
        <v>3</v>
      </c>
      <c r="F76" s="49">
        <v>37</v>
      </c>
      <c r="G76" s="76"/>
      <c r="H76" s="76"/>
      <c r="I76" s="76"/>
      <c r="J76" s="76"/>
      <c r="K76" s="76"/>
      <c r="L76" s="76"/>
      <c r="M76" s="76"/>
      <c r="N76" s="76"/>
      <c r="O76" s="77"/>
    </row>
    <row r="77" spans="1:15">
      <c r="A77" s="49" t="s">
        <v>46</v>
      </c>
      <c r="B77" s="49" t="s">
        <v>123</v>
      </c>
      <c r="C77" s="49" t="s">
        <v>2179</v>
      </c>
      <c r="D77" s="49">
        <v>1942.5</v>
      </c>
      <c r="E77" s="49">
        <v>6</v>
      </c>
      <c r="F77" s="49">
        <v>54</v>
      </c>
      <c r="G77" s="76"/>
      <c r="H77" s="76"/>
      <c r="I77" s="76"/>
      <c r="J77" s="76"/>
      <c r="K77" s="76"/>
      <c r="L77" s="76"/>
      <c r="M77" s="76"/>
      <c r="N77" s="76"/>
      <c r="O77" s="77"/>
    </row>
    <row r="78" spans="1:15">
      <c r="A78" s="49" t="s">
        <v>46</v>
      </c>
      <c r="B78" s="49" t="s">
        <v>123</v>
      </c>
      <c r="C78" s="49" t="s">
        <v>2178</v>
      </c>
      <c r="D78" s="49">
        <v>420</v>
      </c>
      <c r="E78" s="49">
        <v>1</v>
      </c>
      <c r="F78" s="49">
        <v>7</v>
      </c>
      <c r="G78" s="76"/>
      <c r="H78" s="76"/>
      <c r="I78" s="76"/>
      <c r="J78" s="76"/>
      <c r="K78" s="76"/>
      <c r="L78" s="76"/>
      <c r="M78" s="76"/>
      <c r="N78" s="76"/>
      <c r="O78" s="77"/>
    </row>
    <row r="79" spans="1:15">
      <c r="A79" s="49" t="s">
        <v>46</v>
      </c>
      <c r="B79" s="49" t="s">
        <v>123</v>
      </c>
      <c r="C79" s="49" t="s">
        <v>2177</v>
      </c>
      <c r="D79" s="49">
        <v>887</v>
      </c>
      <c r="E79" s="49">
        <v>2</v>
      </c>
      <c r="F79" s="49">
        <v>27</v>
      </c>
      <c r="G79" s="76"/>
      <c r="H79" s="76"/>
      <c r="I79" s="76"/>
      <c r="J79" s="76"/>
      <c r="K79" s="76"/>
      <c r="L79" s="76"/>
      <c r="M79" s="76"/>
      <c r="N79" s="76"/>
      <c r="O79" s="77"/>
    </row>
    <row r="80" spans="1:15">
      <c r="A80" s="49" t="s">
        <v>32</v>
      </c>
      <c r="B80" s="49" t="s">
        <v>47</v>
      </c>
      <c r="C80" s="49" t="s">
        <v>2188</v>
      </c>
      <c r="D80" s="49">
        <v>1052190</v>
      </c>
      <c r="E80" s="49">
        <v>5</v>
      </c>
      <c r="F80" s="49">
        <v>31</v>
      </c>
      <c r="G80" s="76"/>
      <c r="H80" s="76"/>
      <c r="I80" s="76"/>
      <c r="J80" s="76"/>
      <c r="K80" s="76"/>
      <c r="L80" s="76"/>
      <c r="M80" s="76"/>
      <c r="N80" s="76"/>
      <c r="O80" s="77"/>
    </row>
    <row r="81" spans="1:15">
      <c r="A81" s="49" t="s">
        <v>32</v>
      </c>
      <c r="B81" s="49" t="s">
        <v>47</v>
      </c>
      <c r="C81" s="49" t="s">
        <v>2187</v>
      </c>
      <c r="D81" s="49">
        <v>536710</v>
      </c>
      <c r="E81" s="49">
        <v>3</v>
      </c>
      <c r="F81" s="49">
        <v>33</v>
      </c>
      <c r="G81" s="76"/>
      <c r="H81" s="76"/>
      <c r="I81" s="76"/>
      <c r="J81" s="76"/>
      <c r="K81" s="76"/>
      <c r="L81" s="76"/>
      <c r="M81" s="76"/>
      <c r="N81" s="76"/>
      <c r="O81" s="77"/>
    </row>
    <row r="82" spans="1:15">
      <c r="A82" s="49" t="s">
        <v>32</v>
      </c>
      <c r="B82" s="49" t="s">
        <v>47</v>
      </c>
      <c r="C82" s="49" t="s">
        <v>2186</v>
      </c>
      <c r="D82" s="49">
        <v>143700</v>
      </c>
      <c r="E82" s="49">
        <v>4</v>
      </c>
      <c r="F82" s="49">
        <v>41</v>
      </c>
      <c r="G82" s="76"/>
      <c r="H82" s="76"/>
      <c r="I82" s="76"/>
      <c r="J82" s="76"/>
      <c r="K82" s="76"/>
      <c r="L82" s="76"/>
      <c r="M82" s="76"/>
      <c r="N82" s="76"/>
      <c r="O82" s="77"/>
    </row>
    <row r="83" spans="1:15">
      <c r="A83" s="49" t="s">
        <v>32</v>
      </c>
      <c r="B83" s="49" t="s">
        <v>47</v>
      </c>
      <c r="C83" s="49" t="s">
        <v>2185</v>
      </c>
      <c r="D83" s="49">
        <v>1585850</v>
      </c>
      <c r="E83" s="49">
        <v>9</v>
      </c>
      <c r="F83" s="49">
        <v>102</v>
      </c>
      <c r="G83" s="76"/>
      <c r="H83" s="76"/>
      <c r="I83" s="76"/>
      <c r="J83" s="76"/>
      <c r="K83" s="76"/>
      <c r="L83" s="76"/>
      <c r="M83" s="76"/>
      <c r="N83" s="76"/>
      <c r="O83" s="77"/>
    </row>
    <row r="84" spans="1:15">
      <c r="A84" s="49" t="s">
        <v>32</v>
      </c>
      <c r="B84" s="49" t="s">
        <v>47</v>
      </c>
      <c r="C84" s="49" t="s">
        <v>2184</v>
      </c>
      <c r="D84" s="49">
        <v>31045</v>
      </c>
      <c r="E84" s="49">
        <v>3</v>
      </c>
      <c r="F84" s="49">
        <v>51</v>
      </c>
      <c r="G84" s="76"/>
      <c r="H84" s="76"/>
      <c r="I84" s="76"/>
      <c r="J84" s="76"/>
      <c r="K84" s="76"/>
      <c r="L84" s="76"/>
      <c r="M84" s="76"/>
      <c r="N84" s="76"/>
      <c r="O84" s="77"/>
    </row>
    <row r="85" spans="1:15">
      <c r="A85" s="49" t="s">
        <v>32</v>
      </c>
      <c r="B85" s="49" t="s">
        <v>47</v>
      </c>
      <c r="C85" s="49" t="s">
        <v>2183</v>
      </c>
      <c r="D85" s="49">
        <v>147540</v>
      </c>
      <c r="E85" s="49">
        <v>2</v>
      </c>
      <c r="F85" s="49">
        <v>25</v>
      </c>
      <c r="G85" s="76"/>
      <c r="H85" s="76"/>
      <c r="I85" s="76"/>
      <c r="J85" s="76"/>
      <c r="K85" s="76"/>
      <c r="L85" s="76"/>
      <c r="M85" s="76"/>
      <c r="N85" s="76"/>
      <c r="O85" s="77"/>
    </row>
    <row r="86" spans="1:15">
      <c r="A86" s="49" t="s">
        <v>32</v>
      </c>
      <c r="B86" s="49" t="s">
        <v>47</v>
      </c>
      <c r="C86" s="49" t="s">
        <v>2182</v>
      </c>
      <c r="D86" s="49">
        <v>663100</v>
      </c>
      <c r="E86" s="49">
        <v>4</v>
      </c>
      <c r="F86" s="49">
        <v>52</v>
      </c>
      <c r="G86" s="76"/>
      <c r="H86" s="76"/>
      <c r="I86" s="76"/>
      <c r="J86" s="76"/>
      <c r="K86" s="76"/>
      <c r="L86" s="76"/>
      <c r="M86" s="76"/>
      <c r="N86" s="76"/>
      <c r="O86" s="77"/>
    </row>
    <row r="87" spans="1:15">
      <c r="A87" s="49" t="s">
        <v>32</v>
      </c>
      <c r="B87" s="49" t="s">
        <v>47</v>
      </c>
      <c r="C87" s="49" t="s">
        <v>2181</v>
      </c>
      <c r="D87" s="49">
        <v>183590</v>
      </c>
      <c r="E87" s="49">
        <v>2</v>
      </c>
      <c r="F87" s="49">
        <v>21</v>
      </c>
      <c r="G87" s="76"/>
      <c r="H87" s="76"/>
      <c r="I87" s="76"/>
      <c r="J87" s="76"/>
      <c r="K87" s="76"/>
      <c r="L87" s="76"/>
      <c r="M87" s="76"/>
      <c r="N87" s="76"/>
      <c r="O87" s="77"/>
    </row>
    <row r="88" spans="1:15">
      <c r="A88" s="49" t="s">
        <v>32</v>
      </c>
      <c r="B88" s="49" t="s">
        <v>47</v>
      </c>
      <c r="C88" s="49" t="s">
        <v>2180</v>
      </c>
      <c r="D88" s="49">
        <v>269050</v>
      </c>
      <c r="E88" s="49">
        <v>3</v>
      </c>
      <c r="F88" s="49">
        <v>12</v>
      </c>
      <c r="G88" s="76"/>
      <c r="H88" s="76"/>
      <c r="I88" s="76"/>
      <c r="J88" s="76"/>
      <c r="K88" s="76"/>
      <c r="L88" s="76"/>
      <c r="M88" s="76"/>
      <c r="N88" s="76"/>
      <c r="O88" s="77"/>
    </row>
    <row r="89" spans="1:15">
      <c r="A89" s="49" t="s">
        <v>32</v>
      </c>
      <c r="B89" s="49" t="s">
        <v>47</v>
      </c>
      <c r="C89" s="49" t="s">
        <v>2179</v>
      </c>
      <c r="D89" s="49">
        <v>342855</v>
      </c>
      <c r="E89" s="49">
        <v>3</v>
      </c>
      <c r="F89" s="49">
        <v>38</v>
      </c>
      <c r="G89" s="76"/>
      <c r="H89" s="76"/>
      <c r="I89" s="76"/>
      <c r="J89" s="76"/>
      <c r="K89" s="76"/>
      <c r="L89" s="76"/>
      <c r="M89" s="76"/>
      <c r="N89" s="76"/>
      <c r="O89" s="77"/>
    </row>
    <row r="90" spans="1:15">
      <c r="A90" s="49" t="s">
        <v>32</v>
      </c>
      <c r="B90" s="49" t="s">
        <v>47</v>
      </c>
      <c r="C90" s="49" t="s">
        <v>2178</v>
      </c>
      <c r="D90" s="49">
        <v>59620</v>
      </c>
      <c r="E90" s="49">
        <v>5</v>
      </c>
      <c r="F90" s="49">
        <v>32</v>
      </c>
      <c r="G90" s="76"/>
      <c r="H90" s="76"/>
      <c r="I90" s="76"/>
      <c r="J90" s="76"/>
      <c r="K90" s="76"/>
      <c r="L90" s="76"/>
      <c r="M90" s="76"/>
      <c r="N90" s="76"/>
      <c r="O90" s="77"/>
    </row>
    <row r="91" spans="1:15">
      <c r="A91" s="49" t="s">
        <v>32</v>
      </c>
      <c r="B91" s="49" t="s">
        <v>47</v>
      </c>
      <c r="C91" s="49" t="s">
        <v>2177</v>
      </c>
      <c r="D91" s="49">
        <v>804000</v>
      </c>
      <c r="E91" s="49">
        <v>2</v>
      </c>
      <c r="F91" s="49">
        <v>24</v>
      </c>
      <c r="G91" s="76"/>
      <c r="H91" s="76"/>
      <c r="I91" s="76"/>
      <c r="J91" s="76"/>
      <c r="K91" s="76"/>
      <c r="L91" s="76"/>
      <c r="M91" s="76"/>
      <c r="N91" s="76"/>
      <c r="O91" s="77"/>
    </row>
    <row r="92" spans="1:15">
      <c r="A92" s="49" t="s">
        <v>32</v>
      </c>
      <c r="B92" s="49" t="s">
        <v>33</v>
      </c>
      <c r="C92" s="49" t="s">
        <v>2188</v>
      </c>
      <c r="D92" s="49">
        <v>509875</v>
      </c>
      <c r="E92" s="49">
        <v>7</v>
      </c>
      <c r="F92" s="49">
        <v>75</v>
      </c>
      <c r="G92" s="76"/>
      <c r="H92" s="76"/>
      <c r="I92" s="76"/>
      <c r="J92" s="76"/>
      <c r="K92" s="76"/>
      <c r="L92" s="76"/>
      <c r="M92" s="76"/>
      <c r="N92" s="76"/>
      <c r="O92" s="77"/>
    </row>
    <row r="93" spans="1:15">
      <c r="A93" s="49" t="s">
        <v>32</v>
      </c>
      <c r="B93" s="49" t="s">
        <v>33</v>
      </c>
      <c r="C93" s="49" t="s">
        <v>2187</v>
      </c>
      <c r="D93" s="49">
        <v>167315</v>
      </c>
      <c r="E93" s="49">
        <v>7</v>
      </c>
      <c r="F93" s="49">
        <v>64</v>
      </c>
      <c r="G93" s="76"/>
      <c r="H93" s="76"/>
      <c r="I93" s="76"/>
      <c r="J93" s="76"/>
      <c r="K93" s="76"/>
      <c r="L93" s="76"/>
      <c r="M93" s="76"/>
      <c r="N93" s="76"/>
      <c r="O93" s="77"/>
    </row>
    <row r="94" spans="1:15">
      <c r="A94" s="49" t="s">
        <v>32</v>
      </c>
      <c r="B94" s="49" t="s">
        <v>33</v>
      </c>
      <c r="C94" s="49" t="s">
        <v>2186</v>
      </c>
      <c r="D94" s="49">
        <v>121340</v>
      </c>
      <c r="E94" s="49">
        <v>4</v>
      </c>
      <c r="F94" s="49">
        <v>48</v>
      </c>
      <c r="G94" s="76"/>
      <c r="H94" s="76"/>
      <c r="I94" s="76"/>
      <c r="J94" s="76"/>
      <c r="K94" s="76"/>
      <c r="L94" s="76"/>
      <c r="M94" s="76"/>
      <c r="N94" s="76"/>
      <c r="O94" s="77"/>
    </row>
    <row r="95" spans="1:15">
      <c r="A95" s="49" t="s">
        <v>32</v>
      </c>
      <c r="B95" s="49" t="s">
        <v>33</v>
      </c>
      <c r="C95" s="49" t="s">
        <v>2185</v>
      </c>
      <c r="D95" s="49">
        <v>52540</v>
      </c>
      <c r="E95" s="49">
        <v>3</v>
      </c>
      <c r="F95" s="49">
        <v>23</v>
      </c>
      <c r="G95" s="76"/>
      <c r="H95" s="76"/>
      <c r="I95" s="76"/>
      <c r="J95" s="76"/>
      <c r="K95" s="76"/>
      <c r="L95" s="76"/>
      <c r="M95" s="76"/>
      <c r="N95" s="76"/>
      <c r="O95" s="77"/>
    </row>
    <row r="96" spans="1:15">
      <c r="A96" s="49" t="s">
        <v>32</v>
      </c>
      <c r="B96" s="49" t="s">
        <v>33</v>
      </c>
      <c r="C96" s="49" t="s">
        <v>2184</v>
      </c>
      <c r="D96" s="49">
        <v>43350</v>
      </c>
      <c r="E96" s="49">
        <v>1</v>
      </c>
      <c r="F96" s="49">
        <v>6</v>
      </c>
      <c r="G96" s="76"/>
      <c r="H96" s="76"/>
      <c r="I96" s="76"/>
      <c r="J96" s="76"/>
      <c r="K96" s="76"/>
      <c r="L96" s="76"/>
      <c r="M96" s="76"/>
      <c r="N96" s="76"/>
      <c r="O96" s="77"/>
    </row>
    <row r="97" spans="1:15">
      <c r="A97" s="49" t="s">
        <v>32</v>
      </c>
      <c r="B97" s="49" t="s">
        <v>33</v>
      </c>
      <c r="C97" s="49" t="s">
        <v>2183</v>
      </c>
      <c r="D97" s="49">
        <v>175050</v>
      </c>
      <c r="E97" s="49">
        <v>4</v>
      </c>
      <c r="F97" s="49">
        <v>52</v>
      </c>
      <c r="G97" s="76"/>
      <c r="H97" s="76"/>
      <c r="I97" s="76"/>
      <c r="J97" s="76"/>
      <c r="K97" s="76"/>
      <c r="L97" s="76"/>
      <c r="M97" s="76"/>
      <c r="N97" s="76"/>
      <c r="O97" s="77"/>
    </row>
    <row r="98" spans="1:15">
      <c r="A98" s="49" t="s">
        <v>32</v>
      </c>
      <c r="B98" s="49" t="s">
        <v>33</v>
      </c>
      <c r="C98" s="49" t="s">
        <v>2182</v>
      </c>
      <c r="D98" s="49">
        <v>44100</v>
      </c>
      <c r="E98" s="49">
        <v>1</v>
      </c>
      <c r="F98" s="49">
        <v>14</v>
      </c>
      <c r="G98" s="76"/>
      <c r="H98" s="76"/>
      <c r="I98" s="76"/>
      <c r="J98" s="76"/>
      <c r="K98" s="76"/>
      <c r="L98" s="76"/>
      <c r="M98" s="76"/>
      <c r="N98" s="76"/>
      <c r="O98" s="77"/>
    </row>
    <row r="99" spans="1:15">
      <c r="A99" s="49" t="s">
        <v>32</v>
      </c>
      <c r="B99" s="49" t="s">
        <v>33</v>
      </c>
      <c r="C99" s="49" t="s">
        <v>2181</v>
      </c>
      <c r="D99" s="49">
        <v>74700</v>
      </c>
      <c r="E99" s="49">
        <v>2</v>
      </c>
      <c r="F99" s="49">
        <v>26</v>
      </c>
      <c r="G99" s="76"/>
      <c r="H99" s="76"/>
      <c r="I99" s="76"/>
      <c r="J99" s="76"/>
      <c r="K99" s="76"/>
      <c r="L99" s="76"/>
      <c r="M99" s="76"/>
      <c r="N99" s="76"/>
      <c r="O99" s="77"/>
    </row>
    <row r="100" spans="1:15">
      <c r="A100" s="49" t="s">
        <v>32</v>
      </c>
      <c r="B100" s="49" t="s">
        <v>33</v>
      </c>
      <c r="C100" s="49" t="s">
        <v>2180</v>
      </c>
      <c r="D100" s="49">
        <v>86420</v>
      </c>
      <c r="E100" s="49">
        <v>3</v>
      </c>
      <c r="F100" s="49">
        <v>25</v>
      </c>
      <c r="G100" s="76"/>
      <c r="H100" s="76"/>
      <c r="I100" s="76"/>
      <c r="J100" s="76"/>
      <c r="K100" s="76"/>
      <c r="L100" s="76"/>
      <c r="M100" s="76"/>
      <c r="N100" s="76"/>
      <c r="O100" s="77"/>
    </row>
    <row r="101" spans="1:15">
      <c r="A101" s="49" t="s">
        <v>32</v>
      </c>
      <c r="B101" s="49" t="s">
        <v>33</v>
      </c>
      <c r="C101" s="49" t="s">
        <v>2179</v>
      </c>
      <c r="D101" s="49">
        <v>76250</v>
      </c>
      <c r="E101" s="49">
        <v>3</v>
      </c>
      <c r="F101" s="49">
        <v>24</v>
      </c>
      <c r="G101" s="76"/>
      <c r="H101" s="76"/>
      <c r="I101" s="76"/>
      <c r="J101" s="76"/>
      <c r="K101" s="76"/>
      <c r="L101" s="76"/>
      <c r="M101" s="76"/>
      <c r="N101" s="76"/>
      <c r="O101" s="77"/>
    </row>
    <row r="102" spans="1:15">
      <c r="A102" s="49" t="s">
        <v>32</v>
      </c>
      <c r="B102" s="49" t="s">
        <v>33</v>
      </c>
      <c r="C102" s="49" t="s">
        <v>2178</v>
      </c>
      <c r="D102" s="49">
        <v>127500</v>
      </c>
      <c r="E102" s="49">
        <v>1</v>
      </c>
      <c r="F102" s="49">
        <v>15</v>
      </c>
      <c r="G102" s="76"/>
      <c r="H102" s="76"/>
      <c r="I102" s="76"/>
      <c r="J102" s="76"/>
      <c r="K102" s="76"/>
      <c r="L102" s="76"/>
      <c r="M102" s="76"/>
      <c r="N102" s="76"/>
      <c r="O102" s="77"/>
    </row>
    <row r="103" spans="1:15">
      <c r="A103" s="49" t="s">
        <v>32</v>
      </c>
      <c r="B103" s="49" t="s">
        <v>33</v>
      </c>
      <c r="C103" s="49" t="s">
        <v>2177</v>
      </c>
      <c r="D103" s="49">
        <v>119140</v>
      </c>
      <c r="E103" s="49">
        <v>3</v>
      </c>
      <c r="F103" s="49">
        <v>30</v>
      </c>
      <c r="G103" s="76"/>
      <c r="H103" s="76"/>
      <c r="I103" s="76"/>
      <c r="J103" s="76"/>
      <c r="K103" s="76"/>
      <c r="L103" s="76"/>
      <c r="M103" s="76"/>
      <c r="N103" s="76"/>
      <c r="O103" s="77"/>
    </row>
    <row r="104" spans="1:15">
      <c r="A104" s="49" t="s">
        <v>32</v>
      </c>
      <c r="B104" s="49" t="s">
        <v>123</v>
      </c>
      <c r="C104" s="49" t="s">
        <v>2188</v>
      </c>
      <c r="D104" s="49">
        <v>2758</v>
      </c>
      <c r="E104" s="49">
        <v>6</v>
      </c>
      <c r="F104" s="49">
        <v>72</v>
      </c>
      <c r="G104" s="76"/>
      <c r="H104" s="76"/>
      <c r="I104" s="76"/>
      <c r="J104" s="76"/>
      <c r="K104" s="76"/>
      <c r="L104" s="76"/>
      <c r="M104" s="76"/>
      <c r="N104" s="76"/>
      <c r="O104" s="77"/>
    </row>
    <row r="105" spans="1:15">
      <c r="A105" s="49" t="s">
        <v>32</v>
      </c>
      <c r="B105" s="49" t="s">
        <v>123</v>
      </c>
      <c r="C105" s="49" t="s">
        <v>2187</v>
      </c>
      <c r="D105" s="49">
        <v>2703</v>
      </c>
      <c r="E105" s="49">
        <v>7</v>
      </c>
      <c r="F105" s="49">
        <v>94</v>
      </c>
      <c r="G105" s="76"/>
      <c r="H105" s="76"/>
      <c r="I105" s="76"/>
      <c r="J105" s="76"/>
      <c r="K105" s="76"/>
      <c r="L105" s="76"/>
      <c r="M105" s="76"/>
      <c r="N105" s="76"/>
      <c r="O105" s="77"/>
    </row>
    <row r="106" spans="1:15">
      <c r="A106" s="49" t="s">
        <v>32</v>
      </c>
      <c r="B106" s="49" t="s">
        <v>123</v>
      </c>
      <c r="C106" s="49" t="s">
        <v>2186</v>
      </c>
      <c r="D106" s="49">
        <v>540</v>
      </c>
      <c r="E106" s="49">
        <v>3</v>
      </c>
      <c r="F106" s="49">
        <v>31</v>
      </c>
      <c r="G106" s="76"/>
      <c r="H106" s="76"/>
      <c r="I106" s="76"/>
      <c r="J106" s="76"/>
      <c r="K106" s="76"/>
      <c r="L106" s="76"/>
      <c r="M106" s="76"/>
      <c r="N106" s="76"/>
      <c r="O106" s="77"/>
    </row>
    <row r="107" spans="1:15">
      <c r="A107" s="49" t="s">
        <v>32</v>
      </c>
      <c r="B107" s="49" t="s">
        <v>123</v>
      </c>
      <c r="C107" s="49" t="s">
        <v>2185</v>
      </c>
      <c r="D107" s="49">
        <v>62347</v>
      </c>
      <c r="E107" s="49">
        <v>7</v>
      </c>
      <c r="F107" s="49">
        <v>78</v>
      </c>
      <c r="G107" s="76"/>
      <c r="H107" s="76"/>
      <c r="I107" s="76"/>
      <c r="J107" s="76"/>
      <c r="K107" s="76"/>
      <c r="L107" s="76"/>
      <c r="M107" s="76"/>
      <c r="N107" s="76"/>
      <c r="O107" s="77"/>
    </row>
    <row r="108" spans="1:15">
      <c r="A108" s="49" t="s">
        <v>32</v>
      </c>
      <c r="B108" s="49" t="s">
        <v>123</v>
      </c>
      <c r="C108" s="49" t="s">
        <v>2184</v>
      </c>
      <c r="D108" s="49">
        <v>1986.75</v>
      </c>
      <c r="E108" s="49">
        <v>8</v>
      </c>
      <c r="F108" s="49">
        <v>66</v>
      </c>
      <c r="G108" s="76"/>
      <c r="H108" s="76"/>
      <c r="I108" s="76"/>
      <c r="J108" s="76"/>
      <c r="K108" s="76"/>
      <c r="L108" s="76"/>
      <c r="M108" s="76"/>
      <c r="N108" s="76"/>
      <c r="O108" s="77"/>
    </row>
    <row r="109" spans="1:15">
      <c r="A109" s="49" t="s">
        <v>32</v>
      </c>
      <c r="B109" s="49" t="s">
        <v>123</v>
      </c>
      <c r="C109" s="49" t="s">
        <v>2183</v>
      </c>
      <c r="D109" s="49">
        <v>1602</v>
      </c>
      <c r="E109" s="49">
        <v>3</v>
      </c>
      <c r="F109" s="49">
        <v>42</v>
      </c>
      <c r="G109" s="76"/>
      <c r="H109" s="76"/>
      <c r="I109" s="76"/>
      <c r="J109" s="76"/>
      <c r="K109" s="76"/>
      <c r="L109" s="76"/>
      <c r="M109" s="76"/>
      <c r="N109" s="76"/>
      <c r="O109" s="77"/>
    </row>
    <row r="110" spans="1:15">
      <c r="A110" s="49" t="s">
        <v>32</v>
      </c>
      <c r="B110" s="49" t="s">
        <v>123</v>
      </c>
      <c r="C110" s="49" t="s">
        <v>2181</v>
      </c>
      <c r="D110" s="49">
        <v>251</v>
      </c>
      <c r="E110" s="49">
        <v>2</v>
      </c>
      <c r="F110" s="49">
        <v>8</v>
      </c>
      <c r="G110" s="76"/>
      <c r="H110" s="76"/>
      <c r="I110" s="76"/>
      <c r="J110" s="76"/>
      <c r="K110" s="76"/>
      <c r="L110" s="76"/>
      <c r="M110" s="76"/>
      <c r="N110" s="76"/>
      <c r="O110" s="77"/>
    </row>
    <row r="111" spans="1:15">
      <c r="A111" s="49" t="s">
        <v>32</v>
      </c>
      <c r="B111" s="49" t="s">
        <v>123</v>
      </c>
      <c r="C111" s="49" t="s">
        <v>2179</v>
      </c>
      <c r="D111" s="49">
        <v>661.5</v>
      </c>
      <c r="E111" s="49">
        <v>2</v>
      </c>
      <c r="F111" s="49">
        <v>16</v>
      </c>
      <c r="G111" s="76"/>
      <c r="H111" s="76"/>
      <c r="I111" s="76"/>
      <c r="J111" s="76"/>
      <c r="K111" s="76"/>
      <c r="L111" s="76"/>
      <c r="M111" s="76"/>
      <c r="N111" s="76"/>
      <c r="O111" s="77"/>
    </row>
    <row r="112" spans="1:15">
      <c r="A112" s="49" t="s">
        <v>32</v>
      </c>
      <c r="B112" s="49" t="s">
        <v>123</v>
      </c>
      <c r="C112" s="49" t="s">
        <v>2178</v>
      </c>
      <c r="D112" s="49">
        <v>402.75</v>
      </c>
      <c r="E112" s="49">
        <v>3</v>
      </c>
      <c r="F112" s="49">
        <v>10</v>
      </c>
      <c r="G112" s="76"/>
      <c r="H112" s="76"/>
      <c r="I112" s="76"/>
      <c r="J112" s="76"/>
      <c r="K112" s="76"/>
      <c r="L112" s="76"/>
      <c r="M112" s="76"/>
      <c r="N112" s="76"/>
      <c r="O112" s="77"/>
    </row>
    <row r="113" spans="1:15">
      <c r="A113" s="49" t="s">
        <v>32</v>
      </c>
      <c r="B113" s="49" t="s">
        <v>123</v>
      </c>
      <c r="C113" s="49" t="s">
        <v>2177</v>
      </c>
      <c r="D113" s="49">
        <v>409.5</v>
      </c>
      <c r="E113" s="49">
        <v>2</v>
      </c>
      <c r="F113" s="49">
        <v>9</v>
      </c>
      <c r="G113" s="76"/>
      <c r="H113" s="76"/>
      <c r="I113" s="76"/>
      <c r="J113" s="76"/>
      <c r="K113" s="76"/>
      <c r="L113" s="76"/>
      <c r="M113" s="76"/>
      <c r="N113" s="76"/>
      <c r="O113" s="77"/>
    </row>
    <row r="114" spans="1:15">
      <c r="A114" s="49" t="s">
        <v>107</v>
      </c>
      <c r="B114" s="49" t="s">
        <v>47</v>
      </c>
      <c r="C114" s="49" t="s">
        <v>2188</v>
      </c>
      <c r="D114" s="49">
        <v>2309520</v>
      </c>
      <c r="E114" s="49">
        <v>11</v>
      </c>
      <c r="F114" s="49">
        <v>84</v>
      </c>
      <c r="G114" s="76"/>
      <c r="H114" s="76"/>
      <c r="I114" s="76"/>
      <c r="J114" s="76"/>
      <c r="K114" s="76"/>
      <c r="L114" s="76"/>
      <c r="M114" s="76"/>
      <c r="N114" s="76"/>
      <c r="O114" s="77"/>
    </row>
    <row r="115" spans="1:15">
      <c r="A115" s="49" t="s">
        <v>107</v>
      </c>
      <c r="B115" s="49" t="s">
        <v>47</v>
      </c>
      <c r="C115" s="49" t="s">
        <v>2187</v>
      </c>
      <c r="D115" s="49">
        <v>1241210</v>
      </c>
      <c r="E115" s="49">
        <v>8</v>
      </c>
      <c r="F115" s="49">
        <v>114</v>
      </c>
      <c r="G115" s="76"/>
      <c r="H115" s="76"/>
      <c r="I115" s="76"/>
      <c r="J115" s="76"/>
      <c r="K115" s="76"/>
      <c r="L115" s="76"/>
      <c r="M115" s="76"/>
      <c r="N115" s="76"/>
      <c r="O115" s="77"/>
    </row>
    <row r="116" spans="1:15">
      <c r="A116" s="49" t="s">
        <v>107</v>
      </c>
      <c r="B116" s="49" t="s">
        <v>47</v>
      </c>
      <c r="C116" s="49" t="s">
        <v>2186</v>
      </c>
      <c r="D116" s="49">
        <v>1152120</v>
      </c>
      <c r="E116" s="49">
        <v>13</v>
      </c>
      <c r="F116" s="49">
        <v>151</v>
      </c>
      <c r="G116" s="76"/>
      <c r="H116" s="76"/>
      <c r="I116" s="76"/>
      <c r="J116" s="76"/>
      <c r="K116" s="76"/>
      <c r="L116" s="76"/>
      <c r="M116" s="76"/>
      <c r="N116" s="76"/>
      <c r="O116" s="77"/>
    </row>
    <row r="117" spans="1:15">
      <c r="A117" s="49" t="s">
        <v>107</v>
      </c>
      <c r="B117" s="49" t="s">
        <v>47</v>
      </c>
      <c r="C117" s="49" t="s">
        <v>2185</v>
      </c>
      <c r="D117" s="49">
        <v>1909470</v>
      </c>
      <c r="E117" s="49">
        <v>11</v>
      </c>
      <c r="F117" s="49">
        <v>110</v>
      </c>
      <c r="G117" s="76"/>
      <c r="H117" s="76"/>
      <c r="I117" s="76"/>
      <c r="J117" s="76"/>
      <c r="K117" s="76"/>
      <c r="L117" s="76"/>
      <c r="M117" s="76"/>
      <c r="N117" s="76"/>
      <c r="O117" s="77"/>
    </row>
    <row r="118" spans="1:15">
      <c r="A118" s="49" t="s">
        <v>107</v>
      </c>
      <c r="B118" s="49" t="s">
        <v>47</v>
      </c>
      <c r="C118" s="49" t="s">
        <v>2184</v>
      </c>
      <c r="D118" s="49">
        <v>770690</v>
      </c>
      <c r="E118" s="49">
        <v>4</v>
      </c>
      <c r="F118" s="49">
        <v>42</v>
      </c>
      <c r="G118" s="76"/>
      <c r="H118" s="76"/>
      <c r="I118" s="76"/>
      <c r="J118" s="76"/>
      <c r="K118" s="76"/>
      <c r="L118" s="76"/>
      <c r="M118" s="76"/>
      <c r="N118" s="76"/>
      <c r="O118" s="77"/>
    </row>
    <row r="119" spans="1:15">
      <c r="A119" s="49" t="s">
        <v>107</v>
      </c>
      <c r="B119" s="49" t="s">
        <v>47</v>
      </c>
      <c r="C119" s="49" t="s">
        <v>2183</v>
      </c>
      <c r="D119" s="49">
        <v>375820</v>
      </c>
      <c r="E119" s="49">
        <v>3</v>
      </c>
      <c r="F119" s="49">
        <v>31</v>
      </c>
      <c r="G119" s="76"/>
      <c r="H119" s="76"/>
      <c r="I119" s="76"/>
      <c r="J119" s="76"/>
      <c r="K119" s="76"/>
      <c r="L119" s="76"/>
      <c r="M119" s="76"/>
      <c r="N119" s="76"/>
      <c r="O119" s="77"/>
    </row>
    <row r="120" spans="1:15">
      <c r="A120" s="49" t="s">
        <v>107</v>
      </c>
      <c r="B120" s="49" t="s">
        <v>47</v>
      </c>
      <c r="C120" s="49" t="s">
        <v>2182</v>
      </c>
      <c r="D120" s="49">
        <v>427685</v>
      </c>
      <c r="E120" s="49">
        <v>6</v>
      </c>
      <c r="F120" s="49">
        <v>61</v>
      </c>
      <c r="G120" s="76"/>
      <c r="H120" s="76"/>
      <c r="I120" s="76"/>
      <c r="J120" s="76"/>
      <c r="K120" s="76"/>
      <c r="L120" s="76"/>
      <c r="M120" s="76"/>
      <c r="N120" s="76"/>
      <c r="O120" s="77"/>
    </row>
    <row r="121" spans="1:15">
      <c r="A121" s="49" t="s">
        <v>107</v>
      </c>
      <c r="B121" s="49" t="s">
        <v>47</v>
      </c>
      <c r="C121" s="49" t="s">
        <v>2181</v>
      </c>
      <c r="D121" s="49">
        <v>514250</v>
      </c>
      <c r="E121" s="49">
        <v>1</v>
      </c>
      <c r="F121" s="49">
        <v>11</v>
      </c>
      <c r="G121" s="76"/>
      <c r="H121" s="76"/>
      <c r="I121" s="76"/>
      <c r="J121" s="76"/>
      <c r="K121" s="76"/>
      <c r="L121" s="76"/>
      <c r="M121" s="76"/>
      <c r="N121" s="76"/>
      <c r="O121" s="77"/>
    </row>
    <row r="122" spans="1:15">
      <c r="A122" s="49" t="s">
        <v>107</v>
      </c>
      <c r="B122" s="49" t="s">
        <v>47</v>
      </c>
      <c r="C122" s="49" t="s">
        <v>2180</v>
      </c>
      <c r="D122" s="49">
        <v>215580</v>
      </c>
      <c r="E122" s="49">
        <v>5</v>
      </c>
      <c r="F122" s="49">
        <v>29</v>
      </c>
      <c r="G122" s="76"/>
      <c r="H122" s="76"/>
      <c r="I122" s="76"/>
      <c r="J122" s="76"/>
      <c r="K122" s="76"/>
      <c r="L122" s="76"/>
      <c r="M122" s="76"/>
      <c r="N122" s="76"/>
      <c r="O122" s="77"/>
    </row>
    <row r="123" spans="1:15">
      <c r="A123" s="49" t="s">
        <v>107</v>
      </c>
      <c r="B123" s="49" t="s">
        <v>47</v>
      </c>
      <c r="C123" s="49" t="s">
        <v>2179</v>
      </c>
      <c r="D123" s="49">
        <v>230445</v>
      </c>
      <c r="E123" s="49">
        <v>5</v>
      </c>
      <c r="F123" s="49">
        <v>71</v>
      </c>
      <c r="G123" s="76"/>
      <c r="H123" s="76"/>
      <c r="I123" s="76"/>
      <c r="J123" s="76"/>
      <c r="K123" s="76"/>
      <c r="L123" s="76"/>
      <c r="M123" s="76"/>
      <c r="N123" s="76"/>
      <c r="O123" s="77"/>
    </row>
    <row r="124" spans="1:15">
      <c r="A124" s="49" t="s">
        <v>107</v>
      </c>
      <c r="B124" s="49" t="s">
        <v>47</v>
      </c>
      <c r="C124" s="49" t="s">
        <v>2178</v>
      </c>
      <c r="D124" s="49">
        <v>1079400</v>
      </c>
      <c r="E124" s="49">
        <v>3</v>
      </c>
      <c r="F124" s="49">
        <v>33</v>
      </c>
      <c r="G124" s="76"/>
      <c r="H124" s="76"/>
      <c r="I124" s="76"/>
      <c r="J124" s="76"/>
      <c r="K124" s="76"/>
      <c r="L124" s="76"/>
      <c r="M124" s="76"/>
      <c r="N124" s="76"/>
      <c r="O124" s="77"/>
    </row>
    <row r="125" spans="1:15">
      <c r="A125" s="49" t="s">
        <v>107</v>
      </c>
      <c r="B125" s="49" t="s">
        <v>47</v>
      </c>
      <c r="C125" s="49" t="s">
        <v>2177</v>
      </c>
      <c r="D125" s="49">
        <v>291845</v>
      </c>
      <c r="E125" s="49">
        <v>4</v>
      </c>
      <c r="F125" s="49">
        <v>21</v>
      </c>
      <c r="G125" s="76"/>
      <c r="H125" s="76"/>
      <c r="I125" s="76"/>
      <c r="J125" s="76"/>
      <c r="K125" s="76"/>
      <c r="L125" s="76"/>
      <c r="M125" s="76"/>
      <c r="N125" s="76"/>
      <c r="O125" s="77"/>
    </row>
    <row r="126" spans="1:15">
      <c r="A126" s="49" t="s">
        <v>107</v>
      </c>
      <c r="B126" s="49" t="s">
        <v>33</v>
      </c>
      <c r="C126" s="49" t="s">
        <v>2188</v>
      </c>
      <c r="D126" s="49">
        <v>151380</v>
      </c>
      <c r="E126" s="49">
        <v>5</v>
      </c>
      <c r="F126" s="49">
        <v>65</v>
      </c>
      <c r="G126" s="76"/>
      <c r="H126" s="76"/>
      <c r="I126" s="76"/>
      <c r="J126" s="76"/>
      <c r="K126" s="76"/>
      <c r="L126" s="76"/>
      <c r="M126" s="76"/>
      <c r="N126" s="76"/>
      <c r="O126" s="77"/>
    </row>
    <row r="127" spans="1:15">
      <c r="A127" s="49" t="s">
        <v>107</v>
      </c>
      <c r="B127" s="49" t="s">
        <v>33</v>
      </c>
      <c r="C127" s="49" t="s">
        <v>2187</v>
      </c>
      <c r="D127" s="49">
        <v>408130</v>
      </c>
      <c r="E127" s="49">
        <v>8</v>
      </c>
      <c r="F127" s="49">
        <v>76</v>
      </c>
      <c r="G127" s="76"/>
      <c r="H127" s="76"/>
      <c r="I127" s="76"/>
      <c r="J127" s="76"/>
      <c r="K127" s="76"/>
      <c r="L127" s="76"/>
      <c r="M127" s="76"/>
      <c r="N127" s="76"/>
      <c r="O127" s="77"/>
    </row>
    <row r="128" spans="1:15">
      <c r="A128" s="49" t="s">
        <v>107</v>
      </c>
      <c r="B128" s="49" t="s">
        <v>33</v>
      </c>
      <c r="C128" s="49" t="s">
        <v>2186</v>
      </c>
      <c r="D128" s="49">
        <v>528365</v>
      </c>
      <c r="E128" s="49">
        <v>10</v>
      </c>
      <c r="F128" s="49">
        <v>112</v>
      </c>
      <c r="G128" s="76"/>
      <c r="H128" s="76"/>
      <c r="I128" s="76"/>
      <c r="J128" s="76"/>
      <c r="K128" s="76"/>
      <c r="L128" s="76"/>
      <c r="M128" s="76"/>
      <c r="N128" s="76"/>
      <c r="O128" s="77"/>
    </row>
    <row r="129" spans="1:15">
      <c r="A129" s="49" t="s">
        <v>107</v>
      </c>
      <c r="B129" s="49" t="s">
        <v>33</v>
      </c>
      <c r="C129" s="49" t="s">
        <v>2185</v>
      </c>
      <c r="D129" s="49">
        <v>315205</v>
      </c>
      <c r="E129" s="49">
        <v>7</v>
      </c>
      <c r="F129" s="49">
        <v>94</v>
      </c>
      <c r="G129" s="76"/>
      <c r="H129" s="76"/>
      <c r="I129" s="76"/>
      <c r="J129" s="76"/>
      <c r="K129" s="76"/>
      <c r="L129" s="76"/>
      <c r="M129" s="76"/>
      <c r="N129" s="76"/>
      <c r="O129" s="77"/>
    </row>
    <row r="130" spans="1:15">
      <c r="A130" s="49" t="s">
        <v>107</v>
      </c>
      <c r="B130" s="49" t="s">
        <v>33</v>
      </c>
      <c r="C130" s="49" t="s">
        <v>2184</v>
      </c>
      <c r="D130" s="49">
        <v>272425</v>
      </c>
      <c r="E130" s="49">
        <v>5</v>
      </c>
      <c r="F130" s="49">
        <v>69</v>
      </c>
      <c r="G130" s="76"/>
      <c r="H130" s="76"/>
      <c r="I130" s="76"/>
      <c r="J130" s="76"/>
      <c r="K130" s="76"/>
      <c r="L130" s="76"/>
      <c r="M130" s="76"/>
      <c r="N130" s="76"/>
      <c r="O130" s="77"/>
    </row>
    <row r="131" spans="1:15">
      <c r="A131" s="49" t="s">
        <v>107</v>
      </c>
      <c r="B131" s="49" t="s">
        <v>33</v>
      </c>
      <c r="C131" s="49" t="s">
        <v>2183</v>
      </c>
      <c r="D131" s="49">
        <v>248675</v>
      </c>
      <c r="E131" s="49">
        <v>7</v>
      </c>
      <c r="F131" s="49">
        <v>81</v>
      </c>
      <c r="G131" s="76"/>
      <c r="H131" s="76"/>
      <c r="I131" s="76"/>
      <c r="J131" s="76"/>
      <c r="K131" s="76"/>
      <c r="L131" s="76"/>
      <c r="M131" s="76"/>
      <c r="N131" s="76"/>
      <c r="O131" s="77"/>
    </row>
    <row r="132" spans="1:15">
      <c r="A132" s="49" t="s">
        <v>107</v>
      </c>
      <c r="B132" s="49" t="s">
        <v>33</v>
      </c>
      <c r="C132" s="49" t="s">
        <v>2182</v>
      </c>
      <c r="D132" s="49">
        <v>157155</v>
      </c>
      <c r="E132" s="49">
        <v>5</v>
      </c>
      <c r="F132" s="49">
        <v>72</v>
      </c>
      <c r="G132" s="76"/>
      <c r="H132" s="76"/>
      <c r="I132" s="76"/>
      <c r="J132" s="76"/>
      <c r="K132" s="76"/>
      <c r="L132" s="76"/>
      <c r="M132" s="76"/>
      <c r="N132" s="76"/>
      <c r="O132" s="77"/>
    </row>
    <row r="133" spans="1:15">
      <c r="A133" s="49" t="s">
        <v>107</v>
      </c>
      <c r="B133" s="49" t="s">
        <v>33</v>
      </c>
      <c r="C133" s="49" t="s">
        <v>2181</v>
      </c>
      <c r="D133" s="49">
        <v>75140</v>
      </c>
      <c r="E133" s="49">
        <v>2</v>
      </c>
      <c r="F133" s="49">
        <v>23</v>
      </c>
      <c r="G133" s="76"/>
      <c r="H133" s="76"/>
      <c r="I133" s="76"/>
      <c r="J133" s="76"/>
      <c r="K133" s="76"/>
      <c r="L133" s="76"/>
      <c r="M133" s="76"/>
      <c r="N133" s="76"/>
      <c r="O133" s="77"/>
    </row>
    <row r="134" spans="1:15">
      <c r="A134" s="49" t="s">
        <v>107</v>
      </c>
      <c r="B134" s="49" t="s">
        <v>33</v>
      </c>
      <c r="C134" s="49" t="s">
        <v>2180</v>
      </c>
      <c r="D134" s="49">
        <v>53200</v>
      </c>
      <c r="E134" s="49">
        <v>2</v>
      </c>
      <c r="F134" s="49">
        <v>7</v>
      </c>
      <c r="G134" s="76"/>
      <c r="H134" s="76"/>
      <c r="I134" s="76"/>
      <c r="J134" s="76"/>
      <c r="K134" s="76"/>
      <c r="L134" s="76"/>
      <c r="M134" s="76"/>
      <c r="N134" s="76"/>
      <c r="O134" s="77"/>
    </row>
    <row r="135" spans="1:15">
      <c r="A135" s="49" t="s">
        <v>107</v>
      </c>
      <c r="B135" s="49" t="s">
        <v>33</v>
      </c>
      <c r="C135" s="49" t="s">
        <v>2179</v>
      </c>
      <c r="D135" s="49">
        <v>266840</v>
      </c>
      <c r="E135" s="49">
        <v>3</v>
      </c>
      <c r="F135" s="49">
        <v>46</v>
      </c>
      <c r="G135" s="76"/>
      <c r="H135" s="76"/>
      <c r="I135" s="76"/>
      <c r="J135" s="76"/>
      <c r="K135" s="76"/>
      <c r="L135" s="76"/>
      <c r="M135" s="76"/>
      <c r="N135" s="76"/>
      <c r="O135" s="77"/>
    </row>
    <row r="136" spans="1:15">
      <c r="A136" s="49" t="s">
        <v>107</v>
      </c>
      <c r="B136" s="49" t="s">
        <v>33</v>
      </c>
      <c r="C136" s="49" t="s">
        <v>2177</v>
      </c>
      <c r="D136" s="49">
        <v>178955</v>
      </c>
      <c r="E136" s="49">
        <v>5</v>
      </c>
      <c r="F136" s="49">
        <v>58</v>
      </c>
      <c r="G136" s="76"/>
      <c r="H136" s="76"/>
      <c r="I136" s="76"/>
      <c r="J136" s="76"/>
      <c r="K136" s="76"/>
      <c r="L136" s="76"/>
      <c r="M136" s="76"/>
      <c r="N136" s="76"/>
      <c r="O136" s="77"/>
    </row>
    <row r="137" spans="1:15">
      <c r="A137" s="49" t="s">
        <v>107</v>
      </c>
      <c r="B137" s="49" t="s">
        <v>123</v>
      </c>
      <c r="C137" s="49" t="s">
        <v>2188</v>
      </c>
      <c r="D137" s="49">
        <v>3043.5</v>
      </c>
      <c r="E137" s="49">
        <v>8</v>
      </c>
      <c r="F137" s="49">
        <v>78</v>
      </c>
      <c r="G137" s="76"/>
      <c r="H137" s="76"/>
      <c r="I137" s="76"/>
      <c r="J137" s="76"/>
      <c r="K137" s="76"/>
      <c r="L137" s="76"/>
      <c r="M137" s="76"/>
      <c r="N137" s="76"/>
      <c r="O137" s="77"/>
    </row>
    <row r="138" spans="1:15">
      <c r="A138" s="49" t="s">
        <v>107</v>
      </c>
      <c r="B138" s="49" t="s">
        <v>123</v>
      </c>
      <c r="C138" s="49" t="s">
        <v>2187</v>
      </c>
      <c r="D138" s="49">
        <v>3360.25</v>
      </c>
      <c r="E138" s="49">
        <v>10</v>
      </c>
      <c r="F138" s="49">
        <v>109</v>
      </c>
      <c r="G138" s="76"/>
      <c r="H138" s="76"/>
      <c r="I138" s="76"/>
      <c r="J138" s="76"/>
      <c r="K138" s="76"/>
      <c r="L138" s="76"/>
      <c r="M138" s="76"/>
      <c r="N138" s="76"/>
      <c r="O138" s="77"/>
    </row>
    <row r="139" spans="1:15">
      <c r="A139" s="49" t="s">
        <v>107</v>
      </c>
      <c r="B139" s="49" t="s">
        <v>123</v>
      </c>
      <c r="C139" s="49" t="s">
        <v>2186</v>
      </c>
      <c r="D139" s="49">
        <v>4520</v>
      </c>
      <c r="E139" s="49">
        <v>9</v>
      </c>
      <c r="F139" s="49">
        <v>110</v>
      </c>
      <c r="G139" s="76"/>
      <c r="H139" s="76"/>
      <c r="I139" s="76"/>
      <c r="J139" s="76"/>
      <c r="K139" s="76"/>
      <c r="L139" s="76"/>
      <c r="M139" s="76"/>
      <c r="N139" s="76"/>
      <c r="O139" s="77"/>
    </row>
    <row r="140" spans="1:15">
      <c r="A140" s="49" t="s">
        <v>107</v>
      </c>
      <c r="B140" s="49" t="s">
        <v>123</v>
      </c>
      <c r="C140" s="49" t="s">
        <v>2185</v>
      </c>
      <c r="D140" s="49">
        <v>2502.75</v>
      </c>
      <c r="E140" s="49">
        <v>7</v>
      </c>
      <c r="F140" s="49">
        <v>62</v>
      </c>
      <c r="G140" s="76"/>
      <c r="H140" s="76"/>
      <c r="I140" s="76"/>
      <c r="J140" s="76"/>
      <c r="K140" s="76"/>
      <c r="L140" s="76"/>
      <c r="M140" s="76"/>
      <c r="N140" s="76"/>
      <c r="O140" s="77"/>
    </row>
    <row r="141" spans="1:15">
      <c r="A141" s="49" t="s">
        <v>107</v>
      </c>
      <c r="B141" s="49" t="s">
        <v>123</v>
      </c>
      <c r="C141" s="49" t="s">
        <v>2184</v>
      </c>
      <c r="D141" s="49">
        <v>2871</v>
      </c>
      <c r="E141" s="49">
        <v>7</v>
      </c>
      <c r="F141" s="49">
        <v>58</v>
      </c>
      <c r="G141" s="76"/>
      <c r="H141" s="76"/>
      <c r="I141" s="76"/>
      <c r="J141" s="76"/>
      <c r="K141" s="76"/>
      <c r="L141" s="76"/>
      <c r="M141" s="76"/>
      <c r="N141" s="76"/>
      <c r="O141" s="77"/>
    </row>
    <row r="142" spans="1:15">
      <c r="A142" s="49" t="s">
        <v>107</v>
      </c>
      <c r="B142" s="49" t="s">
        <v>123</v>
      </c>
      <c r="C142" s="49" t="s">
        <v>2183</v>
      </c>
      <c r="D142" s="49">
        <v>189</v>
      </c>
      <c r="E142" s="49">
        <v>3</v>
      </c>
      <c r="F142" s="49">
        <v>10</v>
      </c>
      <c r="G142" s="76"/>
      <c r="H142" s="76"/>
      <c r="I142" s="76"/>
      <c r="J142" s="76"/>
      <c r="K142" s="76"/>
      <c r="L142" s="76"/>
      <c r="M142" s="76"/>
      <c r="N142" s="76"/>
      <c r="O142" s="77"/>
    </row>
    <row r="143" spans="1:15">
      <c r="A143" s="49" t="s">
        <v>107</v>
      </c>
      <c r="B143" s="49" t="s">
        <v>123</v>
      </c>
      <c r="C143" s="49" t="s">
        <v>2182</v>
      </c>
      <c r="D143" s="49">
        <v>437.5</v>
      </c>
      <c r="E143" s="49">
        <v>2</v>
      </c>
      <c r="F143" s="49">
        <v>21</v>
      </c>
      <c r="G143" s="76"/>
      <c r="H143" s="76"/>
      <c r="I143" s="76"/>
      <c r="J143" s="76"/>
      <c r="K143" s="76"/>
      <c r="L143" s="76"/>
      <c r="M143" s="76"/>
      <c r="N143" s="76"/>
      <c r="O143" s="77"/>
    </row>
    <row r="144" spans="1:15">
      <c r="A144" s="49" t="s">
        <v>107</v>
      </c>
      <c r="B144" s="49" t="s">
        <v>123</v>
      </c>
      <c r="C144" s="49" t="s">
        <v>2181</v>
      </c>
      <c r="D144" s="49">
        <v>567</v>
      </c>
      <c r="E144" s="49">
        <v>2</v>
      </c>
      <c r="F144" s="49">
        <v>29</v>
      </c>
      <c r="G144" s="76"/>
      <c r="H144" s="76"/>
      <c r="I144" s="76"/>
      <c r="J144" s="76"/>
      <c r="K144" s="76"/>
      <c r="L144" s="76"/>
      <c r="M144" s="76"/>
      <c r="N144" s="76"/>
      <c r="O144" s="77"/>
    </row>
    <row r="145" spans="1:15">
      <c r="A145" s="49" t="s">
        <v>107</v>
      </c>
      <c r="B145" s="49" t="s">
        <v>123</v>
      </c>
      <c r="C145" s="49" t="s">
        <v>2180</v>
      </c>
      <c r="D145" s="49">
        <v>102</v>
      </c>
      <c r="E145" s="49">
        <v>1</v>
      </c>
      <c r="F145" s="49">
        <v>2</v>
      </c>
      <c r="G145" s="76"/>
      <c r="H145" s="76"/>
      <c r="I145" s="76"/>
      <c r="J145" s="76"/>
      <c r="K145" s="76"/>
      <c r="L145" s="76"/>
      <c r="M145" s="76"/>
      <c r="N145" s="76"/>
      <c r="O145" s="77"/>
    </row>
    <row r="146" spans="1:15">
      <c r="A146" s="49" t="s">
        <v>107</v>
      </c>
      <c r="B146" s="49" t="s">
        <v>123</v>
      </c>
      <c r="C146" s="49" t="s">
        <v>2179</v>
      </c>
      <c r="D146" s="49">
        <v>1653.5</v>
      </c>
      <c r="E146" s="49">
        <v>6</v>
      </c>
      <c r="F146" s="49">
        <v>45</v>
      </c>
      <c r="G146" s="76"/>
      <c r="H146" s="76"/>
      <c r="I146" s="76"/>
      <c r="J146" s="76"/>
      <c r="K146" s="76"/>
      <c r="L146" s="76"/>
      <c r="M146" s="76"/>
      <c r="N146" s="76"/>
      <c r="O146" s="77"/>
    </row>
    <row r="147" spans="1:15">
      <c r="A147" s="49" t="s">
        <v>107</v>
      </c>
      <c r="B147" s="49" t="s">
        <v>123</v>
      </c>
      <c r="C147" s="49" t="s">
        <v>2178</v>
      </c>
      <c r="D147" s="49">
        <v>367</v>
      </c>
      <c r="E147" s="49">
        <v>2</v>
      </c>
      <c r="F147" s="49">
        <v>15</v>
      </c>
      <c r="G147" s="76"/>
      <c r="H147" s="76"/>
      <c r="I147" s="76"/>
      <c r="J147" s="76"/>
      <c r="K147" s="76"/>
      <c r="L147" s="76"/>
      <c r="M147" s="76"/>
      <c r="N147" s="76"/>
      <c r="O147" s="77"/>
    </row>
    <row r="148" spans="1:15">
      <c r="A148" s="49" t="s">
        <v>107</v>
      </c>
      <c r="B148" s="49" t="s">
        <v>123</v>
      </c>
      <c r="C148" s="49" t="s">
        <v>2177</v>
      </c>
      <c r="D148" s="49">
        <v>1488</v>
      </c>
      <c r="E148" s="49">
        <v>4</v>
      </c>
      <c r="F148" s="49">
        <v>41</v>
      </c>
      <c r="G148" s="84"/>
      <c r="H148" s="84"/>
      <c r="I148" s="84"/>
      <c r="J148" s="84"/>
      <c r="K148" s="84"/>
      <c r="L148" s="84"/>
      <c r="M148" s="84"/>
      <c r="N148" s="84"/>
      <c r="O148" s="85"/>
    </row>
  </sheetData>
  <mergeCells count="16">
    <mergeCell ref="M9:O11"/>
    <mergeCell ref="A1:O2"/>
    <mergeCell ref="A4:D4"/>
    <mergeCell ref="E4:H4"/>
    <mergeCell ref="I4:L4"/>
    <mergeCell ref="A5:D6"/>
    <mergeCell ref="E5:H6"/>
    <mergeCell ref="I5:L6"/>
    <mergeCell ref="A13:O13"/>
    <mergeCell ref="A8:C8"/>
    <mergeCell ref="E8:G8"/>
    <mergeCell ref="I8:K8"/>
    <mergeCell ref="M8:O8"/>
    <mergeCell ref="A9:C11"/>
    <mergeCell ref="E9:G11"/>
    <mergeCell ref="I9:K11"/>
  </mergeCells>
  <conditionalFormatting sqref="I16:I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{56842284-601B-49C3-91D7-AB9B85CD84F8}</x14:id>
        </ext>
      </extLst>
    </cfRule>
  </conditionalFormatting>
  <conditionalFormatting sqref="O16:O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6:L19">
    <cfRule type="cellIs" dxfId="0" priority="1" operator="greaterThan">
      <formula>8618264.25</formula>
    </cfRule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3">
    <dataValidation type="list" sqref="I5" xr:uid="{00000000-0002-0000-0000-000002000000}">
      <formula1>"All,Jan,Feb,Mar,Apr,May,Jun,Jul,Aug,Sep,Oct,Nov,Dec"</formula1>
    </dataValidation>
    <dataValidation type="list" sqref="E5" xr:uid="{00000000-0002-0000-0000-000001000000}">
      <formula1>"All,Electronics,Home Appliances,Stationery"</formula1>
    </dataValidation>
    <dataValidation type="list" sqref="A5" xr:uid="{00000000-0002-0000-0000-000000000000}">
      <formula1>"All,East,North,South,West"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842284-601B-49C3-91D7-AB9B85CD8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I16:I27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Sales_data</vt:lpstr>
      <vt:lpstr>Product_master</vt:lpstr>
      <vt:lpstr>Customer_master</vt:lpstr>
      <vt:lpstr>Q2 Customer Standardization</vt:lpstr>
      <vt:lpstr>Q3 Order Delivery Analysis</vt:lpstr>
      <vt:lpstr>Product Lookup Report</vt:lpstr>
      <vt:lpstr>Sales Summary Report</vt:lpstr>
      <vt:lpstr>Sales Statistics Report</vt:lpstr>
      <vt:lpstr>Product Performance Report</vt:lpstr>
      <vt:lpstr>Financial Analysis Report</vt:lpstr>
      <vt:lpstr>Cleaned_Data</vt:lpstr>
      <vt:lpstr>Dashboard Data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babele</dc:creator>
  <cp:lastModifiedBy>Amar Babele</cp:lastModifiedBy>
  <dcterms:created xsi:type="dcterms:W3CDTF">2026-10-12T06:25:59Z</dcterms:created>
  <dcterms:modified xsi:type="dcterms:W3CDTF">2026-10-12T08:38:02Z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2026-07-16T07:45:07Z</dcterms:created>
  <dc:creator>copilot_demo</dc:creator>
  <dc:description/>
  <dc:language>en-US</dc:language>
  <cp:lastModifiedBy/>
  <dcterms:modified xsi:type="dcterms:W3CDTF">2026-09-30T07:27:30Z</dcterms:modified>
  <cp:revision>2</cp:revision>
  <dc:subject/>
  <dc:title/>
</cp:coreProperties>
</file>